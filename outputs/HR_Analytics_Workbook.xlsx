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Risk_Model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Validation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2" fontId="2" fillId="3" borderId="1" pivotButton="0" quotePrefix="0" xfId="0"/>
    <xf numFmtId="0" fontId="4" fillId="0" borderId="0" pivotButton="0" quotePrefix="0" xfId="0"/>
    <xf numFmtId="2" fontId="4" fillId="0" borderId="0" pivotButton="0" quotePrefix="0" xfId="0"/>
    <xf numFmtId="0" fontId="0" fillId="3" borderId="0" pivotButton="0" quotePrefix="0" xfId="0"/>
    <xf numFmtId="165" fontId="2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6" fillId="0" borderId="0" pivotButton="0" quotePrefix="0" xfId="0"/>
    <xf numFmtId="0" fontId="3" fillId="2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'Dashboard'!$A$17:$A$22</f>
            </numRef>
          </cat>
          <val>
            <numRef>
              <f>'Dashboard'!$B$17:$B$22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15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46" customWidth="1" min="3" max="3"/>
  </cols>
  <sheetData>
    <row r="1">
      <c r="A1" s="1" t="inlineStr">
        <is>
          <t>HR Retention Risk Model — Assumptions</t>
        </is>
      </c>
    </row>
    <row r="2"/>
    <row r="3">
      <c r="A3" s="2" t="inlineStr">
        <is>
          <t>Edit the weights below (yellow cells). They must sum to 1.00 — B10 checks this live.</t>
        </is>
      </c>
    </row>
    <row r="4"/>
    <row r="5">
      <c r="A5" s="3" t="inlineStr">
        <is>
          <t>Risk Driver</t>
        </is>
      </c>
      <c r="B5" s="3" t="inlineStr">
        <is>
          <t>Weight</t>
        </is>
      </c>
      <c r="C5" s="3" t="inlineStr">
        <is>
          <t>Definition</t>
        </is>
      </c>
    </row>
    <row r="6">
      <c r="A6" s="4" t="inlineStr">
        <is>
          <t>Overtime</t>
        </is>
      </c>
      <c r="B6" s="5" t="n">
        <v>0.28</v>
      </c>
      <c r="C6" s="4" t="inlineStr">
        <is>
          <t>1 if employee is currently on overtime, else 0</t>
        </is>
      </c>
    </row>
    <row r="7">
      <c r="A7" s="4" t="inlineStr">
        <is>
          <t>Low Satisfaction</t>
        </is>
      </c>
      <c r="B7" s="5" t="n">
        <v>0.24</v>
      </c>
      <c r="C7" s="4" t="inlineStr">
        <is>
          <t>Higher when SatisfactionScore is low (1-5 scale, inverted)</t>
        </is>
      </c>
    </row>
    <row r="8">
      <c r="A8" s="4" t="inlineStr">
        <is>
          <t>Promotion Stagnation</t>
        </is>
      </c>
      <c r="B8" s="5" t="n">
        <v>0.16</v>
      </c>
      <c r="C8" s="4" t="inlineStr">
        <is>
          <t>MonthsSincePromotion / 60, capped at 1</t>
        </is>
      </c>
    </row>
    <row r="9">
      <c r="A9" s="4" t="inlineStr">
        <is>
          <t>Below-Department Pay</t>
        </is>
      </c>
      <c r="B9" s="5" t="n">
        <v>0.14</v>
      </c>
      <c r="C9" s="4" t="inlineStr">
        <is>
          <t>1 minus the employee's salary percentile within their department</t>
        </is>
      </c>
    </row>
    <row r="10">
      <c r="A10" s="4" t="inlineStr">
        <is>
          <t>Poor Work-Life Balance</t>
        </is>
      </c>
      <c r="B10" s="5" t="n">
        <v>0.12</v>
      </c>
      <c r="C10" s="4" t="inlineStr">
        <is>
          <t>Higher when WorkLifeBalance is low (1-5 scale, inverted)</t>
        </is>
      </c>
    </row>
    <row r="11">
      <c r="A11" s="4" t="inlineStr">
        <is>
          <t>Low Tenure</t>
        </is>
      </c>
      <c r="B11" s="5" t="n">
        <v>0.06</v>
      </c>
      <c r="C11" s="4" t="inlineStr">
        <is>
          <t>Higher for employees with under 8 years tenure</t>
        </is>
      </c>
    </row>
    <row r="12">
      <c r="A12" s="6" t="inlineStr">
        <is>
          <t>Weights sum to (must equal 1.00):</t>
        </is>
      </c>
      <c r="B12" s="7">
        <f>SUM(B6:B11)</f>
        <v/>
      </c>
    </row>
    <row r="13">
      <c r="A13" s="6" t="inlineStr">
        <is>
          <t>Risk band thresholds (0-100 scale):</t>
        </is>
      </c>
    </row>
    <row r="14">
      <c r="A14" t="inlineStr">
        <is>
          <t>High risk: score &gt;=</t>
        </is>
      </c>
      <c r="B14" s="8" t="n">
        <v>65</v>
      </c>
    </row>
    <row r="15">
      <c r="A15" t="inlineStr">
        <is>
          <t>Medium risk: score &gt;=</t>
        </is>
      </c>
      <c r="B15" s="8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14" customWidth="1" min="6" max="6"/>
    <col width="10" customWidth="1" min="7" max="7"/>
    <col width="22" customWidth="1" min="8" max="8"/>
    <col width="19" customWidth="1" min="9" max="9"/>
    <col width="17" customWidth="1" min="10" max="10"/>
    <col width="19" customWidth="1" min="11" max="11"/>
    <col width="10" customWidth="1" min="12" max="12"/>
  </cols>
  <sheetData>
    <row r="1">
      <c r="A1" s="3" t="inlineStr">
        <is>
          <t>EmployeeID</t>
        </is>
      </c>
      <c r="B1" s="3" t="inlineStr">
        <is>
          <t>Department</t>
        </is>
      </c>
      <c r="C1" s="3" t="inlineStr">
        <is>
          <t>Role</t>
        </is>
      </c>
      <c r="D1" s="3" t="inlineStr">
        <is>
          <t>Age</t>
        </is>
      </c>
      <c r="E1" s="3" t="inlineStr">
        <is>
          <t>TenureYears</t>
        </is>
      </c>
      <c r="F1" s="3" t="inlineStr">
        <is>
          <t>AnnualSalary</t>
        </is>
      </c>
      <c r="G1" s="3" t="inlineStr">
        <is>
          <t>OverTime</t>
        </is>
      </c>
      <c r="H1" s="3" t="inlineStr">
        <is>
          <t>MonthsSincePromotion</t>
        </is>
      </c>
      <c r="I1" s="3" t="inlineStr">
        <is>
          <t>SatisfactionScore</t>
        </is>
      </c>
      <c r="J1" s="3" t="inlineStr">
        <is>
          <t>WorkLifeBalance</t>
        </is>
      </c>
      <c r="K1" s="3" t="inlineStr">
        <is>
          <t>PerformanceRating</t>
        </is>
      </c>
      <c r="L1" s="3" t="inlineStr">
        <is>
          <t>Status</t>
        </is>
      </c>
    </row>
    <row r="2">
      <c r="A2" s="2" t="inlineStr">
        <is>
          <t>EMP00052</t>
        </is>
      </c>
      <c r="B2" s="2" t="inlineStr">
        <is>
          <t>Sales</t>
        </is>
      </c>
      <c r="C2" s="2" t="inlineStr">
        <is>
          <t>Sales Manager</t>
        </is>
      </c>
      <c r="D2" s="2" t="n">
        <v>28</v>
      </c>
      <c r="E2" s="2" t="n">
        <v>6.1</v>
      </c>
      <c r="F2" s="2" t="n">
        <v>852000</v>
      </c>
      <c r="G2" s="2" t="inlineStr">
        <is>
          <t>No</t>
        </is>
      </c>
      <c r="H2" s="2" t="n">
        <v>19</v>
      </c>
      <c r="I2" s="2" t="n">
        <v>5</v>
      </c>
      <c r="J2" s="2" t="n">
        <v>2.9</v>
      </c>
      <c r="K2" s="2" t="n">
        <v>2.5</v>
      </c>
      <c r="L2" s="2" t="inlineStr">
        <is>
          <t>Active</t>
        </is>
      </c>
    </row>
    <row r="3">
      <c r="A3" s="2" t="inlineStr">
        <is>
          <t>EMP00523</t>
        </is>
      </c>
      <c r="B3" s="2" t="inlineStr">
        <is>
          <t>Sales</t>
        </is>
      </c>
      <c r="C3" s="2" t="inlineStr">
        <is>
          <t>Sales Executive</t>
        </is>
      </c>
      <c r="D3" s="2" t="n">
        <v>38</v>
      </c>
      <c r="E3" s="2" t="n">
        <v>5.2</v>
      </c>
      <c r="F3" s="2" t="n">
        <v>757000</v>
      </c>
      <c r="G3" s="2" t="inlineStr">
        <is>
          <t>Yes</t>
        </is>
      </c>
      <c r="H3" s="2" t="n">
        <v>43</v>
      </c>
      <c r="I3" s="2" t="n">
        <v>4</v>
      </c>
      <c r="J3" s="2" t="n">
        <v>3.2</v>
      </c>
      <c r="K3" s="2" t="n">
        <v>2.1</v>
      </c>
      <c r="L3" s="2" t="inlineStr">
        <is>
          <t>Active</t>
        </is>
      </c>
    </row>
    <row r="4">
      <c r="A4" s="2" t="inlineStr">
        <is>
          <t>EMP00180</t>
        </is>
      </c>
      <c r="B4" s="2" t="inlineStr">
        <is>
          <t>HR</t>
        </is>
      </c>
      <c r="C4" s="2" t="inlineStr">
        <is>
          <t>Recruiter</t>
        </is>
      </c>
      <c r="D4" s="2" t="n">
        <v>37</v>
      </c>
      <c r="E4" s="2" t="n">
        <v>2.9</v>
      </c>
      <c r="F4" s="2" t="n">
        <v>722000</v>
      </c>
      <c r="G4" s="2" t="inlineStr">
        <is>
          <t>No</t>
        </is>
      </c>
      <c r="H4" s="2" t="n">
        <v>58</v>
      </c>
      <c r="I4" s="2" t="n">
        <v>3.3</v>
      </c>
      <c r="J4" s="2" t="n">
        <v>3.6</v>
      </c>
      <c r="K4" s="2" t="n">
        <v>2.8</v>
      </c>
      <c r="L4" s="2" t="inlineStr">
        <is>
          <t>Active</t>
        </is>
      </c>
    </row>
    <row r="5">
      <c r="A5" s="2" t="inlineStr">
        <is>
          <t>EMP01173</t>
        </is>
      </c>
      <c r="B5" s="2" t="inlineStr">
        <is>
          <t>Engineering</t>
        </is>
      </c>
      <c r="C5" s="2" t="inlineStr">
        <is>
          <t>Engineering Manager</t>
        </is>
      </c>
      <c r="D5" s="2" t="n">
        <v>29</v>
      </c>
      <c r="E5" s="2" t="n">
        <v>6</v>
      </c>
      <c r="F5" s="2" t="n">
        <v>1328000</v>
      </c>
      <c r="G5" s="2" t="inlineStr">
        <is>
          <t>No</t>
        </is>
      </c>
      <c r="H5" s="2" t="n">
        <v>1</v>
      </c>
      <c r="I5" s="2" t="n">
        <v>3.4</v>
      </c>
      <c r="J5" s="2" t="n">
        <v>3.2</v>
      </c>
      <c r="K5" s="2" t="n">
        <v>3.2</v>
      </c>
      <c r="L5" s="2" t="inlineStr">
        <is>
          <t>Active</t>
        </is>
      </c>
    </row>
    <row r="6">
      <c r="A6" s="2" t="inlineStr">
        <is>
          <t>EMP00938</t>
        </is>
      </c>
      <c r="B6" s="2" t="inlineStr">
        <is>
          <t>Sales</t>
        </is>
      </c>
      <c r="C6" s="2" t="inlineStr">
        <is>
          <t>Sales Executive</t>
        </is>
      </c>
      <c r="D6" s="2" t="n">
        <v>29</v>
      </c>
      <c r="E6" s="2" t="n">
        <v>3.6</v>
      </c>
      <c r="F6" s="2" t="n">
        <v>783000</v>
      </c>
      <c r="G6" s="2" t="inlineStr">
        <is>
          <t>No</t>
        </is>
      </c>
      <c r="H6" s="2" t="n">
        <v>25</v>
      </c>
      <c r="I6" s="2" t="n">
        <v>3.4</v>
      </c>
      <c r="J6" s="2" t="n">
        <v>2.6</v>
      </c>
      <c r="K6" s="2" t="n">
        <v>2.5</v>
      </c>
      <c r="L6" s="2" t="inlineStr">
        <is>
          <t>Resigned</t>
        </is>
      </c>
    </row>
    <row r="7">
      <c r="A7" s="2" t="inlineStr">
        <is>
          <t>EMP01152</t>
        </is>
      </c>
      <c r="B7" s="2" t="inlineStr">
        <is>
          <t>Customer Support</t>
        </is>
      </c>
      <c r="C7" s="2" t="inlineStr">
        <is>
          <t>Support Lead</t>
        </is>
      </c>
      <c r="D7" s="2" t="n">
        <v>38</v>
      </c>
      <c r="E7" s="2" t="n">
        <v>6.1</v>
      </c>
      <c r="F7" s="2" t="n">
        <v>731000</v>
      </c>
      <c r="G7" s="2" t="inlineStr">
        <is>
          <t>Yes</t>
        </is>
      </c>
      <c r="H7" s="2" t="n">
        <v>51</v>
      </c>
      <c r="I7" s="2" t="n">
        <v>3.1</v>
      </c>
      <c r="J7" s="2" t="n">
        <v>3.2</v>
      </c>
      <c r="K7" s="2" t="n">
        <v>3.3</v>
      </c>
      <c r="L7" s="2" t="inlineStr">
        <is>
          <t>Active</t>
        </is>
      </c>
    </row>
    <row r="8">
      <c r="A8" s="2" t="inlineStr">
        <is>
          <t>EMP00206</t>
        </is>
      </c>
      <c r="B8" s="2" t="inlineStr">
        <is>
          <t>Engineering</t>
        </is>
      </c>
      <c r="C8" s="2" t="inlineStr">
        <is>
          <t>Engineering Manager</t>
        </is>
      </c>
      <c r="D8" s="2" t="n">
        <v>33</v>
      </c>
      <c r="E8" s="2" t="n">
        <v>4.6</v>
      </c>
      <c r="F8" s="2" t="n">
        <v>1102000</v>
      </c>
      <c r="G8" s="2" t="inlineStr">
        <is>
          <t>No</t>
        </is>
      </c>
      <c r="H8" s="2" t="n">
        <v>41</v>
      </c>
      <c r="I8" s="2" t="n">
        <v>3.1</v>
      </c>
      <c r="J8" s="2" t="n">
        <v>2.2</v>
      </c>
      <c r="K8" s="2" t="n">
        <v>4.4</v>
      </c>
      <c r="L8" s="2" t="inlineStr">
        <is>
          <t>Active</t>
        </is>
      </c>
    </row>
    <row r="9">
      <c r="A9" s="2" t="inlineStr">
        <is>
          <t>EMP01090</t>
        </is>
      </c>
      <c r="B9" s="2" t="inlineStr">
        <is>
          <t>Operations</t>
        </is>
      </c>
      <c r="C9" s="2" t="inlineStr">
        <is>
          <t>Process Lead</t>
        </is>
      </c>
      <c r="D9" s="2" t="n">
        <v>43</v>
      </c>
      <c r="E9" s="2" t="n">
        <v>7.2</v>
      </c>
      <c r="F9" s="2" t="n">
        <v>832000</v>
      </c>
      <c r="G9" s="2" t="inlineStr">
        <is>
          <t>Yes</t>
        </is>
      </c>
      <c r="H9" s="2" t="n">
        <v>12</v>
      </c>
      <c r="I9" s="2" t="n">
        <v>5</v>
      </c>
      <c r="J9" s="2" t="n">
        <v>3</v>
      </c>
      <c r="K9" s="2" t="n">
        <v>4.1</v>
      </c>
      <c r="L9" s="2" t="inlineStr">
        <is>
          <t>Active</t>
        </is>
      </c>
    </row>
    <row r="10">
      <c r="A10" s="2" t="inlineStr">
        <is>
          <t>EMP00657</t>
        </is>
      </c>
      <c r="B10" s="2" t="inlineStr">
        <is>
          <t>Customer Support</t>
        </is>
      </c>
      <c r="C10" s="2" t="inlineStr">
        <is>
          <t>Support Manager</t>
        </is>
      </c>
      <c r="D10" s="2" t="n">
        <v>26</v>
      </c>
      <c r="E10" s="2" t="n">
        <v>1.3</v>
      </c>
      <c r="F10" s="2" t="n">
        <v>533000</v>
      </c>
      <c r="G10" s="2" t="inlineStr">
        <is>
          <t>Yes</t>
        </is>
      </c>
      <c r="H10" s="2" t="n">
        <v>35</v>
      </c>
      <c r="I10" s="2" t="n">
        <v>2</v>
      </c>
      <c r="J10" s="2" t="n">
        <v>1.1</v>
      </c>
      <c r="K10" s="2" t="n">
        <v>3.3</v>
      </c>
      <c r="L10" s="2" t="inlineStr">
        <is>
          <t>Active</t>
        </is>
      </c>
    </row>
    <row r="11">
      <c r="A11" s="2" t="inlineStr">
        <is>
          <t>EMP01114</t>
        </is>
      </c>
      <c r="B11" s="2" t="inlineStr">
        <is>
          <t>Customer Support</t>
        </is>
      </c>
      <c r="C11" s="2" t="inlineStr">
        <is>
          <t>Support Associate</t>
        </is>
      </c>
      <c r="D11" s="2" t="n">
        <v>35</v>
      </c>
      <c r="E11" s="2" t="n">
        <v>1.4</v>
      </c>
      <c r="F11" s="2" t="n">
        <v>509000</v>
      </c>
      <c r="G11" s="2" t="inlineStr">
        <is>
          <t>Yes</t>
        </is>
      </c>
      <c r="H11" s="2" t="n">
        <v>24</v>
      </c>
      <c r="I11" s="2" t="n">
        <v>2.7</v>
      </c>
      <c r="J11" s="2" t="n">
        <v>2.2</v>
      </c>
      <c r="K11" s="2" t="n">
        <v>2.9</v>
      </c>
      <c r="L11" s="2" t="inlineStr">
        <is>
          <t>Active</t>
        </is>
      </c>
    </row>
    <row r="12">
      <c r="A12" s="2" t="inlineStr">
        <is>
          <t>EMP00035</t>
        </is>
      </c>
      <c r="B12" s="2" t="inlineStr">
        <is>
          <t>Operations</t>
        </is>
      </c>
      <c r="C12" s="2" t="inlineStr">
        <is>
          <t>Ops Manager</t>
        </is>
      </c>
      <c r="D12" s="2" t="n">
        <v>46</v>
      </c>
      <c r="E12" s="2" t="n">
        <v>2.5</v>
      </c>
      <c r="F12" s="2" t="n">
        <v>700000</v>
      </c>
      <c r="G12" s="2" t="inlineStr">
        <is>
          <t>Yes</t>
        </is>
      </c>
      <c r="H12" s="2" t="n">
        <v>44</v>
      </c>
      <c r="I12" s="2" t="n">
        <v>3.4</v>
      </c>
      <c r="J12" s="2" t="n">
        <v>2.1</v>
      </c>
      <c r="K12" s="2" t="n">
        <v>3.1</v>
      </c>
      <c r="L12" s="2" t="inlineStr">
        <is>
          <t>Active</t>
        </is>
      </c>
    </row>
    <row r="13">
      <c r="A13" s="2" t="inlineStr">
        <is>
          <t>EMP00736</t>
        </is>
      </c>
      <c r="B13" s="2" t="inlineStr">
        <is>
          <t>Finance</t>
        </is>
      </c>
      <c r="C13" s="2" t="inlineStr">
        <is>
          <t>Financial Analyst</t>
        </is>
      </c>
      <c r="D13" s="2" t="n">
        <v>21</v>
      </c>
      <c r="E13" s="2" t="n">
        <v>3.6</v>
      </c>
      <c r="F13" s="2" t="n">
        <v>800000</v>
      </c>
      <c r="G13" s="2" t="inlineStr">
        <is>
          <t>No</t>
        </is>
      </c>
      <c r="H13" s="2" t="n">
        <v>45</v>
      </c>
      <c r="I13" s="2" t="n">
        <v>2.4</v>
      </c>
      <c r="J13" s="2" t="n">
        <v>3.2</v>
      </c>
      <c r="K13" s="2" t="n">
        <v>2.5</v>
      </c>
      <c r="L13" s="2" t="inlineStr">
        <is>
          <t>Active</t>
        </is>
      </c>
    </row>
    <row r="14">
      <c r="A14" s="2" t="inlineStr">
        <is>
          <t>EMP00064</t>
        </is>
      </c>
      <c r="B14" s="2" t="inlineStr">
        <is>
          <t>HR</t>
        </is>
      </c>
      <c r="C14" s="2" t="inlineStr">
        <is>
          <t>Recruiter</t>
        </is>
      </c>
      <c r="D14" s="2" t="n">
        <v>37</v>
      </c>
      <c r="E14" s="2" t="n">
        <v>3.5</v>
      </c>
      <c r="F14" s="2" t="n">
        <v>738000</v>
      </c>
      <c r="G14" s="2" t="inlineStr">
        <is>
          <t>No</t>
        </is>
      </c>
      <c r="H14" s="2" t="n">
        <v>22</v>
      </c>
      <c r="I14" s="2" t="n">
        <v>3.8</v>
      </c>
      <c r="J14" s="2" t="n">
        <v>4.1</v>
      </c>
      <c r="K14" s="2" t="n">
        <v>3.6</v>
      </c>
      <c r="L14" s="2" t="inlineStr">
        <is>
          <t>Active</t>
        </is>
      </c>
    </row>
    <row r="15">
      <c r="A15" s="2" t="inlineStr">
        <is>
          <t>EMP00642</t>
        </is>
      </c>
      <c r="B15" s="2" t="inlineStr">
        <is>
          <t>HR</t>
        </is>
      </c>
      <c r="C15" s="2" t="inlineStr">
        <is>
          <t>HR Generalist</t>
        </is>
      </c>
      <c r="D15" s="2" t="n">
        <v>46</v>
      </c>
      <c r="E15" s="2" t="n">
        <v>2</v>
      </c>
      <c r="F15" s="2" t="n">
        <v>657000</v>
      </c>
      <c r="G15" s="2" t="inlineStr">
        <is>
          <t>Yes</t>
        </is>
      </c>
      <c r="H15" s="2" t="n">
        <v>14</v>
      </c>
      <c r="I15" s="2" t="n">
        <v>3</v>
      </c>
      <c r="J15" s="2" t="n">
        <v>2.9</v>
      </c>
      <c r="K15" s="2" t="n">
        <v>3.6</v>
      </c>
      <c r="L15" s="2" t="inlineStr">
        <is>
          <t>Active</t>
        </is>
      </c>
    </row>
    <row r="16">
      <c r="A16" s="2" t="inlineStr">
        <is>
          <t>EMP00762</t>
        </is>
      </c>
      <c r="B16" s="2" t="inlineStr">
        <is>
          <t>Sales</t>
        </is>
      </c>
      <c r="C16" s="2" t="inlineStr">
        <is>
          <t>Sales Manager</t>
        </is>
      </c>
      <c r="D16" s="2" t="n">
        <v>33</v>
      </c>
      <c r="E16" s="2" t="n">
        <v>4.7</v>
      </c>
      <c r="F16" s="2" t="n">
        <v>764000</v>
      </c>
      <c r="G16" s="2" t="inlineStr">
        <is>
          <t>No</t>
        </is>
      </c>
      <c r="H16" s="2" t="n">
        <v>45</v>
      </c>
      <c r="I16" s="2" t="n">
        <v>1.9</v>
      </c>
      <c r="J16" s="2" t="n">
        <v>2.8</v>
      </c>
      <c r="K16" s="2" t="n">
        <v>2.4</v>
      </c>
      <c r="L16" s="2" t="inlineStr">
        <is>
          <t>Resigned</t>
        </is>
      </c>
    </row>
    <row r="17">
      <c r="A17" s="2" t="inlineStr">
        <is>
          <t>EMP00928</t>
        </is>
      </c>
      <c r="B17" s="2" t="inlineStr">
        <is>
          <t>Customer Support</t>
        </is>
      </c>
      <c r="C17" s="2" t="inlineStr">
        <is>
          <t>Support Associate</t>
        </is>
      </c>
      <c r="D17" s="2" t="n">
        <v>34</v>
      </c>
      <c r="E17" s="2" t="n">
        <v>6.7</v>
      </c>
      <c r="F17" s="2" t="n">
        <v>635000</v>
      </c>
      <c r="G17" s="2" t="inlineStr">
        <is>
          <t>No</t>
        </is>
      </c>
      <c r="H17" s="2" t="n">
        <v>25</v>
      </c>
      <c r="I17" s="2" t="n">
        <v>3.8</v>
      </c>
      <c r="J17" s="2" t="n">
        <v>1.7</v>
      </c>
      <c r="K17" s="2" t="n">
        <v>4</v>
      </c>
      <c r="L17" s="2" t="inlineStr">
        <is>
          <t>Active</t>
        </is>
      </c>
    </row>
    <row r="18">
      <c r="A18" s="2" t="inlineStr">
        <is>
          <t>EMP00455</t>
        </is>
      </c>
      <c r="B18" s="2" t="inlineStr">
        <is>
          <t>Sales</t>
        </is>
      </c>
      <c r="C18" s="2" t="inlineStr">
        <is>
          <t>Sales Manager</t>
        </is>
      </c>
      <c r="D18" s="2" t="n">
        <v>25</v>
      </c>
      <c r="E18" s="2" t="n">
        <v>2.5</v>
      </c>
      <c r="F18" s="2" t="n">
        <v>791000</v>
      </c>
      <c r="G18" s="2" t="inlineStr">
        <is>
          <t>No</t>
        </is>
      </c>
      <c r="H18" s="2" t="n">
        <v>5</v>
      </c>
      <c r="I18" s="2" t="n">
        <v>3.4</v>
      </c>
      <c r="J18" s="2" t="n">
        <v>3.1</v>
      </c>
      <c r="K18" s="2" t="n">
        <v>5</v>
      </c>
      <c r="L18" s="2" t="inlineStr">
        <is>
          <t>Active</t>
        </is>
      </c>
    </row>
    <row r="19">
      <c r="A19" s="2" t="inlineStr">
        <is>
          <t>EMP00356</t>
        </is>
      </c>
      <c r="B19" s="2" t="inlineStr">
        <is>
          <t>Operations</t>
        </is>
      </c>
      <c r="C19" s="2" t="inlineStr">
        <is>
          <t>Process Lead</t>
        </is>
      </c>
      <c r="D19" s="2" t="n">
        <v>28</v>
      </c>
      <c r="E19" s="2" t="n">
        <v>3.3</v>
      </c>
      <c r="F19" s="2" t="n">
        <v>683000</v>
      </c>
      <c r="G19" s="2" t="inlineStr">
        <is>
          <t>No</t>
        </is>
      </c>
      <c r="H19" s="2" t="n">
        <v>11</v>
      </c>
      <c r="I19" s="2" t="n">
        <v>3.6</v>
      </c>
      <c r="J19" s="2" t="n">
        <v>3.4</v>
      </c>
      <c r="K19" s="2" t="n">
        <v>5</v>
      </c>
      <c r="L19" s="2" t="inlineStr">
        <is>
          <t>Active</t>
        </is>
      </c>
    </row>
    <row r="20">
      <c r="A20" s="2" t="inlineStr">
        <is>
          <t>EMP01073</t>
        </is>
      </c>
      <c r="B20" s="2" t="inlineStr">
        <is>
          <t>Operations</t>
        </is>
      </c>
      <c r="C20" s="2" t="inlineStr">
        <is>
          <t>Process Lead</t>
        </is>
      </c>
      <c r="D20" s="2" t="n">
        <v>46</v>
      </c>
      <c r="E20" s="2" t="n">
        <v>0.8</v>
      </c>
      <c r="F20" s="2" t="n">
        <v>676000</v>
      </c>
      <c r="G20" s="2" t="inlineStr">
        <is>
          <t>No</t>
        </is>
      </c>
      <c r="H20" s="2" t="n">
        <v>8</v>
      </c>
      <c r="I20" s="2" t="n">
        <v>3.6</v>
      </c>
      <c r="J20" s="2" t="n">
        <v>3.4</v>
      </c>
      <c r="K20" s="2" t="n">
        <v>4.1</v>
      </c>
      <c r="L20" s="2" t="inlineStr">
        <is>
          <t>Active</t>
        </is>
      </c>
    </row>
    <row r="21">
      <c r="A21" s="2" t="inlineStr">
        <is>
          <t>EMP00446</t>
        </is>
      </c>
      <c r="B21" s="2" t="inlineStr">
        <is>
          <t>Finance</t>
        </is>
      </c>
      <c r="C21" s="2" t="inlineStr">
        <is>
          <t>Accountant</t>
        </is>
      </c>
      <c r="D21" s="2" t="n">
        <v>30</v>
      </c>
      <c r="E21" s="2" t="n">
        <v>0.8</v>
      </c>
      <c r="F21" s="2" t="n">
        <v>819000</v>
      </c>
      <c r="G21" s="2" t="inlineStr">
        <is>
          <t>No</t>
        </is>
      </c>
      <c r="H21" s="2" t="n">
        <v>49</v>
      </c>
      <c r="I21" s="2" t="n">
        <v>5</v>
      </c>
      <c r="J21" s="2" t="n">
        <v>4</v>
      </c>
      <c r="K21" s="2" t="n">
        <v>2.8</v>
      </c>
      <c r="L21" s="2" t="inlineStr">
        <is>
          <t>Active</t>
        </is>
      </c>
    </row>
    <row r="22">
      <c r="A22" s="2" t="inlineStr">
        <is>
          <t>EMP00351</t>
        </is>
      </c>
      <c r="B22" s="2" t="inlineStr">
        <is>
          <t>Finance</t>
        </is>
      </c>
      <c r="C22" s="2" t="inlineStr">
        <is>
          <t>Financial Analyst</t>
        </is>
      </c>
      <c r="D22" s="2" t="n">
        <v>36</v>
      </c>
      <c r="E22" s="2" t="n">
        <v>0.3</v>
      </c>
      <c r="F22" s="2" t="n">
        <v>787000</v>
      </c>
      <c r="G22" s="2" t="inlineStr">
        <is>
          <t>Yes</t>
        </is>
      </c>
      <c r="H22" s="2" t="n">
        <v>33</v>
      </c>
      <c r="I22" s="2" t="n">
        <v>2</v>
      </c>
      <c r="J22" s="2" t="n">
        <v>3.1</v>
      </c>
      <c r="K22" s="2" t="n">
        <v>3.7</v>
      </c>
      <c r="L22" s="2" t="inlineStr">
        <is>
          <t>Active</t>
        </is>
      </c>
    </row>
    <row r="23">
      <c r="A23" s="2" t="inlineStr">
        <is>
          <t>EMP00173</t>
        </is>
      </c>
      <c r="B23" s="2" t="inlineStr">
        <is>
          <t>Engineering</t>
        </is>
      </c>
      <c r="C23" s="2" t="inlineStr">
        <is>
          <t>Engineering Manager</t>
        </is>
      </c>
      <c r="D23" s="2" t="n">
        <v>23</v>
      </c>
      <c r="E23" s="2" t="n">
        <v>4</v>
      </c>
      <c r="F23" s="2" t="n">
        <v>1063000</v>
      </c>
      <c r="G23" s="2" t="inlineStr">
        <is>
          <t>No</t>
        </is>
      </c>
      <c r="H23" s="2" t="n">
        <v>21</v>
      </c>
      <c r="I23" s="2" t="n">
        <v>3.4</v>
      </c>
      <c r="J23" s="2" t="n">
        <v>4.5</v>
      </c>
      <c r="K23" s="2" t="n">
        <v>2.4</v>
      </c>
      <c r="L23" s="2" t="inlineStr">
        <is>
          <t>Active</t>
        </is>
      </c>
    </row>
    <row r="24">
      <c r="A24" s="2" t="inlineStr">
        <is>
          <t>EMP00514</t>
        </is>
      </c>
      <c r="B24" s="2" t="inlineStr">
        <is>
          <t>Engineering</t>
        </is>
      </c>
      <c r="C24" s="2" t="inlineStr">
        <is>
          <t>Software Engineer</t>
        </is>
      </c>
      <c r="D24" s="2" t="n">
        <v>33</v>
      </c>
      <c r="E24" s="2" t="n">
        <v>1.7</v>
      </c>
      <c r="F24" s="2" t="n">
        <v>1166000</v>
      </c>
      <c r="G24" s="2" t="inlineStr">
        <is>
          <t>Yes</t>
        </is>
      </c>
      <c r="H24" s="2" t="n">
        <v>42</v>
      </c>
      <c r="I24" s="2" t="n">
        <v>4.1</v>
      </c>
      <c r="J24" s="2" t="n">
        <v>2.5</v>
      </c>
      <c r="K24" s="2" t="n">
        <v>3</v>
      </c>
      <c r="L24" s="2" t="inlineStr">
        <is>
          <t>Active</t>
        </is>
      </c>
    </row>
    <row r="25">
      <c r="A25" s="2" t="inlineStr">
        <is>
          <t>EMP00628</t>
        </is>
      </c>
      <c r="B25" s="2" t="inlineStr">
        <is>
          <t>Sales</t>
        </is>
      </c>
      <c r="C25" s="2" t="inlineStr">
        <is>
          <t>Sales Manager</t>
        </is>
      </c>
      <c r="D25" s="2" t="n">
        <v>30</v>
      </c>
      <c r="E25" s="2" t="n">
        <v>3.7</v>
      </c>
      <c r="F25" s="2" t="n">
        <v>721000</v>
      </c>
      <c r="G25" s="2" t="inlineStr">
        <is>
          <t>No</t>
        </is>
      </c>
      <c r="H25" s="2" t="n">
        <v>56</v>
      </c>
      <c r="I25" s="2" t="n">
        <v>4.9</v>
      </c>
      <c r="J25" s="2" t="n">
        <v>1.6</v>
      </c>
      <c r="K25" s="2" t="n">
        <v>3</v>
      </c>
      <c r="L25" s="2" t="inlineStr">
        <is>
          <t>Active</t>
        </is>
      </c>
    </row>
    <row r="26">
      <c r="A26" s="2" t="inlineStr">
        <is>
          <t>EMP00952</t>
        </is>
      </c>
      <c r="B26" s="2" t="inlineStr">
        <is>
          <t>Engineering</t>
        </is>
      </c>
      <c r="C26" s="2" t="inlineStr">
        <is>
          <t>Engineering Manager</t>
        </is>
      </c>
      <c r="D26" s="2" t="n">
        <v>35</v>
      </c>
      <c r="E26" s="2" t="n">
        <v>3.2</v>
      </c>
      <c r="F26" s="2" t="n">
        <v>1214000</v>
      </c>
      <c r="G26" s="2" t="inlineStr">
        <is>
          <t>No</t>
        </is>
      </c>
      <c r="H26" s="2" t="n">
        <v>24</v>
      </c>
      <c r="I26" s="2" t="n">
        <v>1.9</v>
      </c>
      <c r="J26" s="2" t="n">
        <v>4.2</v>
      </c>
      <c r="K26" s="2" t="n">
        <v>3.3</v>
      </c>
      <c r="L26" s="2" t="inlineStr">
        <is>
          <t>Active</t>
        </is>
      </c>
    </row>
    <row r="27">
      <c r="A27" s="2" t="inlineStr">
        <is>
          <t>EMP00791</t>
        </is>
      </c>
      <c r="B27" s="2" t="inlineStr">
        <is>
          <t>Sales</t>
        </is>
      </c>
      <c r="C27" s="2" t="inlineStr">
        <is>
          <t>Sales Executive</t>
        </is>
      </c>
      <c r="D27" s="2" t="n">
        <v>22</v>
      </c>
      <c r="E27" s="2" t="n">
        <v>0.1</v>
      </c>
      <c r="F27" s="2" t="n">
        <v>596000</v>
      </c>
      <c r="G27" s="2" t="inlineStr">
        <is>
          <t>No</t>
        </is>
      </c>
      <c r="H27" s="2" t="n">
        <v>50</v>
      </c>
      <c r="I27" s="2" t="n">
        <v>4.4</v>
      </c>
      <c r="J27" s="2" t="n">
        <v>2.3</v>
      </c>
      <c r="K27" s="2" t="n">
        <v>3.1</v>
      </c>
      <c r="L27" s="2" t="inlineStr">
        <is>
          <t>Active</t>
        </is>
      </c>
    </row>
    <row r="28">
      <c r="A28" s="2" t="inlineStr">
        <is>
          <t>EMP00373</t>
        </is>
      </c>
      <c r="B28" s="2" t="inlineStr">
        <is>
          <t>Engineering</t>
        </is>
      </c>
      <c r="C28" s="2" t="inlineStr">
        <is>
          <t>Software Engineer</t>
        </is>
      </c>
      <c r="D28" s="2" t="n">
        <v>38</v>
      </c>
      <c r="E28" s="2" t="n">
        <v>4.5</v>
      </c>
      <c r="F28" s="2" t="n">
        <v>1310000</v>
      </c>
      <c r="G28" s="2" t="inlineStr">
        <is>
          <t>No</t>
        </is>
      </c>
      <c r="H28" s="2" t="n">
        <v>27</v>
      </c>
      <c r="I28" s="2" t="n">
        <v>3.6</v>
      </c>
      <c r="J28" s="2" t="n">
        <v>4.7</v>
      </c>
      <c r="K28" s="2" t="n">
        <v>4</v>
      </c>
      <c r="L28" s="2" t="inlineStr">
        <is>
          <t>Resigned</t>
        </is>
      </c>
    </row>
    <row r="29">
      <c r="A29" s="2" t="inlineStr">
        <is>
          <t>EMP00254</t>
        </is>
      </c>
      <c r="B29" s="2" t="inlineStr">
        <is>
          <t>Engineering</t>
        </is>
      </c>
      <c r="C29" s="2" t="inlineStr">
        <is>
          <t>Senior Engineer</t>
        </is>
      </c>
      <c r="D29" s="2" t="n">
        <v>50</v>
      </c>
      <c r="E29" s="2" t="n">
        <v>1.9</v>
      </c>
      <c r="F29" s="2" t="n">
        <v>1195000</v>
      </c>
      <c r="G29" s="2" t="inlineStr">
        <is>
          <t>No</t>
        </is>
      </c>
      <c r="H29" s="2" t="n">
        <v>26</v>
      </c>
      <c r="I29" s="2" t="n">
        <v>4.3</v>
      </c>
      <c r="J29" s="2" t="n">
        <v>4.2</v>
      </c>
      <c r="K29" s="2" t="n">
        <v>1.4</v>
      </c>
      <c r="L29" s="2" t="inlineStr">
        <is>
          <t>Active</t>
        </is>
      </c>
    </row>
    <row r="30">
      <c r="A30" s="2" t="inlineStr">
        <is>
          <t>EMP01038</t>
        </is>
      </c>
      <c r="B30" s="2" t="inlineStr">
        <is>
          <t>Engineering</t>
        </is>
      </c>
      <c r="C30" s="2" t="inlineStr">
        <is>
          <t>Senior Engineer</t>
        </is>
      </c>
      <c r="D30" s="2" t="n">
        <v>41</v>
      </c>
      <c r="E30" s="2" t="n">
        <v>0.8</v>
      </c>
      <c r="F30" s="2" t="n">
        <v>1013000</v>
      </c>
      <c r="G30" s="2" t="inlineStr">
        <is>
          <t>No</t>
        </is>
      </c>
      <c r="H30" s="2" t="n">
        <v>58</v>
      </c>
      <c r="I30" s="2" t="n">
        <v>3</v>
      </c>
      <c r="J30" s="2" t="n">
        <v>3.1</v>
      </c>
      <c r="K30" s="2" t="n">
        <v>1.9</v>
      </c>
      <c r="L30" s="2" t="inlineStr">
        <is>
          <t>Active</t>
        </is>
      </c>
    </row>
    <row r="31">
      <c r="A31" s="2" t="inlineStr">
        <is>
          <t>EMP00632</t>
        </is>
      </c>
      <c r="B31" s="2" t="inlineStr">
        <is>
          <t>HR</t>
        </is>
      </c>
      <c r="C31" s="2" t="inlineStr">
        <is>
          <t>HR Generalist</t>
        </is>
      </c>
      <c r="D31" s="2" t="n">
        <v>34</v>
      </c>
      <c r="E31" s="2" t="n">
        <v>2.8</v>
      </c>
      <c r="F31" s="2" t="n">
        <v>576000</v>
      </c>
      <c r="G31" s="2" t="inlineStr">
        <is>
          <t>Yes</t>
        </is>
      </c>
      <c r="H31" s="2" t="n">
        <v>9</v>
      </c>
      <c r="I31" s="2" t="n">
        <v>4.6</v>
      </c>
      <c r="J31" s="2" t="n">
        <v>2.8</v>
      </c>
      <c r="K31" s="2" t="n">
        <v>3.1</v>
      </c>
      <c r="L31" s="2" t="inlineStr">
        <is>
          <t>Resigned</t>
        </is>
      </c>
    </row>
    <row r="32">
      <c r="A32" s="2" t="inlineStr">
        <is>
          <t>EMP00453</t>
        </is>
      </c>
      <c r="B32" s="2" t="inlineStr">
        <is>
          <t>Finance</t>
        </is>
      </c>
      <c r="C32" s="2" t="inlineStr">
        <is>
          <t>Financial Analyst</t>
        </is>
      </c>
      <c r="D32" s="2" t="n">
        <v>26</v>
      </c>
      <c r="E32" s="2" t="n">
        <v>4.3</v>
      </c>
      <c r="F32" s="2" t="n">
        <v>943000</v>
      </c>
      <c r="G32" s="2" t="inlineStr">
        <is>
          <t>No</t>
        </is>
      </c>
      <c r="H32" s="2" t="n">
        <v>19</v>
      </c>
      <c r="I32" s="2" t="n">
        <v>2.8</v>
      </c>
      <c r="J32" s="2" t="n">
        <v>1.7</v>
      </c>
      <c r="K32" s="2" t="n">
        <v>3.9</v>
      </c>
      <c r="L32" s="2" t="inlineStr">
        <is>
          <t>Active</t>
        </is>
      </c>
    </row>
    <row r="33">
      <c r="A33" s="2" t="inlineStr">
        <is>
          <t>EMP00545</t>
        </is>
      </c>
      <c r="B33" s="2" t="inlineStr">
        <is>
          <t>Sales</t>
        </is>
      </c>
      <c r="C33" s="2" t="inlineStr">
        <is>
          <t>Sales Manager</t>
        </is>
      </c>
      <c r="D33" s="2" t="n">
        <v>44</v>
      </c>
      <c r="E33" s="2" t="n">
        <v>4.7</v>
      </c>
      <c r="F33" s="2" t="n">
        <v>715000</v>
      </c>
      <c r="G33" s="2" t="inlineStr">
        <is>
          <t>No</t>
        </is>
      </c>
      <c r="H33" s="2" t="n">
        <v>54</v>
      </c>
      <c r="I33" s="2" t="n">
        <v>3.8</v>
      </c>
      <c r="J33" s="2" t="n">
        <v>3.1</v>
      </c>
      <c r="K33" s="2" t="n">
        <v>4</v>
      </c>
      <c r="L33" s="2" t="inlineStr">
        <is>
          <t>Active</t>
        </is>
      </c>
    </row>
    <row r="34">
      <c r="A34" s="2" t="inlineStr">
        <is>
          <t>EMP00526</t>
        </is>
      </c>
      <c r="B34" s="2" t="inlineStr">
        <is>
          <t>Engineering</t>
        </is>
      </c>
      <c r="C34" s="2" t="inlineStr">
        <is>
          <t>Software Engineer</t>
        </is>
      </c>
      <c r="D34" s="2" t="n">
        <v>37</v>
      </c>
      <c r="E34" s="2" t="n">
        <v>1.2</v>
      </c>
      <c r="F34" s="2" t="n">
        <v>1133000</v>
      </c>
      <c r="G34" s="2" t="inlineStr">
        <is>
          <t>No</t>
        </is>
      </c>
      <c r="H34" s="2" t="n">
        <v>36</v>
      </c>
      <c r="I34" s="2" t="n">
        <v>2.4</v>
      </c>
      <c r="J34" s="2" t="n">
        <v>3.8</v>
      </c>
      <c r="K34" s="2" t="n">
        <v>1.6</v>
      </c>
      <c r="L34" s="2" t="inlineStr">
        <is>
          <t>Active</t>
        </is>
      </c>
    </row>
    <row r="35">
      <c r="A35" s="2" t="inlineStr">
        <is>
          <t>EMP00190</t>
        </is>
      </c>
      <c r="B35" s="2" t="inlineStr">
        <is>
          <t>Engineering</t>
        </is>
      </c>
      <c r="C35" s="2" t="inlineStr">
        <is>
          <t>Senior Engineer</t>
        </is>
      </c>
      <c r="D35" s="2" t="n">
        <v>22</v>
      </c>
      <c r="E35" s="2" t="n">
        <v>1.6</v>
      </c>
      <c r="F35" s="2" t="n">
        <v>902000</v>
      </c>
      <c r="G35" s="2" t="inlineStr">
        <is>
          <t>No</t>
        </is>
      </c>
      <c r="H35" s="2" t="n">
        <v>47</v>
      </c>
      <c r="I35" s="2" t="n">
        <v>4.3</v>
      </c>
      <c r="J35" s="2" t="n">
        <v>2.9</v>
      </c>
      <c r="K35" s="2" t="n">
        <v>2.8</v>
      </c>
      <c r="L35" s="2" t="inlineStr">
        <is>
          <t>Active</t>
        </is>
      </c>
    </row>
    <row r="36">
      <c r="A36" s="2" t="inlineStr">
        <is>
          <t>EMP00102</t>
        </is>
      </c>
      <c r="B36" s="2" t="inlineStr">
        <is>
          <t>Finance</t>
        </is>
      </c>
      <c r="C36" s="2" t="inlineStr">
        <is>
          <t>Financial Analyst</t>
        </is>
      </c>
      <c r="D36" s="2" t="n">
        <v>41</v>
      </c>
      <c r="E36" s="2" t="n">
        <v>2.8</v>
      </c>
      <c r="F36" s="2" t="n">
        <v>931000</v>
      </c>
      <c r="G36" s="2" t="inlineStr">
        <is>
          <t>Yes</t>
        </is>
      </c>
      <c r="H36" s="2" t="n">
        <v>9</v>
      </c>
      <c r="I36" s="2" t="n">
        <v>4.3</v>
      </c>
      <c r="J36" s="2" t="n">
        <v>4.1</v>
      </c>
      <c r="K36" s="2" t="n">
        <v>2.7</v>
      </c>
      <c r="L36" s="2" t="inlineStr">
        <is>
          <t>Resigned</t>
        </is>
      </c>
    </row>
    <row r="37">
      <c r="A37" s="2" t="inlineStr">
        <is>
          <t>EMP00735</t>
        </is>
      </c>
      <c r="B37" s="2" t="inlineStr">
        <is>
          <t>Sales</t>
        </is>
      </c>
      <c r="C37" s="2" t="inlineStr">
        <is>
          <t>Sales Manager</t>
        </is>
      </c>
      <c r="D37" s="2" t="n">
        <v>35</v>
      </c>
      <c r="E37" s="2" t="n">
        <v>1.4</v>
      </c>
      <c r="F37" s="2" t="n">
        <v>634000</v>
      </c>
      <c r="G37" s="2" t="inlineStr">
        <is>
          <t>Yes</t>
        </is>
      </c>
      <c r="H37" s="2" t="n">
        <v>52</v>
      </c>
      <c r="I37" s="2" t="n">
        <v>4.5</v>
      </c>
      <c r="J37" s="2" t="n">
        <v>2.5</v>
      </c>
      <c r="K37" s="2" t="n">
        <v>1.6</v>
      </c>
      <c r="L37" s="2" t="inlineStr">
        <is>
          <t>Active</t>
        </is>
      </c>
    </row>
    <row r="38">
      <c r="A38" s="2" t="inlineStr">
        <is>
          <t>EMP00335</t>
        </is>
      </c>
      <c r="B38" s="2" t="inlineStr">
        <is>
          <t>Sales</t>
        </is>
      </c>
      <c r="C38" s="2" t="inlineStr">
        <is>
          <t>Account Manager</t>
        </is>
      </c>
      <c r="D38" s="2" t="n">
        <v>43</v>
      </c>
      <c r="E38" s="2" t="n">
        <v>5.3</v>
      </c>
      <c r="F38" s="2" t="n">
        <v>847000</v>
      </c>
      <c r="G38" s="2" t="inlineStr">
        <is>
          <t>No</t>
        </is>
      </c>
      <c r="H38" s="2" t="n">
        <v>49</v>
      </c>
      <c r="I38" s="2" t="n">
        <v>5</v>
      </c>
      <c r="J38" s="2" t="n">
        <v>3.1</v>
      </c>
      <c r="K38" s="2" t="n">
        <v>3.4</v>
      </c>
      <c r="L38" s="2" t="inlineStr">
        <is>
          <t>Active</t>
        </is>
      </c>
    </row>
    <row r="39">
      <c r="A39" s="2" t="inlineStr">
        <is>
          <t>EMP00997</t>
        </is>
      </c>
      <c r="B39" s="2" t="inlineStr">
        <is>
          <t>Finance</t>
        </is>
      </c>
      <c r="C39" s="2" t="inlineStr">
        <is>
          <t>Accountant</t>
        </is>
      </c>
      <c r="D39" s="2" t="n">
        <v>47</v>
      </c>
      <c r="E39" s="2" t="n">
        <v>5.7</v>
      </c>
      <c r="F39" s="2" t="n">
        <v>1140000</v>
      </c>
      <c r="G39" s="2" t="inlineStr">
        <is>
          <t>Yes</t>
        </is>
      </c>
      <c r="H39" s="2" t="n">
        <v>52</v>
      </c>
      <c r="I39" s="2" t="n">
        <v>3.3</v>
      </c>
      <c r="J39" s="2" t="n">
        <v>2.4</v>
      </c>
      <c r="K39" s="2" t="n">
        <v>3.7</v>
      </c>
      <c r="L39" s="2" t="inlineStr">
        <is>
          <t>Active</t>
        </is>
      </c>
    </row>
    <row r="40">
      <c r="A40" s="2" t="inlineStr">
        <is>
          <t>EMP00447</t>
        </is>
      </c>
      <c r="B40" s="2" t="inlineStr">
        <is>
          <t>Customer Support</t>
        </is>
      </c>
      <c r="C40" s="2" t="inlineStr">
        <is>
          <t>Support Manager</t>
        </is>
      </c>
      <c r="D40" s="2" t="n">
        <v>41</v>
      </c>
      <c r="E40" s="2" t="n">
        <v>3.3</v>
      </c>
      <c r="F40" s="2" t="n">
        <v>583000</v>
      </c>
      <c r="G40" s="2" t="inlineStr">
        <is>
          <t>No</t>
        </is>
      </c>
      <c r="H40" s="2" t="n">
        <v>12</v>
      </c>
      <c r="I40" s="2" t="n">
        <v>2.8</v>
      </c>
      <c r="J40" s="2" t="n">
        <v>4.2</v>
      </c>
      <c r="K40" s="2" t="n">
        <v>3.5</v>
      </c>
      <c r="L40" s="2" t="inlineStr">
        <is>
          <t>Active</t>
        </is>
      </c>
    </row>
    <row r="41">
      <c r="A41" s="2" t="inlineStr">
        <is>
          <t>EMP00171</t>
        </is>
      </c>
      <c r="B41" s="2" t="inlineStr">
        <is>
          <t>Engineering</t>
        </is>
      </c>
      <c r="C41" s="2" t="inlineStr">
        <is>
          <t>Engineering Manager</t>
        </is>
      </c>
      <c r="D41" s="2" t="n">
        <v>27</v>
      </c>
      <c r="E41" s="2" t="n">
        <v>7.6</v>
      </c>
      <c r="F41" s="2" t="n">
        <v>1536000</v>
      </c>
      <c r="G41" s="2" t="inlineStr">
        <is>
          <t>Yes</t>
        </is>
      </c>
      <c r="H41" s="2" t="n">
        <v>8</v>
      </c>
      <c r="I41" s="2" t="n">
        <v>5</v>
      </c>
      <c r="J41" s="2" t="n">
        <v>3.4</v>
      </c>
      <c r="K41" s="2" t="n">
        <v>4.3</v>
      </c>
      <c r="L41" s="2" t="inlineStr">
        <is>
          <t>Active</t>
        </is>
      </c>
    </row>
    <row r="42">
      <c r="A42" s="2" t="inlineStr">
        <is>
          <t>EMP00633</t>
        </is>
      </c>
      <c r="B42" s="2" t="inlineStr">
        <is>
          <t>Sales</t>
        </is>
      </c>
      <c r="C42" s="2" t="inlineStr">
        <is>
          <t>Account Manager</t>
        </is>
      </c>
      <c r="D42" s="2" t="n">
        <v>34</v>
      </c>
      <c r="E42" s="2" t="n">
        <v>2.8</v>
      </c>
      <c r="F42" s="2" t="n">
        <v>667000</v>
      </c>
      <c r="G42" s="2" t="inlineStr">
        <is>
          <t>No</t>
        </is>
      </c>
      <c r="H42" s="2" t="n">
        <v>49</v>
      </c>
      <c r="I42" s="2" t="n">
        <v>2.3</v>
      </c>
      <c r="J42" s="2" t="n">
        <v>3.5</v>
      </c>
      <c r="K42" s="2" t="n">
        <v>3.4</v>
      </c>
      <c r="L42" s="2" t="inlineStr">
        <is>
          <t>Active</t>
        </is>
      </c>
    </row>
    <row r="43">
      <c r="A43" s="2" t="inlineStr">
        <is>
          <t>EMP00370</t>
        </is>
      </c>
      <c r="B43" s="2" t="inlineStr">
        <is>
          <t>Customer Support</t>
        </is>
      </c>
      <c r="C43" s="2" t="inlineStr">
        <is>
          <t>Support Manager</t>
        </is>
      </c>
      <c r="D43" s="2" t="n">
        <v>43</v>
      </c>
      <c r="E43" s="2" t="n">
        <v>3.5</v>
      </c>
      <c r="F43" s="2" t="n">
        <v>543000</v>
      </c>
      <c r="G43" s="2" t="inlineStr">
        <is>
          <t>No</t>
        </is>
      </c>
      <c r="H43" s="2" t="n">
        <v>3</v>
      </c>
      <c r="I43" s="2" t="n">
        <v>1</v>
      </c>
      <c r="J43" s="2" t="n">
        <v>2.4</v>
      </c>
      <c r="K43" s="2" t="n">
        <v>4.9</v>
      </c>
      <c r="L43" s="2" t="inlineStr">
        <is>
          <t>Active</t>
        </is>
      </c>
    </row>
    <row r="44">
      <c r="A44" s="2" t="inlineStr">
        <is>
          <t>EMP00286</t>
        </is>
      </c>
      <c r="B44" s="2" t="inlineStr">
        <is>
          <t>Engineering</t>
        </is>
      </c>
      <c r="C44" s="2" t="inlineStr">
        <is>
          <t>Senior Engineer</t>
        </is>
      </c>
      <c r="D44" s="2" t="n">
        <v>36</v>
      </c>
      <c r="E44" s="2" t="n">
        <v>5.3</v>
      </c>
      <c r="F44" s="2" t="n">
        <v>1299000</v>
      </c>
      <c r="G44" s="2" t="inlineStr">
        <is>
          <t>No</t>
        </is>
      </c>
      <c r="H44" s="2" t="n">
        <v>55</v>
      </c>
      <c r="I44" s="2" t="n">
        <v>3.5</v>
      </c>
      <c r="J44" s="2" t="n">
        <v>1.7</v>
      </c>
      <c r="K44" s="2" t="n">
        <v>2.1</v>
      </c>
      <c r="L44" s="2" t="inlineStr">
        <is>
          <t>Active</t>
        </is>
      </c>
    </row>
    <row r="45">
      <c r="A45" s="2" t="inlineStr">
        <is>
          <t>EMP01061</t>
        </is>
      </c>
      <c r="B45" s="2" t="inlineStr">
        <is>
          <t>Customer Support</t>
        </is>
      </c>
      <c r="C45" s="2" t="inlineStr">
        <is>
          <t>Support Lead</t>
        </is>
      </c>
      <c r="D45" s="2" t="n">
        <v>29</v>
      </c>
      <c r="E45" s="2" t="n">
        <v>2.5</v>
      </c>
      <c r="F45" s="2" t="n">
        <v>585000</v>
      </c>
      <c r="G45" s="2" t="inlineStr">
        <is>
          <t>Yes</t>
        </is>
      </c>
      <c r="H45" s="2" t="n">
        <v>43</v>
      </c>
      <c r="I45" s="2" t="n">
        <v>4.6</v>
      </c>
      <c r="J45" s="2" t="n">
        <v>4.3</v>
      </c>
      <c r="K45" s="2" t="n">
        <v>3.6</v>
      </c>
      <c r="L45" s="2" t="inlineStr">
        <is>
          <t>Active</t>
        </is>
      </c>
    </row>
    <row r="46">
      <c r="A46" s="2" t="inlineStr">
        <is>
          <t>EMP00573</t>
        </is>
      </c>
      <c r="B46" s="2" t="inlineStr">
        <is>
          <t>Operations</t>
        </is>
      </c>
      <c r="C46" s="2" t="inlineStr">
        <is>
          <t>Ops Manager</t>
        </is>
      </c>
      <c r="D46" s="2" t="n">
        <v>26</v>
      </c>
      <c r="E46" s="2" t="n">
        <v>9.6</v>
      </c>
      <c r="F46" s="2" t="n">
        <v>966000</v>
      </c>
      <c r="G46" s="2" t="inlineStr">
        <is>
          <t>Yes</t>
        </is>
      </c>
      <c r="H46" s="2" t="n">
        <v>44</v>
      </c>
      <c r="I46" s="2" t="n">
        <v>2.7</v>
      </c>
      <c r="J46" s="2" t="n">
        <v>2.8</v>
      </c>
      <c r="K46" s="2" t="n">
        <v>4.1</v>
      </c>
      <c r="L46" s="2" t="inlineStr">
        <is>
          <t>Active</t>
        </is>
      </c>
    </row>
    <row r="47">
      <c r="A47" s="2" t="inlineStr">
        <is>
          <t>EMP00028</t>
        </is>
      </c>
      <c r="B47" s="2" t="inlineStr">
        <is>
          <t>Sales</t>
        </is>
      </c>
      <c r="C47" s="2" t="inlineStr">
        <is>
          <t>Account Manager</t>
        </is>
      </c>
      <c r="D47" s="2" t="n">
        <v>44</v>
      </c>
      <c r="E47" s="2" t="n">
        <v>3</v>
      </c>
      <c r="F47" s="2" t="n">
        <v>792000</v>
      </c>
      <c r="G47" s="2" t="inlineStr">
        <is>
          <t>No</t>
        </is>
      </c>
      <c r="H47" s="2" t="n">
        <v>35</v>
      </c>
      <c r="I47" s="2" t="n">
        <v>4.5</v>
      </c>
      <c r="J47" s="2" t="n">
        <v>3.1</v>
      </c>
      <c r="K47" s="2" t="n">
        <v>4.5</v>
      </c>
      <c r="L47" s="2" t="inlineStr">
        <is>
          <t>Active</t>
        </is>
      </c>
    </row>
    <row r="48">
      <c r="A48" s="2" t="inlineStr">
        <is>
          <t>EMP00427</t>
        </is>
      </c>
      <c r="B48" s="2" t="inlineStr">
        <is>
          <t>Engineering</t>
        </is>
      </c>
      <c r="C48" s="2" t="inlineStr">
        <is>
          <t>Senior Engineer</t>
        </is>
      </c>
      <c r="D48" s="2" t="n">
        <v>45</v>
      </c>
      <c r="E48" s="2" t="n">
        <v>2.7</v>
      </c>
      <c r="F48" s="2" t="n">
        <v>1018000</v>
      </c>
      <c r="G48" s="2" t="inlineStr">
        <is>
          <t>Yes</t>
        </is>
      </c>
      <c r="H48" s="2" t="n">
        <v>54</v>
      </c>
      <c r="I48" s="2" t="n">
        <v>3.3</v>
      </c>
      <c r="J48" s="2" t="n">
        <v>3.1</v>
      </c>
      <c r="K48" s="2" t="n">
        <v>2.3</v>
      </c>
      <c r="L48" s="2" t="inlineStr">
        <is>
          <t>Active</t>
        </is>
      </c>
    </row>
    <row r="49">
      <c r="A49" s="2" t="inlineStr">
        <is>
          <t>EMP01136</t>
        </is>
      </c>
      <c r="B49" s="2" t="inlineStr">
        <is>
          <t>Engineering</t>
        </is>
      </c>
      <c r="C49" s="2" t="inlineStr">
        <is>
          <t>Software Engineer</t>
        </is>
      </c>
      <c r="D49" s="2" t="n">
        <v>41</v>
      </c>
      <c r="E49" s="2" t="n">
        <v>4</v>
      </c>
      <c r="F49" s="2" t="n">
        <v>1037000</v>
      </c>
      <c r="G49" s="2" t="inlineStr">
        <is>
          <t>Yes</t>
        </is>
      </c>
      <c r="H49" s="2" t="n">
        <v>27</v>
      </c>
      <c r="I49" s="2" t="n">
        <v>2.4</v>
      </c>
      <c r="J49" s="2" t="n">
        <v>1.9</v>
      </c>
      <c r="K49" s="2" t="n">
        <v>2.6</v>
      </c>
      <c r="L49" s="2" t="inlineStr">
        <is>
          <t>Resigned</t>
        </is>
      </c>
    </row>
    <row r="50">
      <c r="A50" s="2" t="inlineStr">
        <is>
          <t>EMP00279</t>
        </is>
      </c>
      <c r="B50" s="2" t="inlineStr">
        <is>
          <t>Customer Support</t>
        </is>
      </c>
      <c r="C50" s="2" t="inlineStr">
        <is>
          <t>Support Lead</t>
        </is>
      </c>
      <c r="D50" s="2" t="n">
        <v>36</v>
      </c>
      <c r="E50" s="2" t="n">
        <v>1.4</v>
      </c>
      <c r="F50" s="2" t="n">
        <v>569000</v>
      </c>
      <c r="G50" s="2" t="inlineStr">
        <is>
          <t>Yes</t>
        </is>
      </c>
      <c r="H50" s="2" t="n">
        <v>30</v>
      </c>
      <c r="I50" s="2" t="n">
        <v>4.5</v>
      </c>
      <c r="J50" s="2" t="n">
        <v>2.8</v>
      </c>
      <c r="K50" s="2" t="n">
        <v>4.5</v>
      </c>
      <c r="L50" s="2" t="inlineStr">
        <is>
          <t>Resigned</t>
        </is>
      </c>
    </row>
    <row r="51">
      <c r="A51" s="2" t="inlineStr">
        <is>
          <t>EMP01110</t>
        </is>
      </c>
      <c r="B51" s="2" t="inlineStr">
        <is>
          <t>Sales</t>
        </is>
      </c>
      <c r="C51" s="2" t="inlineStr">
        <is>
          <t>Account Manager</t>
        </is>
      </c>
      <c r="D51" s="2" t="n">
        <v>39</v>
      </c>
      <c r="E51" s="2" t="n">
        <v>3.6</v>
      </c>
      <c r="F51" s="2" t="n">
        <v>735000</v>
      </c>
      <c r="G51" s="2" t="inlineStr">
        <is>
          <t>No</t>
        </is>
      </c>
      <c r="H51" s="2" t="n">
        <v>40</v>
      </c>
      <c r="I51" s="2" t="n">
        <v>3.2</v>
      </c>
      <c r="J51" s="2" t="n">
        <v>2.2</v>
      </c>
      <c r="K51" s="2" t="n">
        <v>2.5</v>
      </c>
      <c r="L51" s="2" t="inlineStr">
        <is>
          <t>Active</t>
        </is>
      </c>
    </row>
    <row r="52">
      <c r="A52" s="2" t="inlineStr">
        <is>
          <t>EMP00666</t>
        </is>
      </c>
      <c r="B52" s="2" t="inlineStr">
        <is>
          <t>Finance</t>
        </is>
      </c>
      <c r="C52" s="2" t="inlineStr">
        <is>
          <t>Accountant</t>
        </is>
      </c>
      <c r="D52" s="2" t="n">
        <v>42</v>
      </c>
      <c r="E52" s="2" t="n">
        <v>3.1</v>
      </c>
      <c r="F52" s="2" t="n">
        <v>1020000</v>
      </c>
      <c r="G52" s="2" t="inlineStr">
        <is>
          <t>Yes</t>
        </is>
      </c>
      <c r="H52" s="2" t="n">
        <v>60</v>
      </c>
      <c r="I52" s="2" t="n">
        <v>3.3</v>
      </c>
      <c r="J52" s="2" t="n">
        <v>2.3</v>
      </c>
      <c r="K52" s="2" t="n">
        <v>2.3</v>
      </c>
      <c r="L52" s="2" t="inlineStr">
        <is>
          <t>Resigned</t>
        </is>
      </c>
    </row>
    <row r="53">
      <c r="A53" s="2" t="inlineStr">
        <is>
          <t>EMP00962</t>
        </is>
      </c>
      <c r="B53" s="2" t="inlineStr">
        <is>
          <t>Operations</t>
        </is>
      </c>
      <c r="C53" s="2" t="inlineStr">
        <is>
          <t>Process Lead</t>
        </is>
      </c>
      <c r="D53" s="2" t="n">
        <v>30</v>
      </c>
      <c r="E53" s="2" t="n">
        <v>1</v>
      </c>
      <c r="F53" s="2" t="n">
        <v>656000</v>
      </c>
      <c r="G53" s="2" t="inlineStr">
        <is>
          <t>Yes</t>
        </is>
      </c>
      <c r="H53" s="2" t="n">
        <v>41</v>
      </c>
      <c r="I53" s="2" t="n">
        <v>2.4</v>
      </c>
      <c r="J53" s="2" t="n">
        <v>2.6</v>
      </c>
      <c r="K53" s="2" t="n">
        <v>4</v>
      </c>
      <c r="L53" s="2" t="inlineStr">
        <is>
          <t>Active</t>
        </is>
      </c>
    </row>
    <row r="54">
      <c r="A54" s="2" t="inlineStr">
        <is>
          <t>EMP00651</t>
        </is>
      </c>
      <c r="B54" s="2" t="inlineStr">
        <is>
          <t>Engineering</t>
        </is>
      </c>
      <c r="C54" s="2" t="inlineStr">
        <is>
          <t>Engineering Manager</t>
        </is>
      </c>
      <c r="D54" s="2" t="n">
        <v>21</v>
      </c>
      <c r="E54" s="2" t="n">
        <v>1.4</v>
      </c>
      <c r="F54" s="2" t="n">
        <v>1088000</v>
      </c>
      <c r="G54" s="2" t="inlineStr">
        <is>
          <t>No</t>
        </is>
      </c>
      <c r="H54" s="2" t="n">
        <v>1</v>
      </c>
      <c r="I54" s="2" t="n">
        <v>4.3</v>
      </c>
      <c r="J54" s="2" t="n">
        <v>3.6</v>
      </c>
      <c r="K54" s="2" t="n">
        <v>2.8</v>
      </c>
      <c r="L54" s="2" t="inlineStr">
        <is>
          <t>Active</t>
        </is>
      </c>
    </row>
    <row r="55">
      <c r="A55" s="2" t="inlineStr">
        <is>
          <t>EMP00681</t>
        </is>
      </c>
      <c r="B55" s="2" t="inlineStr">
        <is>
          <t>Sales</t>
        </is>
      </c>
      <c r="C55" s="2" t="inlineStr">
        <is>
          <t>Account Manager</t>
        </is>
      </c>
      <c r="D55" s="2" t="n">
        <v>39</v>
      </c>
      <c r="E55" s="2" t="n">
        <v>1.1</v>
      </c>
      <c r="F55" s="2" t="n">
        <v>764000</v>
      </c>
      <c r="G55" s="2" t="inlineStr">
        <is>
          <t>Yes</t>
        </is>
      </c>
      <c r="H55" s="2" t="n">
        <v>32</v>
      </c>
      <c r="I55" s="2" t="n">
        <v>1.4</v>
      </c>
      <c r="J55" s="2" t="n">
        <v>1.6</v>
      </c>
      <c r="K55" s="2" t="n">
        <v>2.6</v>
      </c>
      <c r="L55" s="2" t="inlineStr">
        <is>
          <t>Active</t>
        </is>
      </c>
    </row>
    <row r="56">
      <c r="A56" s="2" t="inlineStr">
        <is>
          <t>EMP00499</t>
        </is>
      </c>
      <c r="B56" s="2" t="inlineStr">
        <is>
          <t>Engineering</t>
        </is>
      </c>
      <c r="C56" s="2" t="inlineStr">
        <is>
          <t>Engineering Manager</t>
        </is>
      </c>
      <c r="D56" s="2" t="n">
        <v>27</v>
      </c>
      <c r="E56" s="2" t="n">
        <v>5.2</v>
      </c>
      <c r="F56" s="2" t="n">
        <v>1352000</v>
      </c>
      <c r="G56" s="2" t="inlineStr">
        <is>
          <t>Yes</t>
        </is>
      </c>
      <c r="H56" s="2" t="n">
        <v>16</v>
      </c>
      <c r="I56" s="2" t="n">
        <v>4.9</v>
      </c>
      <c r="J56" s="2" t="n">
        <v>2.8</v>
      </c>
      <c r="K56" s="2" t="n">
        <v>3.4</v>
      </c>
      <c r="L56" s="2" t="inlineStr">
        <is>
          <t>Active</t>
        </is>
      </c>
    </row>
    <row r="57">
      <c r="A57" s="2" t="inlineStr">
        <is>
          <t>EMP00114</t>
        </is>
      </c>
      <c r="B57" s="2" t="inlineStr">
        <is>
          <t>Operations</t>
        </is>
      </c>
      <c r="C57" s="2" t="inlineStr">
        <is>
          <t>Process Lead</t>
        </is>
      </c>
      <c r="D57" s="2" t="n">
        <v>36</v>
      </c>
      <c r="E57" s="2" t="n">
        <v>4.5</v>
      </c>
      <c r="F57" s="2" t="n">
        <v>788000</v>
      </c>
      <c r="G57" s="2" t="inlineStr">
        <is>
          <t>Yes</t>
        </is>
      </c>
      <c r="H57" s="2" t="n">
        <v>31</v>
      </c>
      <c r="I57" s="2" t="n">
        <v>3.7</v>
      </c>
      <c r="J57" s="2" t="n">
        <v>2.2</v>
      </c>
      <c r="K57" s="2" t="n">
        <v>3.4</v>
      </c>
      <c r="L57" s="2" t="inlineStr">
        <is>
          <t>Active</t>
        </is>
      </c>
    </row>
    <row r="58">
      <c r="A58" s="2" t="inlineStr">
        <is>
          <t>EMP00129</t>
        </is>
      </c>
      <c r="B58" s="2" t="inlineStr">
        <is>
          <t>Sales</t>
        </is>
      </c>
      <c r="C58" s="2" t="inlineStr">
        <is>
          <t>Sales Executive</t>
        </is>
      </c>
      <c r="D58" s="2" t="n">
        <v>21</v>
      </c>
      <c r="E58" s="2" t="n">
        <v>1.5</v>
      </c>
      <c r="F58" s="2" t="n">
        <v>612000</v>
      </c>
      <c r="G58" s="2" t="inlineStr">
        <is>
          <t>No</t>
        </is>
      </c>
      <c r="H58" s="2" t="n">
        <v>15</v>
      </c>
      <c r="I58" s="2" t="n">
        <v>4.2</v>
      </c>
      <c r="J58" s="2" t="n">
        <v>3.3</v>
      </c>
      <c r="K58" s="2" t="n">
        <v>3</v>
      </c>
      <c r="L58" s="2" t="inlineStr">
        <is>
          <t>Resigned</t>
        </is>
      </c>
    </row>
    <row r="59">
      <c r="A59" s="2" t="inlineStr">
        <is>
          <t>EMP00653</t>
        </is>
      </c>
      <c r="B59" s="2" t="inlineStr">
        <is>
          <t>Finance</t>
        </is>
      </c>
      <c r="C59" s="2" t="inlineStr">
        <is>
          <t>Finance Manager</t>
        </is>
      </c>
      <c r="D59" s="2" t="n">
        <v>29</v>
      </c>
      <c r="E59" s="2" t="n">
        <v>6.2</v>
      </c>
      <c r="F59" s="2" t="n">
        <v>980000</v>
      </c>
      <c r="G59" s="2" t="inlineStr">
        <is>
          <t>No</t>
        </is>
      </c>
      <c r="H59" s="2" t="n">
        <v>60</v>
      </c>
      <c r="I59" s="2" t="n">
        <v>3.3</v>
      </c>
      <c r="J59" s="2" t="n">
        <v>4.1</v>
      </c>
      <c r="K59" s="2" t="n">
        <v>1.8</v>
      </c>
      <c r="L59" s="2" t="inlineStr">
        <is>
          <t>Active</t>
        </is>
      </c>
    </row>
    <row r="60">
      <c r="A60" s="2" t="inlineStr">
        <is>
          <t>EMP00674</t>
        </is>
      </c>
      <c r="B60" s="2" t="inlineStr">
        <is>
          <t>Finance</t>
        </is>
      </c>
      <c r="C60" s="2" t="inlineStr">
        <is>
          <t>Finance Manager</t>
        </is>
      </c>
      <c r="D60" s="2" t="n">
        <v>33</v>
      </c>
      <c r="E60" s="2" t="n">
        <v>3.5</v>
      </c>
      <c r="F60" s="2" t="n">
        <v>951000</v>
      </c>
      <c r="G60" s="2" t="inlineStr">
        <is>
          <t>Yes</t>
        </is>
      </c>
      <c r="H60" s="2" t="n">
        <v>10</v>
      </c>
      <c r="I60" s="2" t="n">
        <v>3.8</v>
      </c>
      <c r="J60" s="2" t="n">
        <v>2.3</v>
      </c>
      <c r="K60" s="2" t="n">
        <v>2.6</v>
      </c>
      <c r="L60" s="2" t="inlineStr">
        <is>
          <t>Active</t>
        </is>
      </c>
    </row>
    <row r="61">
      <c r="A61" s="2" t="inlineStr">
        <is>
          <t>EMP00047</t>
        </is>
      </c>
      <c r="B61" s="2" t="inlineStr">
        <is>
          <t>Engineering</t>
        </is>
      </c>
      <c r="C61" s="2" t="inlineStr">
        <is>
          <t>Engineering Manager</t>
        </is>
      </c>
      <c r="D61" s="2" t="n">
        <v>51</v>
      </c>
      <c r="E61" s="2" t="n">
        <v>4.8</v>
      </c>
      <c r="F61" s="2" t="n">
        <v>1151000</v>
      </c>
      <c r="G61" s="2" t="inlineStr">
        <is>
          <t>No</t>
        </is>
      </c>
      <c r="H61" s="2" t="n">
        <v>48</v>
      </c>
      <c r="I61" s="2" t="n">
        <v>2.3</v>
      </c>
      <c r="J61" s="2" t="n">
        <v>2.9</v>
      </c>
      <c r="K61" s="2" t="n">
        <v>2.3</v>
      </c>
      <c r="L61" s="2" t="inlineStr">
        <is>
          <t>Active</t>
        </is>
      </c>
    </row>
    <row r="62">
      <c r="A62" s="2" t="inlineStr">
        <is>
          <t>EMP01149</t>
        </is>
      </c>
      <c r="B62" s="2" t="inlineStr">
        <is>
          <t>Operations</t>
        </is>
      </c>
      <c r="C62" s="2" t="inlineStr">
        <is>
          <t>Ops Analyst</t>
        </is>
      </c>
      <c r="D62" s="2" t="n">
        <v>39</v>
      </c>
      <c r="E62" s="2" t="n">
        <v>2.2</v>
      </c>
      <c r="F62" s="2" t="n">
        <v>738000</v>
      </c>
      <c r="G62" s="2" t="inlineStr">
        <is>
          <t>No</t>
        </is>
      </c>
      <c r="H62" s="2" t="n">
        <v>23</v>
      </c>
      <c r="I62" s="2" t="n">
        <v>4</v>
      </c>
      <c r="J62" s="2" t="n">
        <v>4.6</v>
      </c>
      <c r="K62" s="2" t="n">
        <v>3.2</v>
      </c>
      <c r="L62" s="2" t="inlineStr">
        <is>
          <t>Active</t>
        </is>
      </c>
    </row>
    <row r="63">
      <c r="A63" s="2" t="inlineStr">
        <is>
          <t>EMP01188</t>
        </is>
      </c>
      <c r="B63" s="2" t="inlineStr">
        <is>
          <t>Customer Support</t>
        </is>
      </c>
      <c r="C63" s="2" t="inlineStr">
        <is>
          <t>Support Manager</t>
        </is>
      </c>
      <c r="D63" s="2" t="n">
        <v>34</v>
      </c>
      <c r="E63" s="2" t="n">
        <v>1.9</v>
      </c>
      <c r="F63" s="2" t="n">
        <v>474000</v>
      </c>
      <c r="G63" s="2" t="inlineStr">
        <is>
          <t>Yes</t>
        </is>
      </c>
      <c r="H63" s="2" t="n">
        <v>36</v>
      </c>
      <c r="I63" s="2" t="n">
        <v>1.9</v>
      </c>
      <c r="J63" s="2" t="n">
        <v>2.7</v>
      </c>
      <c r="K63" s="2" t="n">
        <v>2.6</v>
      </c>
      <c r="L63" s="2" t="inlineStr">
        <is>
          <t>Resigned</t>
        </is>
      </c>
    </row>
    <row r="64">
      <c r="A64" s="2" t="inlineStr">
        <is>
          <t>EMP00397</t>
        </is>
      </c>
      <c r="B64" s="2" t="inlineStr">
        <is>
          <t>HR</t>
        </is>
      </c>
      <c r="C64" s="2" t="inlineStr">
        <is>
          <t>HR Manager</t>
        </is>
      </c>
      <c r="D64" s="2" t="n">
        <v>21</v>
      </c>
      <c r="E64" s="2" t="n">
        <v>1.3</v>
      </c>
      <c r="F64" s="2" t="n">
        <v>617000</v>
      </c>
      <c r="G64" s="2" t="inlineStr">
        <is>
          <t>No</t>
        </is>
      </c>
      <c r="H64" s="2" t="n">
        <v>12</v>
      </c>
      <c r="I64" s="2" t="n">
        <v>4.5</v>
      </c>
      <c r="J64" s="2" t="n">
        <v>3.6</v>
      </c>
      <c r="K64" s="2" t="n">
        <v>3.2</v>
      </c>
      <c r="L64" s="2" t="inlineStr">
        <is>
          <t>Active</t>
        </is>
      </c>
    </row>
    <row r="65">
      <c r="A65" s="2" t="inlineStr">
        <is>
          <t>EMP00510</t>
        </is>
      </c>
      <c r="B65" s="2" t="inlineStr">
        <is>
          <t>Sales</t>
        </is>
      </c>
      <c r="C65" s="2" t="inlineStr">
        <is>
          <t>Account Manager</t>
        </is>
      </c>
      <c r="D65" s="2" t="n">
        <v>43</v>
      </c>
      <c r="E65" s="2" t="n">
        <v>2.8</v>
      </c>
      <c r="F65" s="2" t="n">
        <v>861000</v>
      </c>
      <c r="G65" s="2" t="inlineStr">
        <is>
          <t>Yes</t>
        </is>
      </c>
      <c r="H65" s="2" t="n">
        <v>23</v>
      </c>
      <c r="I65" s="2" t="n">
        <v>3.3</v>
      </c>
      <c r="J65" s="2" t="n">
        <v>2.9</v>
      </c>
      <c r="K65" s="2" t="n">
        <v>4.4</v>
      </c>
      <c r="L65" s="2" t="inlineStr">
        <is>
          <t>Active</t>
        </is>
      </c>
    </row>
    <row r="66">
      <c r="A66" s="2" t="inlineStr">
        <is>
          <t>EMP00798</t>
        </is>
      </c>
      <c r="B66" s="2" t="inlineStr">
        <is>
          <t>Sales</t>
        </is>
      </c>
      <c r="C66" s="2" t="inlineStr">
        <is>
          <t>Sales Manager</t>
        </is>
      </c>
      <c r="D66" s="2" t="n">
        <v>44</v>
      </c>
      <c r="E66" s="2" t="n">
        <v>3.8</v>
      </c>
      <c r="F66" s="2" t="n">
        <v>882000</v>
      </c>
      <c r="G66" s="2" t="inlineStr">
        <is>
          <t>No</t>
        </is>
      </c>
      <c r="H66" s="2" t="n">
        <v>23</v>
      </c>
      <c r="I66" s="2" t="n">
        <v>2.7</v>
      </c>
      <c r="J66" s="2" t="n">
        <v>3</v>
      </c>
      <c r="K66" s="2" t="n">
        <v>3.5</v>
      </c>
      <c r="L66" s="2" t="inlineStr">
        <is>
          <t>Active</t>
        </is>
      </c>
    </row>
    <row r="67">
      <c r="A67" s="2" t="inlineStr">
        <is>
          <t>EMP00456</t>
        </is>
      </c>
      <c r="B67" s="2" t="inlineStr">
        <is>
          <t>Sales</t>
        </is>
      </c>
      <c r="C67" s="2" t="inlineStr">
        <is>
          <t>Sales Executive</t>
        </is>
      </c>
      <c r="D67" s="2" t="n">
        <v>21</v>
      </c>
      <c r="E67" s="2" t="n">
        <v>1.7</v>
      </c>
      <c r="F67" s="2" t="n">
        <v>661000</v>
      </c>
      <c r="G67" s="2" t="inlineStr">
        <is>
          <t>No</t>
        </is>
      </c>
      <c r="H67" s="2" t="n">
        <v>3</v>
      </c>
      <c r="I67" s="2" t="n">
        <v>4.4</v>
      </c>
      <c r="J67" s="2" t="n">
        <v>3.9</v>
      </c>
      <c r="K67" s="2" t="n">
        <v>2.6</v>
      </c>
      <c r="L67" s="2" t="inlineStr">
        <is>
          <t>Active</t>
        </is>
      </c>
    </row>
    <row r="68">
      <c r="A68" s="2" t="inlineStr">
        <is>
          <t>EMP00987</t>
        </is>
      </c>
      <c r="B68" s="2" t="inlineStr">
        <is>
          <t>Engineering</t>
        </is>
      </c>
      <c r="C68" s="2" t="inlineStr">
        <is>
          <t>Engineering Manager</t>
        </is>
      </c>
      <c r="D68" s="2" t="n">
        <v>28</v>
      </c>
      <c r="E68" s="2" t="n">
        <v>7.1</v>
      </c>
      <c r="F68" s="2" t="n">
        <v>1331000</v>
      </c>
      <c r="G68" s="2" t="inlineStr">
        <is>
          <t>Yes</t>
        </is>
      </c>
      <c r="H68" s="2" t="n">
        <v>32</v>
      </c>
      <c r="I68" s="2" t="n">
        <v>3.4</v>
      </c>
      <c r="J68" s="2" t="n">
        <v>2.5</v>
      </c>
      <c r="K68" s="2" t="n">
        <v>4.5</v>
      </c>
      <c r="L68" s="2" t="inlineStr">
        <is>
          <t>Active</t>
        </is>
      </c>
    </row>
    <row r="69">
      <c r="A69" s="2" t="inlineStr">
        <is>
          <t>EMP00644</t>
        </is>
      </c>
      <c r="B69" s="2" t="inlineStr">
        <is>
          <t>Engineering</t>
        </is>
      </c>
      <c r="C69" s="2" t="inlineStr">
        <is>
          <t>Senior Engineer</t>
        </is>
      </c>
      <c r="D69" s="2" t="n">
        <v>41</v>
      </c>
      <c r="E69" s="2" t="n">
        <v>3.5</v>
      </c>
      <c r="F69" s="2" t="n">
        <v>1075000</v>
      </c>
      <c r="G69" s="2" t="inlineStr">
        <is>
          <t>Yes</t>
        </is>
      </c>
      <c r="H69" s="2" t="n">
        <v>13</v>
      </c>
      <c r="I69" s="2" t="n">
        <v>4.6</v>
      </c>
      <c r="J69" s="2" t="n">
        <v>2.7</v>
      </c>
      <c r="K69" s="2" t="n">
        <v>3</v>
      </c>
      <c r="L69" s="2" t="inlineStr">
        <is>
          <t>Active</t>
        </is>
      </c>
    </row>
    <row r="70">
      <c r="A70" s="2" t="inlineStr">
        <is>
          <t>EMP00661</t>
        </is>
      </c>
      <c r="B70" s="2" t="inlineStr">
        <is>
          <t>Engineering</t>
        </is>
      </c>
      <c r="C70" s="2" t="inlineStr">
        <is>
          <t>Software Engineer</t>
        </is>
      </c>
      <c r="D70" s="2" t="n">
        <v>26</v>
      </c>
      <c r="E70" s="2" t="n">
        <v>1.1</v>
      </c>
      <c r="F70" s="2" t="n">
        <v>1159000</v>
      </c>
      <c r="G70" s="2" t="inlineStr">
        <is>
          <t>Yes</t>
        </is>
      </c>
      <c r="H70" s="2" t="n">
        <v>54</v>
      </c>
      <c r="I70" s="2" t="n">
        <v>3.1</v>
      </c>
      <c r="J70" s="2" t="n">
        <v>2.5</v>
      </c>
      <c r="K70" s="2" t="n">
        <v>3.1</v>
      </c>
      <c r="L70" s="2" t="inlineStr">
        <is>
          <t>Active</t>
        </is>
      </c>
    </row>
    <row r="71">
      <c r="A71" s="2" t="inlineStr">
        <is>
          <t>EMP00725</t>
        </is>
      </c>
      <c r="B71" s="2" t="inlineStr">
        <is>
          <t>Sales</t>
        </is>
      </c>
      <c r="C71" s="2" t="inlineStr">
        <is>
          <t>Account Manager</t>
        </is>
      </c>
      <c r="D71" s="2" t="n">
        <v>44</v>
      </c>
      <c r="E71" s="2" t="n">
        <v>0.4</v>
      </c>
      <c r="F71" s="2" t="n">
        <v>636000</v>
      </c>
      <c r="G71" s="2" t="inlineStr">
        <is>
          <t>Yes</t>
        </is>
      </c>
      <c r="H71" s="2" t="n">
        <v>20</v>
      </c>
      <c r="I71" s="2" t="n">
        <v>5</v>
      </c>
      <c r="J71" s="2" t="n">
        <v>2.8</v>
      </c>
      <c r="K71" s="2" t="n">
        <v>3.4</v>
      </c>
      <c r="L71" s="2" t="inlineStr">
        <is>
          <t>Active</t>
        </is>
      </c>
    </row>
    <row r="72">
      <c r="A72" s="2" t="inlineStr">
        <is>
          <t>EMP00925</t>
        </is>
      </c>
      <c r="B72" s="2" t="inlineStr">
        <is>
          <t>Sales</t>
        </is>
      </c>
      <c r="C72" s="2" t="inlineStr">
        <is>
          <t>Account Manager</t>
        </is>
      </c>
      <c r="D72" s="2" t="n">
        <v>31</v>
      </c>
      <c r="E72" s="2" t="n">
        <v>10.6</v>
      </c>
      <c r="F72" s="2" t="n">
        <v>1071000</v>
      </c>
      <c r="G72" s="2" t="inlineStr">
        <is>
          <t>Yes</t>
        </is>
      </c>
      <c r="H72" s="2" t="n">
        <v>17</v>
      </c>
      <c r="I72" s="2" t="n">
        <v>3.5</v>
      </c>
      <c r="J72" s="2" t="n">
        <v>2.7</v>
      </c>
      <c r="K72" s="2" t="n">
        <v>3</v>
      </c>
      <c r="L72" s="2" t="inlineStr">
        <is>
          <t>Active</t>
        </is>
      </c>
    </row>
    <row r="73">
      <c r="A73" s="2" t="inlineStr">
        <is>
          <t>EMP00621</t>
        </is>
      </c>
      <c r="B73" s="2" t="inlineStr">
        <is>
          <t>HR</t>
        </is>
      </c>
      <c r="C73" s="2" t="inlineStr">
        <is>
          <t>Recruiter</t>
        </is>
      </c>
      <c r="D73" s="2" t="n">
        <v>39</v>
      </c>
      <c r="E73" s="2" t="n">
        <v>3.3</v>
      </c>
      <c r="F73" s="2" t="n">
        <v>617000</v>
      </c>
      <c r="G73" s="2" t="inlineStr">
        <is>
          <t>Yes</t>
        </is>
      </c>
      <c r="H73" s="2" t="n">
        <v>57</v>
      </c>
      <c r="I73" s="2" t="n">
        <v>3</v>
      </c>
      <c r="J73" s="2" t="n">
        <v>3.3</v>
      </c>
      <c r="K73" s="2" t="n">
        <v>2.8</v>
      </c>
      <c r="L73" s="2" t="inlineStr">
        <is>
          <t>Active</t>
        </is>
      </c>
    </row>
    <row r="74">
      <c r="A74" s="2" t="inlineStr">
        <is>
          <t>EMP00221</t>
        </is>
      </c>
      <c r="B74" s="2" t="inlineStr">
        <is>
          <t>Engineering</t>
        </is>
      </c>
      <c r="C74" s="2" t="inlineStr">
        <is>
          <t>Engineering Manager</t>
        </is>
      </c>
      <c r="D74" s="2" t="n">
        <v>32</v>
      </c>
      <c r="E74" s="2" t="n">
        <v>5.2</v>
      </c>
      <c r="F74" s="2" t="n">
        <v>1162000</v>
      </c>
      <c r="G74" s="2" t="inlineStr">
        <is>
          <t>Yes</t>
        </is>
      </c>
      <c r="H74" s="2" t="n">
        <v>40</v>
      </c>
      <c r="I74" s="2" t="n">
        <v>5</v>
      </c>
      <c r="J74" s="2" t="n">
        <v>3.8</v>
      </c>
      <c r="K74" s="2" t="n">
        <v>2.9</v>
      </c>
      <c r="L74" s="2" t="inlineStr">
        <is>
          <t>Resigned</t>
        </is>
      </c>
    </row>
    <row r="75">
      <c r="A75" s="2" t="inlineStr">
        <is>
          <t>EMP00409</t>
        </is>
      </c>
      <c r="B75" s="2" t="inlineStr">
        <is>
          <t>Sales</t>
        </is>
      </c>
      <c r="C75" s="2" t="inlineStr">
        <is>
          <t>Sales Manager</t>
        </is>
      </c>
      <c r="D75" s="2" t="n">
        <v>32</v>
      </c>
      <c r="E75" s="2" t="n">
        <v>4.7</v>
      </c>
      <c r="F75" s="2" t="n">
        <v>925000</v>
      </c>
      <c r="G75" s="2" t="inlineStr">
        <is>
          <t>Yes</t>
        </is>
      </c>
      <c r="H75" s="2" t="n">
        <v>56</v>
      </c>
      <c r="I75" s="2" t="n">
        <v>4.5</v>
      </c>
      <c r="J75" s="2" t="n">
        <v>1.8</v>
      </c>
      <c r="K75" s="2" t="n">
        <v>3.4</v>
      </c>
      <c r="L75" s="2" t="inlineStr">
        <is>
          <t>Active</t>
        </is>
      </c>
    </row>
    <row r="76">
      <c r="A76" s="2" t="inlineStr">
        <is>
          <t>EMP00922</t>
        </is>
      </c>
      <c r="B76" s="2" t="inlineStr">
        <is>
          <t>Customer Support</t>
        </is>
      </c>
      <c r="C76" s="2" t="inlineStr">
        <is>
          <t>Support Associate</t>
        </is>
      </c>
      <c r="D76" s="2" t="n">
        <v>43</v>
      </c>
      <c r="E76" s="2" t="n">
        <v>2.4</v>
      </c>
      <c r="F76" s="2" t="n">
        <v>540000</v>
      </c>
      <c r="G76" s="2" t="inlineStr">
        <is>
          <t>No</t>
        </is>
      </c>
      <c r="H76" s="2" t="n">
        <v>26</v>
      </c>
      <c r="I76" s="2" t="n">
        <v>2.4</v>
      </c>
      <c r="J76" s="2" t="n">
        <v>3.9</v>
      </c>
      <c r="K76" s="2" t="n">
        <v>2.4</v>
      </c>
      <c r="L76" s="2" t="inlineStr">
        <is>
          <t>Active</t>
        </is>
      </c>
    </row>
    <row r="77">
      <c r="A77" s="2" t="inlineStr">
        <is>
          <t>EMP00285</t>
        </is>
      </c>
      <c r="B77" s="2" t="inlineStr">
        <is>
          <t>Operations</t>
        </is>
      </c>
      <c r="C77" s="2" t="inlineStr">
        <is>
          <t>Ops Manager</t>
        </is>
      </c>
      <c r="D77" s="2" t="n">
        <v>38</v>
      </c>
      <c r="E77" s="2" t="n">
        <v>0.3</v>
      </c>
      <c r="F77" s="2" t="n">
        <v>661000</v>
      </c>
      <c r="G77" s="2" t="inlineStr">
        <is>
          <t>No</t>
        </is>
      </c>
      <c r="H77" s="2" t="n">
        <v>58</v>
      </c>
      <c r="I77" s="2" t="n">
        <v>2.7</v>
      </c>
      <c r="J77" s="2" t="n">
        <v>4</v>
      </c>
      <c r="K77" s="2" t="n">
        <v>4.4</v>
      </c>
      <c r="L77" s="2" t="inlineStr">
        <is>
          <t>Active</t>
        </is>
      </c>
    </row>
    <row r="78">
      <c r="A78" s="2" t="inlineStr">
        <is>
          <t>EMP00879</t>
        </is>
      </c>
      <c r="B78" s="2" t="inlineStr">
        <is>
          <t>Finance</t>
        </is>
      </c>
      <c r="C78" s="2" t="inlineStr">
        <is>
          <t>Finance Manager</t>
        </is>
      </c>
      <c r="D78" s="2" t="n">
        <v>37</v>
      </c>
      <c r="E78" s="2" t="n">
        <v>7.2</v>
      </c>
      <c r="F78" s="2" t="n">
        <v>1227000</v>
      </c>
      <c r="G78" s="2" t="inlineStr">
        <is>
          <t>No</t>
        </is>
      </c>
      <c r="H78" s="2" t="n">
        <v>1</v>
      </c>
      <c r="I78" s="2" t="n">
        <v>2.6</v>
      </c>
      <c r="J78" s="2" t="n">
        <v>2.7</v>
      </c>
      <c r="K78" s="2" t="n">
        <v>3.6</v>
      </c>
      <c r="L78" s="2" t="inlineStr">
        <is>
          <t>Active</t>
        </is>
      </c>
    </row>
    <row r="79">
      <c r="A79" s="2" t="inlineStr">
        <is>
          <t>EMP00368</t>
        </is>
      </c>
      <c r="B79" s="2" t="inlineStr">
        <is>
          <t>Finance</t>
        </is>
      </c>
      <c r="C79" s="2" t="inlineStr">
        <is>
          <t>Finance Manager</t>
        </is>
      </c>
      <c r="D79" s="2" t="n">
        <v>37</v>
      </c>
      <c r="E79" s="2" t="n">
        <v>5.6</v>
      </c>
      <c r="F79" s="2" t="n">
        <v>905000</v>
      </c>
      <c r="G79" s="2" t="inlineStr">
        <is>
          <t>No</t>
        </is>
      </c>
      <c r="H79" s="2" t="n">
        <v>60</v>
      </c>
      <c r="I79" s="2" t="n">
        <v>3.3</v>
      </c>
      <c r="J79" s="2" t="n">
        <v>4</v>
      </c>
      <c r="K79" s="2" t="n">
        <v>3.4</v>
      </c>
      <c r="L79" s="2" t="inlineStr">
        <is>
          <t>Active</t>
        </is>
      </c>
    </row>
    <row r="80">
      <c r="A80" s="2" t="inlineStr">
        <is>
          <t>EMP01174</t>
        </is>
      </c>
      <c r="B80" s="2" t="inlineStr">
        <is>
          <t>HR</t>
        </is>
      </c>
      <c r="C80" s="2" t="inlineStr">
        <is>
          <t>HR Generalist</t>
        </is>
      </c>
      <c r="D80" s="2" t="n">
        <v>34</v>
      </c>
      <c r="E80" s="2" t="n">
        <v>2.5</v>
      </c>
      <c r="F80" s="2" t="n">
        <v>694000</v>
      </c>
      <c r="G80" s="2" t="inlineStr">
        <is>
          <t>No</t>
        </is>
      </c>
      <c r="H80" s="2" t="n">
        <v>10</v>
      </c>
      <c r="I80" s="2" t="n">
        <v>3.2</v>
      </c>
      <c r="J80" s="2" t="n">
        <v>3</v>
      </c>
      <c r="K80" s="2" t="n">
        <v>3.1</v>
      </c>
      <c r="L80" s="2" t="inlineStr">
        <is>
          <t>Active</t>
        </is>
      </c>
    </row>
    <row r="81">
      <c r="A81" s="2" t="inlineStr">
        <is>
          <t>EMP00431</t>
        </is>
      </c>
      <c r="B81" s="2" t="inlineStr">
        <is>
          <t>Customer Support</t>
        </is>
      </c>
      <c r="C81" s="2" t="inlineStr">
        <is>
          <t>Support Manager</t>
        </is>
      </c>
      <c r="D81" s="2" t="n">
        <v>51</v>
      </c>
      <c r="E81" s="2" t="n">
        <v>3</v>
      </c>
      <c r="F81" s="2" t="n">
        <v>599000</v>
      </c>
      <c r="G81" s="2" t="inlineStr">
        <is>
          <t>No</t>
        </is>
      </c>
      <c r="H81" s="2" t="n">
        <v>3</v>
      </c>
      <c r="I81" s="2" t="n">
        <v>4.7</v>
      </c>
      <c r="J81" s="2" t="n">
        <v>4</v>
      </c>
      <c r="K81" s="2" t="n">
        <v>3</v>
      </c>
      <c r="L81" s="2" t="inlineStr">
        <is>
          <t>Active</t>
        </is>
      </c>
    </row>
    <row r="82">
      <c r="A82" s="2" t="inlineStr">
        <is>
          <t>EMP00759</t>
        </is>
      </c>
      <c r="B82" s="2" t="inlineStr">
        <is>
          <t>Sales</t>
        </is>
      </c>
      <c r="C82" s="2" t="inlineStr">
        <is>
          <t>Sales Manager</t>
        </is>
      </c>
      <c r="D82" s="2" t="n">
        <v>26</v>
      </c>
      <c r="E82" s="2" t="n">
        <v>1.2</v>
      </c>
      <c r="F82" s="2" t="n">
        <v>600000</v>
      </c>
      <c r="G82" s="2" t="inlineStr">
        <is>
          <t>No</t>
        </is>
      </c>
      <c r="H82" s="2" t="n">
        <v>45</v>
      </c>
      <c r="I82" s="2" t="n">
        <v>4.2</v>
      </c>
      <c r="J82" s="2" t="n">
        <v>3.1</v>
      </c>
      <c r="K82" s="2" t="n">
        <v>2.4</v>
      </c>
      <c r="L82" s="2" t="inlineStr">
        <is>
          <t>Active</t>
        </is>
      </c>
    </row>
    <row r="83">
      <c r="A83" s="2" t="inlineStr">
        <is>
          <t>EMP00061</t>
        </is>
      </c>
      <c r="B83" s="2" t="inlineStr">
        <is>
          <t>Finance</t>
        </is>
      </c>
      <c r="C83" s="2" t="inlineStr">
        <is>
          <t>Accountant</t>
        </is>
      </c>
      <c r="D83" s="2" t="n">
        <v>30</v>
      </c>
      <c r="E83" s="2" t="n">
        <v>7.7</v>
      </c>
      <c r="F83" s="2" t="n">
        <v>981000</v>
      </c>
      <c r="G83" s="2" t="inlineStr">
        <is>
          <t>No</t>
        </is>
      </c>
      <c r="H83" s="2" t="n">
        <v>59</v>
      </c>
      <c r="I83" s="2" t="n">
        <v>2.9</v>
      </c>
      <c r="J83" s="2" t="n">
        <v>2.2</v>
      </c>
      <c r="K83" s="2" t="n">
        <v>3.8</v>
      </c>
      <c r="L83" s="2" t="inlineStr">
        <is>
          <t>Active</t>
        </is>
      </c>
    </row>
    <row r="84">
      <c r="A84" s="2" t="inlineStr">
        <is>
          <t>EMP00229</t>
        </is>
      </c>
      <c r="B84" s="2" t="inlineStr">
        <is>
          <t>Finance</t>
        </is>
      </c>
      <c r="C84" s="2" t="inlineStr">
        <is>
          <t>Accountant</t>
        </is>
      </c>
      <c r="D84" s="2" t="n">
        <v>21</v>
      </c>
      <c r="E84" s="2" t="n">
        <v>3.4</v>
      </c>
      <c r="F84" s="2" t="n">
        <v>1015000</v>
      </c>
      <c r="G84" s="2" t="inlineStr">
        <is>
          <t>Yes</t>
        </is>
      </c>
      <c r="H84" s="2" t="n">
        <v>27</v>
      </c>
      <c r="I84" s="2" t="n">
        <v>2.9</v>
      </c>
      <c r="J84" s="2" t="n">
        <v>1.4</v>
      </c>
      <c r="K84" s="2" t="n">
        <v>2</v>
      </c>
      <c r="L84" s="2" t="inlineStr">
        <is>
          <t>Resigned</t>
        </is>
      </c>
    </row>
    <row r="85">
      <c r="A85" s="2" t="inlineStr">
        <is>
          <t>EMP00826</t>
        </is>
      </c>
      <c r="B85" s="2" t="inlineStr">
        <is>
          <t>Sales</t>
        </is>
      </c>
      <c r="C85" s="2" t="inlineStr">
        <is>
          <t>Sales Manager</t>
        </is>
      </c>
      <c r="D85" s="2" t="n">
        <v>23</v>
      </c>
      <c r="E85" s="2" t="n">
        <v>6.2</v>
      </c>
      <c r="F85" s="2" t="n">
        <v>859000</v>
      </c>
      <c r="G85" s="2" t="inlineStr">
        <is>
          <t>No</t>
        </is>
      </c>
      <c r="H85" s="2" t="n">
        <v>4</v>
      </c>
      <c r="I85" s="2" t="n">
        <v>3</v>
      </c>
      <c r="J85" s="2" t="n">
        <v>3.1</v>
      </c>
      <c r="K85" s="2" t="n">
        <v>4.1</v>
      </c>
      <c r="L85" s="2" t="inlineStr">
        <is>
          <t>Active</t>
        </is>
      </c>
    </row>
    <row r="86">
      <c r="A86" s="2" t="inlineStr">
        <is>
          <t>EMP00362</t>
        </is>
      </c>
      <c r="B86" s="2" t="inlineStr">
        <is>
          <t>Sales</t>
        </is>
      </c>
      <c r="C86" s="2" t="inlineStr">
        <is>
          <t>Account Manager</t>
        </is>
      </c>
      <c r="D86" s="2" t="n">
        <v>21</v>
      </c>
      <c r="E86" s="2" t="n">
        <v>2.7</v>
      </c>
      <c r="F86" s="2" t="n">
        <v>708000</v>
      </c>
      <c r="G86" s="2" t="inlineStr">
        <is>
          <t>Yes</t>
        </is>
      </c>
      <c r="H86" s="2" t="n">
        <v>21</v>
      </c>
      <c r="I86" s="2" t="n">
        <v>3</v>
      </c>
      <c r="J86" s="2" t="n">
        <v>3.1</v>
      </c>
      <c r="K86" s="2" t="n">
        <v>4.7</v>
      </c>
      <c r="L86" s="2" t="inlineStr">
        <is>
          <t>Active</t>
        </is>
      </c>
    </row>
    <row r="87">
      <c r="A87" s="2" t="inlineStr">
        <is>
          <t>EMP00650</t>
        </is>
      </c>
      <c r="B87" s="2" t="inlineStr">
        <is>
          <t>Sales</t>
        </is>
      </c>
      <c r="C87" s="2" t="inlineStr">
        <is>
          <t>Sales Manager</t>
        </is>
      </c>
      <c r="D87" s="2" t="n">
        <v>25</v>
      </c>
      <c r="E87" s="2" t="n">
        <v>5.2</v>
      </c>
      <c r="F87" s="2" t="n">
        <v>963000</v>
      </c>
      <c r="G87" s="2" t="inlineStr">
        <is>
          <t>No</t>
        </is>
      </c>
      <c r="H87" s="2" t="n">
        <v>54</v>
      </c>
      <c r="I87" s="2" t="n">
        <v>1.5</v>
      </c>
      <c r="J87" s="2" t="n">
        <v>4.4</v>
      </c>
      <c r="K87" s="2" t="n">
        <v>3.7</v>
      </c>
      <c r="L87" s="2" t="inlineStr">
        <is>
          <t>Active</t>
        </is>
      </c>
    </row>
    <row r="88">
      <c r="A88" s="2" t="inlineStr">
        <is>
          <t>EMP00542</t>
        </is>
      </c>
      <c r="B88" s="2" t="inlineStr">
        <is>
          <t>Operations</t>
        </is>
      </c>
      <c r="C88" s="2" t="inlineStr">
        <is>
          <t>Process Lead</t>
        </is>
      </c>
      <c r="D88" s="2" t="n">
        <v>36</v>
      </c>
      <c r="E88" s="2" t="n">
        <v>8.4</v>
      </c>
      <c r="F88" s="2" t="n">
        <v>915000</v>
      </c>
      <c r="G88" s="2" t="inlineStr">
        <is>
          <t>No</t>
        </is>
      </c>
      <c r="H88" s="2" t="n">
        <v>16</v>
      </c>
      <c r="I88" s="2" t="n">
        <v>3.8</v>
      </c>
      <c r="J88" s="2" t="n">
        <v>2.6</v>
      </c>
      <c r="K88" s="2" t="n">
        <v>3.2</v>
      </c>
      <c r="L88" s="2" t="inlineStr">
        <is>
          <t>Active</t>
        </is>
      </c>
    </row>
    <row r="89">
      <c r="A89" s="2" t="inlineStr">
        <is>
          <t>EMP01178</t>
        </is>
      </c>
      <c r="B89" s="2" t="inlineStr">
        <is>
          <t>Engineering</t>
        </is>
      </c>
      <c r="C89" s="2" t="inlineStr">
        <is>
          <t>Engineering Manager</t>
        </is>
      </c>
      <c r="D89" s="2" t="n">
        <v>33</v>
      </c>
      <c r="E89" s="2" t="n">
        <v>7.5</v>
      </c>
      <c r="F89" s="2" t="n">
        <v>1537000</v>
      </c>
      <c r="G89" s="2" t="inlineStr">
        <is>
          <t>Yes</t>
        </is>
      </c>
      <c r="H89" s="2" t="n">
        <v>34</v>
      </c>
      <c r="I89" s="2" t="n">
        <v>3</v>
      </c>
      <c r="J89" s="2" t="n">
        <v>2.2</v>
      </c>
      <c r="K89" s="2" t="n">
        <v>4.1</v>
      </c>
      <c r="L89" s="2" t="inlineStr">
        <is>
          <t>Active</t>
        </is>
      </c>
    </row>
    <row r="90">
      <c r="A90" s="2" t="inlineStr">
        <is>
          <t>EMP01105</t>
        </is>
      </c>
      <c r="B90" s="2" t="inlineStr">
        <is>
          <t>Sales</t>
        </is>
      </c>
      <c r="C90" s="2" t="inlineStr">
        <is>
          <t>Sales Executive</t>
        </is>
      </c>
      <c r="D90" s="2" t="n">
        <v>38</v>
      </c>
      <c r="E90" s="2" t="n">
        <v>3.7</v>
      </c>
      <c r="F90" s="2" t="n">
        <v>910000</v>
      </c>
      <c r="G90" s="2" t="inlineStr">
        <is>
          <t>No</t>
        </is>
      </c>
      <c r="H90" s="2" t="n">
        <v>34</v>
      </c>
      <c r="I90" s="2" t="n">
        <v>3.8</v>
      </c>
      <c r="J90" s="2" t="n">
        <v>1.7</v>
      </c>
      <c r="K90" s="2" t="n">
        <v>2.9</v>
      </c>
      <c r="L90" s="2" t="inlineStr">
        <is>
          <t>Active</t>
        </is>
      </c>
    </row>
    <row r="91">
      <c r="A91" s="2" t="inlineStr">
        <is>
          <t>EMP00111</t>
        </is>
      </c>
      <c r="B91" s="2" t="inlineStr">
        <is>
          <t>Operations</t>
        </is>
      </c>
      <c r="C91" s="2" t="inlineStr">
        <is>
          <t>Ops Analyst</t>
        </is>
      </c>
      <c r="D91" s="2" t="n">
        <v>22</v>
      </c>
      <c r="E91" s="2" t="n">
        <v>2.4</v>
      </c>
      <c r="F91" s="2" t="n">
        <v>675000</v>
      </c>
      <c r="G91" s="2" t="inlineStr">
        <is>
          <t>No</t>
        </is>
      </c>
      <c r="H91" s="2" t="n">
        <v>9</v>
      </c>
      <c r="I91" s="2" t="n">
        <v>3.2</v>
      </c>
      <c r="J91" s="2" t="n">
        <v>3.5</v>
      </c>
      <c r="K91" s="2" t="n">
        <v>2.5</v>
      </c>
      <c r="L91" s="2" t="inlineStr">
        <is>
          <t>Active</t>
        </is>
      </c>
    </row>
    <row r="92">
      <c r="A92" s="2" t="inlineStr">
        <is>
          <t>EMP00529</t>
        </is>
      </c>
      <c r="B92" s="2" t="inlineStr">
        <is>
          <t>HR</t>
        </is>
      </c>
      <c r="C92" s="2" t="inlineStr">
        <is>
          <t>HR Generalist</t>
        </is>
      </c>
      <c r="D92" s="2" t="n">
        <v>43</v>
      </c>
      <c r="E92" s="2" t="n">
        <v>13.3</v>
      </c>
      <c r="F92" s="2" t="n">
        <v>806000</v>
      </c>
      <c r="G92" s="2" t="inlineStr">
        <is>
          <t>No</t>
        </is>
      </c>
      <c r="H92" s="2" t="n">
        <v>12</v>
      </c>
      <c r="I92" s="2" t="n">
        <v>1.9</v>
      </c>
      <c r="J92" s="2" t="n">
        <v>1.8</v>
      </c>
      <c r="K92" s="2" t="n">
        <v>3</v>
      </c>
      <c r="L92" s="2" t="inlineStr">
        <is>
          <t>Active</t>
        </is>
      </c>
    </row>
    <row r="93">
      <c r="A93" s="2" t="inlineStr">
        <is>
          <t>EMP00627</t>
        </is>
      </c>
      <c r="B93" s="2" t="inlineStr">
        <is>
          <t>HR</t>
        </is>
      </c>
      <c r="C93" s="2" t="inlineStr">
        <is>
          <t>HR Generalist</t>
        </is>
      </c>
      <c r="D93" s="2" t="n">
        <v>29</v>
      </c>
      <c r="E93" s="2" t="n">
        <v>0.8</v>
      </c>
      <c r="F93" s="2" t="n">
        <v>655000</v>
      </c>
      <c r="G93" s="2" t="inlineStr">
        <is>
          <t>No</t>
        </is>
      </c>
      <c r="H93" s="2" t="n">
        <v>7</v>
      </c>
      <c r="I93" s="2" t="n">
        <v>3.1</v>
      </c>
      <c r="J93" s="2" t="n">
        <v>2.3</v>
      </c>
      <c r="K93" s="2" t="n">
        <v>3.2</v>
      </c>
      <c r="L93" s="2" t="inlineStr">
        <is>
          <t>Active</t>
        </is>
      </c>
    </row>
    <row r="94">
      <c r="A94" s="2" t="inlineStr">
        <is>
          <t>EMP00464</t>
        </is>
      </c>
      <c r="B94" s="2" t="inlineStr">
        <is>
          <t>Engineering</t>
        </is>
      </c>
      <c r="C94" s="2" t="inlineStr">
        <is>
          <t>Senior Engineer</t>
        </is>
      </c>
      <c r="D94" s="2" t="n">
        <v>34</v>
      </c>
      <c r="E94" s="2" t="n">
        <v>1.4</v>
      </c>
      <c r="F94" s="2" t="n">
        <v>1183000</v>
      </c>
      <c r="G94" s="2" t="inlineStr">
        <is>
          <t>No</t>
        </is>
      </c>
      <c r="H94" s="2" t="n">
        <v>16</v>
      </c>
      <c r="I94" s="2" t="n">
        <v>3</v>
      </c>
      <c r="J94" s="2" t="n">
        <v>4.4</v>
      </c>
      <c r="K94" s="2" t="n">
        <v>4</v>
      </c>
      <c r="L94" s="2" t="inlineStr">
        <is>
          <t>Active</t>
        </is>
      </c>
    </row>
    <row r="95">
      <c r="A95" s="2" t="inlineStr">
        <is>
          <t>EMP01169</t>
        </is>
      </c>
      <c r="B95" s="2" t="inlineStr">
        <is>
          <t>HR</t>
        </is>
      </c>
      <c r="C95" s="2" t="inlineStr">
        <is>
          <t>HR Manager</t>
        </is>
      </c>
      <c r="D95" s="2" t="n">
        <v>34</v>
      </c>
      <c r="E95" s="2" t="n">
        <v>1.6</v>
      </c>
      <c r="F95" s="2" t="n">
        <v>519000</v>
      </c>
      <c r="G95" s="2" t="inlineStr">
        <is>
          <t>No</t>
        </is>
      </c>
      <c r="H95" s="2" t="n">
        <v>54</v>
      </c>
      <c r="I95" s="2" t="n">
        <v>3.2</v>
      </c>
      <c r="J95" s="2" t="n">
        <v>1.5</v>
      </c>
      <c r="K95" s="2" t="n">
        <v>4.3</v>
      </c>
      <c r="L95" s="2" t="inlineStr">
        <is>
          <t>Active</t>
        </is>
      </c>
    </row>
    <row r="96">
      <c r="A96" s="2" t="inlineStr">
        <is>
          <t>EMP00290</t>
        </is>
      </c>
      <c r="B96" s="2" t="inlineStr">
        <is>
          <t>Sales</t>
        </is>
      </c>
      <c r="C96" s="2" t="inlineStr">
        <is>
          <t>Sales Manager</t>
        </is>
      </c>
      <c r="D96" s="2" t="n">
        <v>37</v>
      </c>
      <c r="E96" s="2" t="n">
        <v>2.9</v>
      </c>
      <c r="F96" s="2" t="n">
        <v>739000</v>
      </c>
      <c r="G96" s="2" t="inlineStr">
        <is>
          <t>No</t>
        </is>
      </c>
      <c r="H96" s="2" t="n">
        <v>57</v>
      </c>
      <c r="I96" s="2" t="n">
        <v>3.4</v>
      </c>
      <c r="J96" s="2" t="n">
        <v>3.8</v>
      </c>
      <c r="K96" s="2" t="n">
        <v>4.3</v>
      </c>
      <c r="L96" s="2" t="inlineStr">
        <is>
          <t>Active</t>
        </is>
      </c>
    </row>
    <row r="97">
      <c r="A97" s="2" t="inlineStr">
        <is>
          <t>EMP00010</t>
        </is>
      </c>
      <c r="B97" s="2" t="inlineStr">
        <is>
          <t>Operations</t>
        </is>
      </c>
      <c r="C97" s="2" t="inlineStr">
        <is>
          <t>Ops Analyst</t>
        </is>
      </c>
      <c r="D97" s="2" t="n">
        <v>45</v>
      </c>
      <c r="E97" s="2" t="n">
        <v>9</v>
      </c>
      <c r="F97" s="2" t="n">
        <v>943000</v>
      </c>
      <c r="G97" s="2" t="inlineStr">
        <is>
          <t>No</t>
        </is>
      </c>
      <c r="H97" s="2" t="n">
        <v>55</v>
      </c>
      <c r="I97" s="2" t="n">
        <v>3.8</v>
      </c>
      <c r="J97" s="2" t="n">
        <v>3.9</v>
      </c>
      <c r="K97" s="2" t="n">
        <v>3.6</v>
      </c>
      <c r="L97" s="2" t="inlineStr">
        <is>
          <t>Active</t>
        </is>
      </c>
    </row>
    <row r="98">
      <c r="A98" s="2" t="inlineStr">
        <is>
          <t>EMP00817</t>
        </is>
      </c>
      <c r="B98" s="2" t="inlineStr">
        <is>
          <t>Customer Support</t>
        </is>
      </c>
      <c r="C98" s="2" t="inlineStr">
        <is>
          <t>Support Associate</t>
        </is>
      </c>
      <c r="D98" s="2" t="n">
        <v>41</v>
      </c>
      <c r="E98" s="2" t="n">
        <v>2.2</v>
      </c>
      <c r="F98" s="2" t="n">
        <v>600000</v>
      </c>
      <c r="G98" s="2" t="inlineStr">
        <is>
          <t>No</t>
        </is>
      </c>
      <c r="H98" s="2" t="n">
        <v>45</v>
      </c>
      <c r="I98" s="2" t="n">
        <v>3.8</v>
      </c>
      <c r="J98" s="2" t="n">
        <v>4.3</v>
      </c>
      <c r="K98" s="2" t="n">
        <v>2.6</v>
      </c>
      <c r="L98" s="2" t="inlineStr">
        <is>
          <t>Resigned</t>
        </is>
      </c>
    </row>
    <row r="99">
      <c r="A99" s="2" t="inlineStr">
        <is>
          <t>EMP00054</t>
        </is>
      </c>
      <c r="B99" s="2" t="inlineStr">
        <is>
          <t>Finance</t>
        </is>
      </c>
      <c r="C99" s="2" t="inlineStr">
        <is>
          <t>Accountant</t>
        </is>
      </c>
      <c r="D99" s="2" t="n">
        <v>45</v>
      </c>
      <c r="E99" s="2" t="n">
        <v>4.9</v>
      </c>
      <c r="F99" s="2" t="n">
        <v>876000</v>
      </c>
      <c r="G99" s="2" t="inlineStr">
        <is>
          <t>No</t>
        </is>
      </c>
      <c r="H99" s="2" t="n">
        <v>13</v>
      </c>
      <c r="I99" s="2" t="n">
        <v>2.7</v>
      </c>
      <c r="J99" s="2" t="n">
        <v>3.4</v>
      </c>
      <c r="K99" s="2" t="n">
        <v>3.6</v>
      </c>
      <c r="L99" s="2" t="inlineStr">
        <is>
          <t>Active</t>
        </is>
      </c>
    </row>
    <row r="100">
      <c r="A100" s="2" t="inlineStr">
        <is>
          <t>EMP01015</t>
        </is>
      </c>
      <c r="B100" s="2" t="inlineStr">
        <is>
          <t>Engineering</t>
        </is>
      </c>
      <c r="C100" s="2" t="inlineStr">
        <is>
          <t>Senior Engineer</t>
        </is>
      </c>
      <c r="D100" s="2" t="n">
        <v>42</v>
      </c>
      <c r="E100" s="2" t="n">
        <v>3.4</v>
      </c>
      <c r="F100" s="2" t="n">
        <v>1090000</v>
      </c>
      <c r="G100" s="2" t="inlineStr">
        <is>
          <t>No</t>
        </is>
      </c>
      <c r="H100" s="2" t="n">
        <v>56</v>
      </c>
      <c r="I100" s="2" t="n">
        <v>1.7</v>
      </c>
      <c r="J100" s="2" t="n">
        <v>4.5</v>
      </c>
      <c r="K100" s="2" t="n">
        <v>2.9</v>
      </c>
      <c r="L100" s="2" t="inlineStr">
        <is>
          <t>Active</t>
        </is>
      </c>
    </row>
    <row r="101">
      <c r="A101" s="2" t="inlineStr">
        <is>
          <t>EMP00768</t>
        </is>
      </c>
      <c r="B101" s="2" t="inlineStr">
        <is>
          <t>Sales</t>
        </is>
      </c>
      <c r="C101" s="2" t="inlineStr">
        <is>
          <t>Sales Executive</t>
        </is>
      </c>
      <c r="D101" s="2" t="n">
        <v>34</v>
      </c>
      <c r="E101" s="2" t="n">
        <v>2.1</v>
      </c>
      <c r="F101" s="2" t="n">
        <v>766000</v>
      </c>
      <c r="G101" s="2" t="inlineStr">
        <is>
          <t>Yes</t>
        </is>
      </c>
      <c r="H101" s="2" t="n">
        <v>1</v>
      </c>
      <c r="I101" s="2" t="n">
        <v>2.9</v>
      </c>
      <c r="J101" s="2" t="n">
        <v>2.4</v>
      </c>
      <c r="K101" s="2" t="n">
        <v>3.6</v>
      </c>
      <c r="L101" s="2" t="inlineStr">
        <is>
          <t>Active</t>
        </is>
      </c>
    </row>
    <row r="102">
      <c r="A102" s="2" t="inlineStr">
        <is>
          <t>EMP00398</t>
        </is>
      </c>
      <c r="B102" s="2" t="inlineStr">
        <is>
          <t>Engineering</t>
        </is>
      </c>
      <c r="C102" s="2" t="inlineStr">
        <is>
          <t>Senior Engineer</t>
        </is>
      </c>
      <c r="D102" s="2" t="n">
        <v>31</v>
      </c>
      <c r="E102" s="2" t="n">
        <v>4.1</v>
      </c>
      <c r="F102" s="2" t="n">
        <v>1228000</v>
      </c>
      <c r="G102" s="2" t="inlineStr">
        <is>
          <t>No</t>
        </is>
      </c>
      <c r="H102" s="2" t="n">
        <v>37</v>
      </c>
      <c r="I102" s="2" t="n">
        <v>2.9</v>
      </c>
      <c r="J102" s="2" t="n">
        <v>3.2</v>
      </c>
      <c r="K102" s="2" t="n">
        <v>3.6</v>
      </c>
      <c r="L102" s="2" t="inlineStr">
        <is>
          <t>Active</t>
        </is>
      </c>
    </row>
    <row r="103">
      <c r="A103" s="2" t="inlineStr">
        <is>
          <t>EMP01125</t>
        </is>
      </c>
      <c r="B103" s="2" t="inlineStr">
        <is>
          <t>Operations</t>
        </is>
      </c>
      <c r="C103" s="2" t="inlineStr">
        <is>
          <t>Ops Analyst</t>
        </is>
      </c>
      <c r="D103" s="2" t="n">
        <v>48</v>
      </c>
      <c r="E103" s="2" t="n">
        <v>1</v>
      </c>
      <c r="F103" s="2" t="n">
        <v>692000</v>
      </c>
      <c r="G103" s="2" t="inlineStr">
        <is>
          <t>No</t>
        </is>
      </c>
      <c r="H103" s="2" t="n">
        <v>49</v>
      </c>
      <c r="I103" s="2" t="n">
        <v>2.5</v>
      </c>
      <c r="J103" s="2" t="n">
        <v>2</v>
      </c>
      <c r="K103" s="2" t="n">
        <v>1.7</v>
      </c>
      <c r="L103" s="2" t="inlineStr">
        <is>
          <t>Resigned</t>
        </is>
      </c>
    </row>
    <row r="104">
      <c r="A104" s="2" t="inlineStr">
        <is>
          <t>EMP00263</t>
        </is>
      </c>
      <c r="B104" s="2" t="inlineStr">
        <is>
          <t>Engineering</t>
        </is>
      </c>
      <c r="C104" s="2" t="inlineStr">
        <is>
          <t>Software Engineer</t>
        </is>
      </c>
      <c r="D104" s="2" t="n">
        <v>31</v>
      </c>
      <c r="E104" s="2" t="n">
        <v>13.8</v>
      </c>
      <c r="F104" s="2" t="n">
        <v>1403000</v>
      </c>
      <c r="G104" s="2" t="inlineStr">
        <is>
          <t>Yes</t>
        </is>
      </c>
      <c r="H104" s="2" t="n">
        <v>2</v>
      </c>
      <c r="I104" s="2" t="n">
        <v>2.8</v>
      </c>
      <c r="J104" s="2" t="n">
        <v>1</v>
      </c>
      <c r="K104" s="2" t="n">
        <v>4.6</v>
      </c>
      <c r="L104" s="2" t="inlineStr">
        <is>
          <t>Active</t>
        </is>
      </c>
    </row>
    <row r="105">
      <c r="A105" s="2" t="inlineStr">
        <is>
          <t>EMP00041</t>
        </is>
      </c>
      <c r="B105" s="2" t="inlineStr">
        <is>
          <t>Operations</t>
        </is>
      </c>
      <c r="C105" s="2" t="inlineStr">
        <is>
          <t>Ops Manager</t>
        </is>
      </c>
      <c r="D105" s="2" t="n">
        <v>39</v>
      </c>
      <c r="E105" s="2" t="n">
        <v>3</v>
      </c>
      <c r="F105" s="2" t="n">
        <v>663000</v>
      </c>
      <c r="G105" s="2" t="inlineStr">
        <is>
          <t>Yes</t>
        </is>
      </c>
      <c r="H105" s="2" t="n">
        <v>48</v>
      </c>
      <c r="I105" s="2" t="n">
        <v>3.7</v>
      </c>
      <c r="J105" s="2" t="n">
        <v>1.2</v>
      </c>
      <c r="K105" s="2" t="n">
        <v>2.3</v>
      </c>
      <c r="L105" s="2" t="inlineStr">
        <is>
          <t>Active</t>
        </is>
      </c>
    </row>
    <row r="106">
      <c r="A106" s="2" t="inlineStr">
        <is>
          <t>EMP00110</t>
        </is>
      </c>
      <c r="B106" s="2" t="inlineStr">
        <is>
          <t>Customer Support</t>
        </is>
      </c>
      <c r="C106" s="2" t="inlineStr">
        <is>
          <t>Support Associate</t>
        </is>
      </c>
      <c r="D106" s="2" t="n">
        <v>31</v>
      </c>
      <c r="E106" s="2" t="n">
        <v>2.5</v>
      </c>
      <c r="F106" s="2" t="n">
        <v>481000</v>
      </c>
      <c r="G106" s="2" t="inlineStr">
        <is>
          <t>No</t>
        </is>
      </c>
      <c r="H106" s="2" t="n">
        <v>10</v>
      </c>
      <c r="I106" s="2" t="n">
        <v>4.2</v>
      </c>
      <c r="J106" s="2" t="n">
        <v>3.9</v>
      </c>
      <c r="K106" s="2" t="n">
        <v>2.6</v>
      </c>
      <c r="L106" s="2" t="inlineStr">
        <is>
          <t>Active</t>
        </is>
      </c>
    </row>
    <row r="107">
      <c r="A107" s="2" t="inlineStr">
        <is>
          <t>EMP00610</t>
        </is>
      </c>
      <c r="B107" s="2" t="inlineStr">
        <is>
          <t>Operations</t>
        </is>
      </c>
      <c r="C107" s="2" t="inlineStr">
        <is>
          <t>Process Lead</t>
        </is>
      </c>
      <c r="D107" s="2" t="n">
        <v>23</v>
      </c>
      <c r="E107" s="2" t="n">
        <v>8.6</v>
      </c>
      <c r="F107" s="2" t="n">
        <v>773000</v>
      </c>
      <c r="G107" s="2" t="inlineStr">
        <is>
          <t>No</t>
        </is>
      </c>
      <c r="H107" s="2" t="n">
        <v>15</v>
      </c>
      <c r="I107" s="2" t="n">
        <v>3.9</v>
      </c>
      <c r="J107" s="2" t="n">
        <v>4</v>
      </c>
      <c r="K107" s="2" t="n">
        <v>1.4</v>
      </c>
      <c r="L107" s="2" t="inlineStr">
        <is>
          <t>Active</t>
        </is>
      </c>
    </row>
    <row r="108">
      <c r="A108" s="2" t="inlineStr">
        <is>
          <t>EMP00846</t>
        </is>
      </c>
      <c r="B108" s="2" t="inlineStr">
        <is>
          <t>Customer Support</t>
        </is>
      </c>
      <c r="C108" s="2" t="inlineStr">
        <is>
          <t>Support Manager</t>
        </is>
      </c>
      <c r="D108" s="2" t="n">
        <v>35</v>
      </c>
      <c r="E108" s="2" t="n">
        <v>7.4</v>
      </c>
      <c r="F108" s="2" t="n">
        <v>693000</v>
      </c>
      <c r="G108" s="2" t="inlineStr">
        <is>
          <t>No</t>
        </is>
      </c>
      <c r="H108" s="2" t="n">
        <v>5</v>
      </c>
      <c r="I108" s="2" t="n">
        <v>2.4</v>
      </c>
      <c r="J108" s="2" t="n">
        <v>1.8</v>
      </c>
      <c r="K108" s="2" t="n">
        <v>3</v>
      </c>
      <c r="L108" s="2" t="inlineStr">
        <is>
          <t>Active</t>
        </is>
      </c>
    </row>
    <row r="109">
      <c r="A109" s="2" t="inlineStr">
        <is>
          <t>EMP01065</t>
        </is>
      </c>
      <c r="B109" s="2" t="inlineStr">
        <is>
          <t>Engineering</t>
        </is>
      </c>
      <c r="C109" s="2" t="inlineStr">
        <is>
          <t>Senior Engineer</t>
        </is>
      </c>
      <c r="D109" s="2" t="n">
        <v>40</v>
      </c>
      <c r="E109" s="2" t="n">
        <v>12.9</v>
      </c>
      <c r="F109" s="2" t="n">
        <v>1490000</v>
      </c>
      <c r="G109" s="2" t="inlineStr">
        <is>
          <t>No</t>
        </is>
      </c>
      <c r="H109" s="2" t="n">
        <v>1</v>
      </c>
      <c r="I109" s="2" t="n">
        <v>3.2</v>
      </c>
      <c r="J109" s="2" t="n">
        <v>2.7</v>
      </c>
      <c r="K109" s="2" t="n">
        <v>3.9</v>
      </c>
      <c r="L109" s="2" t="inlineStr">
        <is>
          <t>Active</t>
        </is>
      </c>
    </row>
    <row r="110">
      <c r="A110" s="2" t="inlineStr">
        <is>
          <t>EMP01083</t>
        </is>
      </c>
      <c r="B110" s="2" t="inlineStr">
        <is>
          <t>Customer Support</t>
        </is>
      </c>
      <c r="C110" s="2" t="inlineStr">
        <is>
          <t>Support Manager</t>
        </is>
      </c>
      <c r="D110" s="2" t="n">
        <v>41</v>
      </c>
      <c r="E110" s="2" t="n">
        <v>7.2</v>
      </c>
      <c r="F110" s="2" t="n">
        <v>674000</v>
      </c>
      <c r="G110" s="2" t="inlineStr">
        <is>
          <t>Yes</t>
        </is>
      </c>
      <c r="H110" s="2" t="n">
        <v>36</v>
      </c>
      <c r="I110" s="2" t="n">
        <v>3.3</v>
      </c>
      <c r="J110" s="2" t="n">
        <v>2.8</v>
      </c>
      <c r="K110" s="2" t="n">
        <v>2.6</v>
      </c>
      <c r="L110" s="2" t="inlineStr">
        <is>
          <t>Active</t>
        </is>
      </c>
    </row>
    <row r="111">
      <c r="A111" s="2" t="inlineStr">
        <is>
          <t>EMP00084</t>
        </is>
      </c>
      <c r="B111" s="2" t="inlineStr">
        <is>
          <t>Sales</t>
        </is>
      </c>
      <c r="C111" s="2" t="inlineStr">
        <is>
          <t>Sales Executive</t>
        </is>
      </c>
      <c r="D111" s="2" t="n">
        <v>29</v>
      </c>
      <c r="E111" s="2" t="n">
        <v>2.2</v>
      </c>
      <c r="F111" s="2" t="n">
        <v>628000</v>
      </c>
      <c r="G111" s="2" t="inlineStr">
        <is>
          <t>No</t>
        </is>
      </c>
      <c r="H111" s="2" t="n">
        <v>37</v>
      </c>
      <c r="I111" s="2" t="n">
        <v>3.1</v>
      </c>
      <c r="J111" s="2" t="n">
        <v>2.7</v>
      </c>
      <c r="K111" s="2" t="n">
        <v>3.7</v>
      </c>
      <c r="L111" s="2" t="inlineStr">
        <is>
          <t>Active</t>
        </is>
      </c>
    </row>
    <row r="112">
      <c r="A112" s="2" t="inlineStr">
        <is>
          <t>EMP00565</t>
        </is>
      </c>
      <c r="B112" s="2" t="inlineStr">
        <is>
          <t>Finance</t>
        </is>
      </c>
      <c r="C112" s="2" t="inlineStr">
        <is>
          <t>Finance Manager</t>
        </is>
      </c>
      <c r="D112" s="2" t="n">
        <v>36</v>
      </c>
      <c r="E112" s="2" t="n">
        <v>0.8</v>
      </c>
      <c r="F112" s="2" t="n">
        <v>859000</v>
      </c>
      <c r="G112" s="2" t="inlineStr">
        <is>
          <t>No</t>
        </is>
      </c>
      <c r="H112" s="2" t="n">
        <v>3</v>
      </c>
      <c r="I112" s="2" t="n">
        <v>4.7</v>
      </c>
      <c r="J112" s="2" t="n">
        <v>3.4</v>
      </c>
      <c r="K112" s="2" t="n">
        <v>3.8</v>
      </c>
      <c r="L112" s="2" t="inlineStr">
        <is>
          <t>Active</t>
        </is>
      </c>
    </row>
    <row r="113">
      <c r="A113" s="2" t="inlineStr">
        <is>
          <t>EMP00867</t>
        </is>
      </c>
      <c r="B113" s="2" t="inlineStr">
        <is>
          <t>Customer Support</t>
        </is>
      </c>
      <c r="C113" s="2" t="inlineStr">
        <is>
          <t>Support Manager</t>
        </is>
      </c>
      <c r="D113" s="2" t="n">
        <v>27</v>
      </c>
      <c r="E113" s="2" t="n">
        <v>4.5</v>
      </c>
      <c r="F113" s="2" t="n">
        <v>572000</v>
      </c>
      <c r="G113" s="2" t="inlineStr">
        <is>
          <t>No</t>
        </is>
      </c>
      <c r="H113" s="2" t="n">
        <v>56</v>
      </c>
      <c r="I113" s="2" t="n">
        <v>2.9</v>
      </c>
      <c r="J113" s="2" t="n">
        <v>2.8</v>
      </c>
      <c r="K113" s="2" t="n">
        <v>5</v>
      </c>
      <c r="L113" s="2" t="inlineStr">
        <is>
          <t>Active</t>
        </is>
      </c>
    </row>
    <row r="114">
      <c r="A114" s="2" t="inlineStr">
        <is>
          <t>EMP00408</t>
        </is>
      </c>
      <c r="B114" s="2" t="inlineStr">
        <is>
          <t>HR</t>
        </is>
      </c>
      <c r="C114" s="2" t="inlineStr">
        <is>
          <t>HR Generalist</t>
        </is>
      </c>
      <c r="D114" s="2" t="n">
        <v>23</v>
      </c>
      <c r="E114" s="2" t="n">
        <v>7.6</v>
      </c>
      <c r="F114" s="2" t="n">
        <v>867000</v>
      </c>
      <c r="G114" s="2" t="inlineStr">
        <is>
          <t>No</t>
        </is>
      </c>
      <c r="H114" s="2" t="n">
        <v>44</v>
      </c>
      <c r="I114" s="2" t="n">
        <v>2.7</v>
      </c>
      <c r="J114" s="2" t="n">
        <v>3.7</v>
      </c>
      <c r="K114" s="2" t="n">
        <v>2.7</v>
      </c>
      <c r="L114" s="2" t="inlineStr">
        <is>
          <t>Resigned</t>
        </is>
      </c>
    </row>
    <row r="115">
      <c r="A115" s="2" t="inlineStr">
        <is>
          <t>EMP00099</t>
        </is>
      </c>
      <c r="B115" s="2" t="inlineStr">
        <is>
          <t>Sales</t>
        </is>
      </c>
      <c r="C115" s="2" t="inlineStr">
        <is>
          <t>Sales Executive</t>
        </is>
      </c>
      <c r="D115" s="2" t="n">
        <v>27</v>
      </c>
      <c r="E115" s="2" t="n">
        <v>1.7</v>
      </c>
      <c r="F115" s="2" t="n">
        <v>701000</v>
      </c>
      <c r="G115" s="2" t="inlineStr">
        <is>
          <t>No</t>
        </is>
      </c>
      <c r="H115" s="2" t="n">
        <v>20</v>
      </c>
      <c r="I115" s="2" t="n">
        <v>4.1</v>
      </c>
      <c r="J115" s="2" t="n">
        <v>4</v>
      </c>
      <c r="K115" s="2" t="n">
        <v>2.3</v>
      </c>
      <c r="L115" s="2" t="inlineStr">
        <is>
          <t>Active</t>
        </is>
      </c>
    </row>
    <row r="116">
      <c r="A116" s="2" t="inlineStr">
        <is>
          <t>EMP00634</t>
        </is>
      </c>
      <c r="B116" s="2" t="inlineStr">
        <is>
          <t>Engineering</t>
        </is>
      </c>
      <c r="C116" s="2" t="inlineStr">
        <is>
          <t>Software Engineer</t>
        </is>
      </c>
      <c r="D116" s="2" t="n">
        <v>36</v>
      </c>
      <c r="E116" s="2" t="n">
        <v>2.7</v>
      </c>
      <c r="F116" s="2" t="n">
        <v>1150000</v>
      </c>
      <c r="G116" s="2" t="inlineStr">
        <is>
          <t>Yes</t>
        </is>
      </c>
      <c r="H116" s="2" t="n">
        <v>42</v>
      </c>
      <c r="I116" s="2" t="n">
        <v>1.1</v>
      </c>
      <c r="J116" s="2" t="n">
        <v>3.5</v>
      </c>
      <c r="K116" s="2" t="n">
        <v>2.6</v>
      </c>
      <c r="L116" s="2" t="inlineStr">
        <is>
          <t>Resigned</t>
        </is>
      </c>
    </row>
    <row r="117">
      <c r="A117" s="2" t="inlineStr">
        <is>
          <t>EMP01190</t>
        </is>
      </c>
      <c r="B117" s="2" t="inlineStr">
        <is>
          <t>Finance</t>
        </is>
      </c>
      <c r="C117" s="2" t="inlineStr">
        <is>
          <t>Finance Manager</t>
        </is>
      </c>
      <c r="D117" s="2" t="n">
        <v>41</v>
      </c>
      <c r="E117" s="2" t="n">
        <v>4.2</v>
      </c>
      <c r="F117" s="2" t="n">
        <v>955000</v>
      </c>
      <c r="G117" s="2" t="inlineStr">
        <is>
          <t>Yes</t>
        </is>
      </c>
      <c r="H117" s="2" t="n">
        <v>41</v>
      </c>
      <c r="I117" s="2" t="n">
        <v>3.2</v>
      </c>
      <c r="J117" s="2" t="n">
        <v>3.2</v>
      </c>
      <c r="K117" s="2" t="n">
        <v>2.8</v>
      </c>
      <c r="L117" s="2" t="inlineStr">
        <is>
          <t>Active</t>
        </is>
      </c>
    </row>
    <row r="118">
      <c r="A118" s="2" t="inlineStr">
        <is>
          <t>EMP00375</t>
        </is>
      </c>
      <c r="B118" s="2" t="inlineStr">
        <is>
          <t>Sales</t>
        </is>
      </c>
      <c r="C118" s="2" t="inlineStr">
        <is>
          <t>Account Manager</t>
        </is>
      </c>
      <c r="D118" s="2" t="n">
        <v>47</v>
      </c>
      <c r="E118" s="2" t="n">
        <v>2.5</v>
      </c>
      <c r="F118" s="2" t="n">
        <v>746000</v>
      </c>
      <c r="G118" s="2" t="inlineStr">
        <is>
          <t>No</t>
        </is>
      </c>
      <c r="H118" s="2" t="n">
        <v>51</v>
      </c>
      <c r="I118" s="2" t="n">
        <v>4</v>
      </c>
      <c r="J118" s="2" t="n">
        <v>3.5</v>
      </c>
      <c r="K118" s="2" t="n">
        <v>3.7</v>
      </c>
      <c r="L118" s="2" t="inlineStr">
        <is>
          <t>Active</t>
        </is>
      </c>
    </row>
    <row r="119">
      <c r="A119" s="2" t="inlineStr">
        <is>
          <t>EMP00271</t>
        </is>
      </c>
      <c r="B119" s="2" t="inlineStr">
        <is>
          <t>Sales</t>
        </is>
      </c>
      <c r="C119" s="2" t="inlineStr">
        <is>
          <t>Sales Manager</t>
        </is>
      </c>
      <c r="D119" s="2" t="n">
        <v>33</v>
      </c>
      <c r="E119" s="2" t="n">
        <v>4.3</v>
      </c>
      <c r="F119" s="2" t="n">
        <v>939000</v>
      </c>
      <c r="G119" s="2" t="inlineStr">
        <is>
          <t>No</t>
        </is>
      </c>
      <c r="H119" s="2" t="n">
        <v>47</v>
      </c>
      <c r="I119" s="2" t="n">
        <v>3.4</v>
      </c>
      <c r="J119" s="2" t="n">
        <v>3.9</v>
      </c>
      <c r="K119" s="2" t="n">
        <v>3.2</v>
      </c>
      <c r="L119" s="2" t="inlineStr">
        <is>
          <t>Active</t>
        </is>
      </c>
    </row>
    <row r="120">
      <c r="A120" s="2" t="inlineStr">
        <is>
          <t>EMP00337</t>
        </is>
      </c>
      <c r="B120" s="2" t="inlineStr">
        <is>
          <t>Sales</t>
        </is>
      </c>
      <c r="C120" s="2" t="inlineStr">
        <is>
          <t>Account Manager</t>
        </is>
      </c>
      <c r="D120" s="2" t="n">
        <v>34</v>
      </c>
      <c r="E120" s="2" t="n">
        <v>5.2</v>
      </c>
      <c r="F120" s="2" t="n">
        <v>966000</v>
      </c>
      <c r="G120" s="2" t="inlineStr">
        <is>
          <t>No</t>
        </is>
      </c>
      <c r="H120" s="2" t="n">
        <v>32</v>
      </c>
      <c r="I120" s="2" t="n">
        <v>1.7</v>
      </c>
      <c r="J120" s="2" t="n">
        <v>3.8</v>
      </c>
      <c r="K120" s="2" t="n">
        <v>3.4</v>
      </c>
      <c r="L120" s="2" t="inlineStr">
        <is>
          <t>Active</t>
        </is>
      </c>
    </row>
    <row r="121">
      <c r="A121" s="2" t="inlineStr">
        <is>
          <t>EMP00998</t>
        </is>
      </c>
      <c r="B121" s="2" t="inlineStr">
        <is>
          <t>Sales</t>
        </is>
      </c>
      <c r="C121" s="2" t="inlineStr">
        <is>
          <t>Sales Manager</t>
        </is>
      </c>
      <c r="D121" s="2" t="n">
        <v>21</v>
      </c>
      <c r="E121" s="2" t="n">
        <v>2.1</v>
      </c>
      <c r="F121" s="2" t="n">
        <v>632000</v>
      </c>
      <c r="G121" s="2" t="inlineStr">
        <is>
          <t>No</t>
        </is>
      </c>
      <c r="H121" s="2" t="n">
        <v>53</v>
      </c>
      <c r="I121" s="2" t="n">
        <v>2.8</v>
      </c>
      <c r="J121" s="2" t="n">
        <v>3.9</v>
      </c>
      <c r="K121" s="2" t="n">
        <v>3.6</v>
      </c>
      <c r="L121" s="2" t="inlineStr">
        <is>
          <t>Active</t>
        </is>
      </c>
    </row>
    <row r="122">
      <c r="A122" s="2" t="inlineStr">
        <is>
          <t>EMP00152</t>
        </is>
      </c>
      <c r="B122" s="2" t="inlineStr">
        <is>
          <t>Customer Support</t>
        </is>
      </c>
      <c r="C122" s="2" t="inlineStr">
        <is>
          <t>Support Associate</t>
        </is>
      </c>
      <c r="D122" s="2" t="n">
        <v>48</v>
      </c>
      <c r="E122" s="2" t="n">
        <v>5.8</v>
      </c>
      <c r="F122" s="2" t="n">
        <v>553000</v>
      </c>
      <c r="G122" s="2" t="inlineStr">
        <is>
          <t>No</t>
        </is>
      </c>
      <c r="H122" s="2" t="n">
        <v>13</v>
      </c>
      <c r="I122" s="2" t="n">
        <v>2.4</v>
      </c>
      <c r="J122" s="2" t="n">
        <v>3</v>
      </c>
      <c r="K122" s="2" t="n">
        <v>2.4</v>
      </c>
      <c r="L122" s="2" t="inlineStr">
        <is>
          <t>Active</t>
        </is>
      </c>
    </row>
    <row r="123">
      <c r="A123" s="2" t="inlineStr">
        <is>
          <t>EMP00512</t>
        </is>
      </c>
      <c r="B123" s="2" t="inlineStr">
        <is>
          <t>Customer Support</t>
        </is>
      </c>
      <c r="C123" s="2" t="inlineStr">
        <is>
          <t>Support Associate</t>
        </is>
      </c>
      <c r="D123" s="2" t="n">
        <v>38</v>
      </c>
      <c r="E123" s="2" t="n">
        <v>4.9</v>
      </c>
      <c r="F123" s="2" t="n">
        <v>694000</v>
      </c>
      <c r="G123" s="2" t="inlineStr">
        <is>
          <t>Yes</t>
        </is>
      </c>
      <c r="H123" s="2" t="n">
        <v>41</v>
      </c>
      <c r="I123" s="2" t="n">
        <v>3.2</v>
      </c>
      <c r="J123" s="2" t="n">
        <v>1.7</v>
      </c>
      <c r="K123" s="2" t="n">
        <v>2.6</v>
      </c>
      <c r="L123" s="2" t="inlineStr">
        <is>
          <t>Active</t>
        </is>
      </c>
    </row>
    <row r="124">
      <c r="A124" s="2" t="inlineStr">
        <is>
          <t>EMP00929</t>
        </is>
      </c>
      <c r="B124" s="2" t="inlineStr">
        <is>
          <t>Operations</t>
        </is>
      </c>
      <c r="C124" s="2" t="inlineStr">
        <is>
          <t>Ops Manager</t>
        </is>
      </c>
      <c r="D124" s="2" t="n">
        <v>39</v>
      </c>
      <c r="E124" s="2" t="n">
        <v>2.7</v>
      </c>
      <c r="F124" s="2" t="n">
        <v>771000</v>
      </c>
      <c r="G124" s="2" t="inlineStr">
        <is>
          <t>No</t>
        </is>
      </c>
      <c r="H124" s="2" t="n">
        <v>16</v>
      </c>
      <c r="I124" s="2" t="n">
        <v>3.4</v>
      </c>
      <c r="J124" s="2" t="n">
        <v>2.7</v>
      </c>
      <c r="K124" s="2" t="n">
        <v>3.8</v>
      </c>
      <c r="L124" s="2" t="inlineStr">
        <is>
          <t>Active</t>
        </is>
      </c>
    </row>
    <row r="125">
      <c r="A125" s="2" t="inlineStr">
        <is>
          <t>EMP00620</t>
        </is>
      </c>
      <c r="B125" s="2" t="inlineStr">
        <is>
          <t>Sales</t>
        </is>
      </c>
      <c r="C125" s="2" t="inlineStr">
        <is>
          <t>Sales Manager</t>
        </is>
      </c>
      <c r="D125" s="2" t="n">
        <v>35</v>
      </c>
      <c r="E125" s="2" t="n">
        <v>2.3</v>
      </c>
      <c r="F125" s="2" t="n">
        <v>655000</v>
      </c>
      <c r="G125" s="2" t="inlineStr">
        <is>
          <t>No</t>
        </is>
      </c>
      <c r="H125" s="2" t="n">
        <v>49</v>
      </c>
      <c r="I125" s="2" t="n">
        <v>3.4</v>
      </c>
      <c r="J125" s="2" t="n">
        <v>2.8</v>
      </c>
      <c r="K125" s="2" t="n">
        <v>3</v>
      </c>
      <c r="L125" s="2" t="inlineStr">
        <is>
          <t>Active</t>
        </is>
      </c>
    </row>
    <row r="126">
      <c r="A126" s="2" t="inlineStr">
        <is>
          <t>EMP00339</t>
        </is>
      </c>
      <c r="B126" s="2" t="inlineStr">
        <is>
          <t>Sales</t>
        </is>
      </c>
      <c r="C126" s="2" t="inlineStr">
        <is>
          <t>Account Manager</t>
        </is>
      </c>
      <c r="D126" s="2" t="n">
        <v>21</v>
      </c>
      <c r="E126" s="2" t="n">
        <v>4.4</v>
      </c>
      <c r="F126" s="2" t="n">
        <v>723000</v>
      </c>
      <c r="G126" s="2" t="inlineStr">
        <is>
          <t>No</t>
        </is>
      </c>
      <c r="H126" s="2" t="n">
        <v>39</v>
      </c>
      <c r="I126" s="2" t="n">
        <v>3.1</v>
      </c>
      <c r="J126" s="2" t="n">
        <v>4</v>
      </c>
      <c r="K126" s="2" t="n">
        <v>3.1</v>
      </c>
      <c r="L126" s="2" t="inlineStr">
        <is>
          <t>Active</t>
        </is>
      </c>
    </row>
    <row r="127">
      <c r="A127" s="2" t="inlineStr">
        <is>
          <t>EMP00319</t>
        </is>
      </c>
      <c r="B127" s="2" t="inlineStr">
        <is>
          <t>Engineering</t>
        </is>
      </c>
      <c r="C127" s="2" t="inlineStr">
        <is>
          <t>Senior Engineer</t>
        </is>
      </c>
      <c r="D127" s="2" t="n">
        <v>30</v>
      </c>
      <c r="E127" s="2" t="n">
        <v>1.4</v>
      </c>
      <c r="F127" s="2" t="n">
        <v>1038000</v>
      </c>
      <c r="G127" s="2" t="inlineStr">
        <is>
          <t>No</t>
        </is>
      </c>
      <c r="H127" s="2" t="n">
        <v>16</v>
      </c>
      <c r="I127" s="2" t="n">
        <v>4.1</v>
      </c>
      <c r="J127" s="2" t="n">
        <v>5</v>
      </c>
      <c r="K127" s="2" t="n">
        <v>2.9</v>
      </c>
      <c r="L127" s="2" t="inlineStr">
        <is>
          <t>Active</t>
        </is>
      </c>
    </row>
    <row r="128">
      <c r="A128" s="2" t="inlineStr">
        <is>
          <t>EMP00232</t>
        </is>
      </c>
      <c r="B128" s="2" t="inlineStr">
        <is>
          <t>Engineering</t>
        </is>
      </c>
      <c r="C128" s="2" t="inlineStr">
        <is>
          <t>Engineering Manager</t>
        </is>
      </c>
      <c r="D128" s="2" t="n">
        <v>40</v>
      </c>
      <c r="E128" s="2" t="n">
        <v>0.9</v>
      </c>
      <c r="F128" s="2" t="n">
        <v>1043000</v>
      </c>
      <c r="G128" s="2" t="inlineStr">
        <is>
          <t>No</t>
        </is>
      </c>
      <c r="H128" s="2" t="n">
        <v>30</v>
      </c>
      <c r="I128" s="2" t="n">
        <v>4.5</v>
      </c>
      <c r="J128" s="2" t="n">
        <v>2.9</v>
      </c>
      <c r="K128" s="2" t="n">
        <v>3.5</v>
      </c>
      <c r="L128" s="2" t="inlineStr">
        <is>
          <t>Active</t>
        </is>
      </c>
    </row>
    <row r="129">
      <c r="A129" s="2" t="inlineStr">
        <is>
          <t>EMP00253</t>
        </is>
      </c>
      <c r="B129" s="2" t="inlineStr">
        <is>
          <t>Operations</t>
        </is>
      </c>
      <c r="C129" s="2" t="inlineStr">
        <is>
          <t>Process Lead</t>
        </is>
      </c>
      <c r="D129" s="2" t="n">
        <v>37</v>
      </c>
      <c r="E129" s="2" t="n">
        <v>0.9</v>
      </c>
      <c r="F129" s="2" t="n">
        <v>679000</v>
      </c>
      <c r="G129" s="2" t="inlineStr">
        <is>
          <t>No</t>
        </is>
      </c>
      <c r="H129" s="2" t="n">
        <v>47</v>
      </c>
      <c r="I129" s="2" t="n">
        <v>3</v>
      </c>
      <c r="J129" s="2" t="n">
        <v>3.8</v>
      </c>
      <c r="K129" s="2" t="n">
        <v>3.2</v>
      </c>
      <c r="L129" s="2" t="inlineStr">
        <is>
          <t>Active</t>
        </is>
      </c>
    </row>
    <row r="130">
      <c r="A130" s="2" t="inlineStr">
        <is>
          <t>EMP00858</t>
        </is>
      </c>
      <c r="B130" s="2" t="inlineStr">
        <is>
          <t>Customer Support</t>
        </is>
      </c>
      <c r="C130" s="2" t="inlineStr">
        <is>
          <t>Support Associate</t>
        </is>
      </c>
      <c r="D130" s="2" t="n">
        <v>21</v>
      </c>
      <c r="E130" s="2" t="n">
        <v>1</v>
      </c>
      <c r="F130" s="2" t="n">
        <v>464000</v>
      </c>
      <c r="G130" s="2" t="inlineStr">
        <is>
          <t>No</t>
        </is>
      </c>
      <c r="H130" s="2" t="n">
        <v>25</v>
      </c>
      <c r="I130" s="2" t="n">
        <v>4.9</v>
      </c>
      <c r="J130" s="2" t="n">
        <v>2.2</v>
      </c>
      <c r="K130" s="2" t="n">
        <v>3</v>
      </c>
      <c r="L130" s="2" t="inlineStr">
        <is>
          <t>Active</t>
        </is>
      </c>
    </row>
    <row r="131">
      <c r="A131" s="2" t="inlineStr">
        <is>
          <t>EMP01121</t>
        </is>
      </c>
      <c r="B131" s="2" t="inlineStr">
        <is>
          <t>Finance</t>
        </is>
      </c>
      <c r="C131" s="2" t="inlineStr">
        <is>
          <t>Finance Manager</t>
        </is>
      </c>
      <c r="D131" s="2" t="n">
        <v>27</v>
      </c>
      <c r="E131" s="2" t="n">
        <v>0.8</v>
      </c>
      <c r="F131" s="2" t="n">
        <v>828000</v>
      </c>
      <c r="G131" s="2" t="inlineStr">
        <is>
          <t>No</t>
        </is>
      </c>
      <c r="H131" s="2" t="n">
        <v>19</v>
      </c>
      <c r="I131" s="2" t="n">
        <v>3.4</v>
      </c>
      <c r="J131" s="2" t="n">
        <v>3.2</v>
      </c>
      <c r="K131" s="2" t="n">
        <v>2.8</v>
      </c>
      <c r="L131" s="2" t="inlineStr">
        <is>
          <t>Resigned</t>
        </is>
      </c>
    </row>
    <row r="132">
      <c r="A132" s="2" t="inlineStr">
        <is>
          <t>EMP00055</t>
        </is>
      </c>
      <c r="B132" s="2" t="inlineStr">
        <is>
          <t>Finance</t>
        </is>
      </c>
      <c r="C132" s="2" t="inlineStr">
        <is>
          <t>Finance Manager</t>
        </is>
      </c>
      <c r="D132" s="2" t="n">
        <v>40</v>
      </c>
      <c r="E132" s="2" t="n">
        <v>3.6</v>
      </c>
      <c r="F132" s="2" t="n">
        <v>1030000</v>
      </c>
      <c r="G132" s="2" t="inlineStr">
        <is>
          <t>Yes</t>
        </is>
      </c>
      <c r="H132" s="2" t="n">
        <v>47</v>
      </c>
      <c r="I132" s="2" t="n">
        <v>3.1</v>
      </c>
      <c r="J132" s="2" t="n">
        <v>2.5</v>
      </c>
      <c r="K132" s="2" t="n">
        <v>3.3</v>
      </c>
      <c r="L132" s="2" t="inlineStr">
        <is>
          <t>Active</t>
        </is>
      </c>
    </row>
    <row r="133">
      <c r="A133" s="2" t="inlineStr">
        <is>
          <t>EMP00380</t>
        </is>
      </c>
      <c r="B133" s="2" t="inlineStr">
        <is>
          <t>Finance</t>
        </is>
      </c>
      <c r="C133" s="2" t="inlineStr">
        <is>
          <t>Financial Analyst</t>
        </is>
      </c>
      <c r="D133" s="2" t="n">
        <v>40</v>
      </c>
      <c r="E133" s="2" t="n">
        <v>3.6</v>
      </c>
      <c r="F133" s="2" t="n">
        <v>798000</v>
      </c>
      <c r="G133" s="2" t="inlineStr">
        <is>
          <t>No</t>
        </is>
      </c>
      <c r="H133" s="2" t="n">
        <v>56</v>
      </c>
      <c r="I133" s="2" t="n">
        <v>2.2</v>
      </c>
      <c r="J133" s="2" t="n">
        <v>2.8</v>
      </c>
      <c r="K133" s="2" t="n">
        <v>2.7</v>
      </c>
      <c r="L133" s="2" t="inlineStr">
        <is>
          <t>Active</t>
        </is>
      </c>
    </row>
    <row r="134">
      <c r="A134" s="2" t="inlineStr">
        <is>
          <t>EMP00432</t>
        </is>
      </c>
      <c r="B134" s="2" t="inlineStr">
        <is>
          <t>HR</t>
        </is>
      </c>
      <c r="C134" s="2" t="inlineStr">
        <is>
          <t>HR Manager</t>
        </is>
      </c>
      <c r="D134" s="2" t="n">
        <v>33</v>
      </c>
      <c r="E134" s="2" t="n">
        <v>6.8</v>
      </c>
      <c r="F134" s="2" t="n">
        <v>796000</v>
      </c>
      <c r="G134" s="2" t="inlineStr">
        <is>
          <t>No</t>
        </is>
      </c>
      <c r="H134" s="2" t="n">
        <v>22</v>
      </c>
      <c r="I134" s="2" t="n">
        <v>2.9</v>
      </c>
      <c r="J134" s="2" t="n">
        <v>3.1</v>
      </c>
      <c r="K134" s="2" t="n">
        <v>4.7</v>
      </c>
      <c r="L134" s="2" t="inlineStr">
        <is>
          <t>Active</t>
        </is>
      </c>
    </row>
    <row r="135">
      <c r="A135" s="2" t="inlineStr">
        <is>
          <t>EMP00142</t>
        </is>
      </c>
      <c r="B135" s="2" t="inlineStr">
        <is>
          <t>Operations</t>
        </is>
      </c>
      <c r="C135" s="2" t="inlineStr">
        <is>
          <t>Process Lead</t>
        </is>
      </c>
      <c r="D135" s="2" t="n">
        <v>23</v>
      </c>
      <c r="E135" s="2" t="n">
        <v>4.3</v>
      </c>
      <c r="F135" s="2" t="n">
        <v>742000</v>
      </c>
      <c r="G135" s="2" t="inlineStr">
        <is>
          <t>No</t>
        </is>
      </c>
      <c r="H135" s="2" t="n">
        <v>24</v>
      </c>
      <c r="I135" s="2" t="n">
        <v>2.2</v>
      </c>
      <c r="J135" s="2" t="n">
        <v>2.1</v>
      </c>
      <c r="K135" s="2" t="n">
        <v>3.3</v>
      </c>
      <c r="L135" s="2" t="inlineStr">
        <is>
          <t>Active</t>
        </is>
      </c>
    </row>
    <row r="136">
      <c r="A136" s="2" t="inlineStr">
        <is>
          <t>EMP00811</t>
        </is>
      </c>
      <c r="B136" s="2" t="inlineStr">
        <is>
          <t>Sales</t>
        </is>
      </c>
      <c r="C136" s="2" t="inlineStr">
        <is>
          <t>Sales Manager</t>
        </is>
      </c>
      <c r="D136" s="2" t="n">
        <v>35</v>
      </c>
      <c r="E136" s="2" t="n">
        <v>4.6</v>
      </c>
      <c r="F136" s="2" t="n">
        <v>762000</v>
      </c>
      <c r="G136" s="2" t="inlineStr">
        <is>
          <t>Yes</t>
        </is>
      </c>
      <c r="H136" s="2" t="n">
        <v>31</v>
      </c>
      <c r="I136" s="2" t="n">
        <v>1</v>
      </c>
      <c r="J136" s="2" t="n">
        <v>2.8</v>
      </c>
      <c r="K136" s="2" t="n">
        <v>3.6</v>
      </c>
      <c r="L136" s="2" t="inlineStr">
        <is>
          <t>Resigned</t>
        </is>
      </c>
    </row>
    <row r="137">
      <c r="A137" s="2" t="inlineStr">
        <is>
          <t>EMP00098</t>
        </is>
      </c>
      <c r="B137" s="2" t="inlineStr">
        <is>
          <t>Sales</t>
        </is>
      </c>
      <c r="C137" s="2" t="inlineStr">
        <is>
          <t>Sales Manager</t>
        </is>
      </c>
      <c r="D137" s="2" t="n">
        <v>31</v>
      </c>
      <c r="E137" s="2" t="n">
        <v>1.8</v>
      </c>
      <c r="F137" s="2" t="n">
        <v>741000</v>
      </c>
      <c r="G137" s="2" t="inlineStr">
        <is>
          <t>No</t>
        </is>
      </c>
      <c r="H137" s="2" t="n">
        <v>7</v>
      </c>
      <c r="I137" s="2" t="n">
        <v>3.6</v>
      </c>
      <c r="J137" s="2" t="n">
        <v>4.2</v>
      </c>
      <c r="K137" s="2" t="n">
        <v>2.9</v>
      </c>
      <c r="L137" s="2" t="inlineStr">
        <is>
          <t>Active</t>
        </is>
      </c>
    </row>
    <row r="138">
      <c r="A138" s="2" t="inlineStr">
        <is>
          <t>EMP00757</t>
        </is>
      </c>
      <c r="B138" s="2" t="inlineStr">
        <is>
          <t>Engineering</t>
        </is>
      </c>
      <c r="C138" s="2" t="inlineStr">
        <is>
          <t>Engineering Manager</t>
        </is>
      </c>
      <c r="D138" s="2" t="n">
        <v>23</v>
      </c>
      <c r="E138" s="2" t="n">
        <v>6</v>
      </c>
      <c r="F138" s="2" t="n">
        <v>1127000</v>
      </c>
      <c r="G138" s="2" t="inlineStr">
        <is>
          <t>Yes</t>
        </is>
      </c>
      <c r="H138" s="2" t="n">
        <v>5</v>
      </c>
      <c r="I138" s="2" t="n">
        <v>4.3</v>
      </c>
      <c r="J138" s="2" t="n">
        <v>1.4</v>
      </c>
      <c r="K138" s="2" t="n">
        <v>2.1</v>
      </c>
      <c r="L138" s="2" t="inlineStr">
        <is>
          <t>Active</t>
        </is>
      </c>
    </row>
    <row r="139">
      <c r="A139" s="2" t="inlineStr">
        <is>
          <t>EMP00984</t>
        </is>
      </c>
      <c r="B139" s="2" t="inlineStr">
        <is>
          <t>Operations</t>
        </is>
      </c>
      <c r="C139" s="2" t="inlineStr">
        <is>
          <t>Process Lead</t>
        </is>
      </c>
      <c r="D139" s="2" t="n">
        <v>28</v>
      </c>
      <c r="E139" s="2" t="n">
        <v>4.7</v>
      </c>
      <c r="F139" s="2" t="n">
        <v>691000</v>
      </c>
      <c r="G139" s="2" t="inlineStr">
        <is>
          <t>Yes</t>
        </is>
      </c>
      <c r="H139" s="2" t="n">
        <v>11</v>
      </c>
      <c r="I139" s="2" t="n">
        <v>2.8</v>
      </c>
      <c r="J139" s="2" t="n">
        <v>3.1</v>
      </c>
      <c r="K139" s="2" t="n">
        <v>4.2</v>
      </c>
      <c r="L139" s="2" t="inlineStr">
        <is>
          <t>Active</t>
        </is>
      </c>
    </row>
    <row r="140">
      <c r="A140" s="2" t="inlineStr">
        <is>
          <t>EMP00572</t>
        </is>
      </c>
      <c r="B140" s="2" t="inlineStr">
        <is>
          <t>Customer Support</t>
        </is>
      </c>
      <c r="C140" s="2" t="inlineStr">
        <is>
          <t>Support Associate</t>
        </is>
      </c>
      <c r="D140" s="2" t="n">
        <v>42</v>
      </c>
      <c r="E140" s="2" t="n">
        <v>10.2</v>
      </c>
      <c r="F140" s="2" t="n">
        <v>660000</v>
      </c>
      <c r="G140" s="2" t="inlineStr">
        <is>
          <t>Yes</t>
        </is>
      </c>
      <c r="H140" s="2" t="n">
        <v>32</v>
      </c>
      <c r="I140" s="2" t="n">
        <v>3</v>
      </c>
      <c r="J140" s="2" t="n">
        <v>3.1</v>
      </c>
      <c r="K140" s="2" t="n">
        <v>3.4</v>
      </c>
      <c r="L140" s="2" t="inlineStr">
        <is>
          <t>Active</t>
        </is>
      </c>
    </row>
    <row r="141">
      <c r="A141" s="2" t="inlineStr">
        <is>
          <t>EMP00433</t>
        </is>
      </c>
      <c r="B141" s="2" t="inlineStr">
        <is>
          <t>Finance</t>
        </is>
      </c>
      <c r="C141" s="2" t="inlineStr">
        <is>
          <t>Financial Analyst</t>
        </is>
      </c>
      <c r="D141" s="2" t="n">
        <v>29</v>
      </c>
      <c r="E141" s="2" t="n">
        <v>2.5</v>
      </c>
      <c r="F141" s="2" t="n">
        <v>771000</v>
      </c>
      <c r="G141" s="2" t="inlineStr">
        <is>
          <t>No</t>
        </is>
      </c>
      <c r="H141" s="2" t="n">
        <v>25</v>
      </c>
      <c r="I141" s="2" t="n">
        <v>3.9</v>
      </c>
      <c r="J141" s="2" t="n">
        <v>2</v>
      </c>
      <c r="K141" s="2" t="n">
        <v>3.5</v>
      </c>
      <c r="L141" s="2" t="inlineStr">
        <is>
          <t>Active</t>
        </is>
      </c>
    </row>
    <row r="142">
      <c r="A142" s="2" t="inlineStr">
        <is>
          <t>EMP00524</t>
        </is>
      </c>
      <c r="B142" s="2" t="inlineStr">
        <is>
          <t>Finance</t>
        </is>
      </c>
      <c r="C142" s="2" t="inlineStr">
        <is>
          <t>Accountant</t>
        </is>
      </c>
      <c r="D142" s="2" t="n">
        <v>41</v>
      </c>
      <c r="E142" s="2" t="n">
        <v>5.4</v>
      </c>
      <c r="F142" s="2" t="n">
        <v>850000</v>
      </c>
      <c r="G142" s="2" t="inlineStr">
        <is>
          <t>Yes</t>
        </is>
      </c>
      <c r="H142" s="2" t="n">
        <v>42</v>
      </c>
      <c r="I142" s="2" t="n">
        <v>1.9</v>
      </c>
      <c r="J142" s="2" t="n">
        <v>3.6</v>
      </c>
      <c r="K142" s="2" t="n">
        <v>2.6</v>
      </c>
      <c r="L142" s="2" t="inlineStr">
        <is>
          <t>Resigned</t>
        </is>
      </c>
    </row>
    <row r="143">
      <c r="A143" s="2" t="inlineStr">
        <is>
          <t>EMP00013</t>
        </is>
      </c>
      <c r="B143" s="2" t="inlineStr">
        <is>
          <t>Finance</t>
        </is>
      </c>
      <c r="C143" s="2" t="inlineStr">
        <is>
          <t>Finance Manager</t>
        </is>
      </c>
      <c r="D143" s="2" t="n">
        <v>29</v>
      </c>
      <c r="E143" s="2" t="n">
        <v>7.8</v>
      </c>
      <c r="F143" s="2" t="n">
        <v>1078000</v>
      </c>
      <c r="G143" s="2" t="inlineStr">
        <is>
          <t>No</t>
        </is>
      </c>
      <c r="H143" s="2" t="n">
        <v>44</v>
      </c>
      <c r="I143" s="2" t="n">
        <v>3.9</v>
      </c>
      <c r="J143" s="2" t="n">
        <v>2.9</v>
      </c>
      <c r="K143" s="2" t="n">
        <v>3.5</v>
      </c>
      <c r="L143" s="2" t="inlineStr">
        <is>
          <t>Active</t>
        </is>
      </c>
    </row>
    <row r="144">
      <c r="A144" s="2" t="inlineStr">
        <is>
          <t>EMP00686</t>
        </is>
      </c>
      <c r="B144" s="2" t="inlineStr">
        <is>
          <t>Engineering</t>
        </is>
      </c>
      <c r="C144" s="2" t="inlineStr">
        <is>
          <t>Senior Engineer</t>
        </is>
      </c>
      <c r="D144" s="2" t="n">
        <v>28</v>
      </c>
      <c r="E144" s="2" t="n">
        <v>4</v>
      </c>
      <c r="F144" s="2" t="n">
        <v>1148000</v>
      </c>
      <c r="G144" s="2" t="inlineStr">
        <is>
          <t>No</t>
        </is>
      </c>
      <c r="H144" s="2" t="n">
        <v>44</v>
      </c>
      <c r="I144" s="2" t="n">
        <v>3</v>
      </c>
      <c r="J144" s="2" t="n">
        <v>2.9</v>
      </c>
      <c r="K144" s="2" t="n">
        <v>2.8</v>
      </c>
      <c r="L144" s="2" t="inlineStr">
        <is>
          <t>Active</t>
        </is>
      </c>
    </row>
    <row r="145">
      <c r="A145" s="2" t="inlineStr">
        <is>
          <t>EMP00818</t>
        </is>
      </c>
      <c r="B145" s="2" t="inlineStr">
        <is>
          <t>Operations</t>
        </is>
      </c>
      <c r="C145" s="2" t="inlineStr">
        <is>
          <t>Ops Manager</t>
        </is>
      </c>
      <c r="D145" s="2" t="n">
        <v>36</v>
      </c>
      <c r="E145" s="2" t="n">
        <v>4.3</v>
      </c>
      <c r="F145" s="2" t="n">
        <v>773000</v>
      </c>
      <c r="G145" s="2" t="inlineStr">
        <is>
          <t>No</t>
        </is>
      </c>
      <c r="H145" s="2" t="n">
        <v>19</v>
      </c>
      <c r="I145" s="2" t="n">
        <v>2.5</v>
      </c>
      <c r="J145" s="2" t="n">
        <v>4.3</v>
      </c>
      <c r="K145" s="2" t="n">
        <v>4</v>
      </c>
      <c r="L145" s="2" t="inlineStr">
        <is>
          <t>Resigned</t>
        </is>
      </c>
    </row>
    <row r="146">
      <c r="A146" s="2" t="inlineStr">
        <is>
          <t>EMP00147</t>
        </is>
      </c>
      <c r="B146" s="2" t="inlineStr">
        <is>
          <t>Engineering</t>
        </is>
      </c>
      <c r="C146" s="2" t="inlineStr">
        <is>
          <t>Engineering Manager</t>
        </is>
      </c>
      <c r="D146" s="2" t="n">
        <v>38</v>
      </c>
      <c r="E146" s="2" t="n">
        <v>2</v>
      </c>
      <c r="F146" s="2" t="n">
        <v>1195000</v>
      </c>
      <c r="G146" s="2" t="inlineStr">
        <is>
          <t>Yes</t>
        </is>
      </c>
      <c r="H146" s="2" t="n">
        <v>24</v>
      </c>
      <c r="I146" s="2" t="n">
        <v>3.9</v>
      </c>
      <c r="J146" s="2" t="n">
        <v>3.3</v>
      </c>
      <c r="K146" s="2" t="n">
        <v>3</v>
      </c>
      <c r="L146" s="2" t="inlineStr">
        <is>
          <t>Active</t>
        </is>
      </c>
    </row>
    <row r="147">
      <c r="A147" s="2" t="inlineStr">
        <is>
          <t>EMP00680</t>
        </is>
      </c>
      <c r="B147" s="2" t="inlineStr">
        <is>
          <t>Engineering</t>
        </is>
      </c>
      <c r="C147" s="2" t="inlineStr">
        <is>
          <t>Senior Engineer</t>
        </is>
      </c>
      <c r="D147" s="2" t="n">
        <v>21</v>
      </c>
      <c r="E147" s="2" t="n">
        <v>1.8</v>
      </c>
      <c r="F147" s="2" t="n">
        <v>1088000</v>
      </c>
      <c r="G147" s="2" t="inlineStr">
        <is>
          <t>Yes</t>
        </is>
      </c>
      <c r="H147" s="2" t="n">
        <v>4</v>
      </c>
      <c r="I147" s="2" t="n">
        <v>2.8</v>
      </c>
      <c r="J147" s="2" t="n">
        <v>3.5</v>
      </c>
      <c r="K147" s="2" t="n">
        <v>4</v>
      </c>
      <c r="L147" s="2" t="inlineStr">
        <is>
          <t>Active</t>
        </is>
      </c>
    </row>
    <row r="148">
      <c r="A148" s="2" t="inlineStr">
        <is>
          <t>EMP01135</t>
        </is>
      </c>
      <c r="B148" s="2" t="inlineStr">
        <is>
          <t>Customer Support</t>
        </is>
      </c>
      <c r="C148" s="2" t="inlineStr">
        <is>
          <t>Support Associate</t>
        </is>
      </c>
      <c r="D148" s="2" t="n">
        <v>44</v>
      </c>
      <c r="E148" s="2" t="n">
        <v>5.6</v>
      </c>
      <c r="F148" s="2" t="n">
        <v>666000</v>
      </c>
      <c r="G148" s="2" t="inlineStr">
        <is>
          <t>Yes</t>
        </is>
      </c>
      <c r="H148" s="2" t="n">
        <v>28</v>
      </c>
      <c r="I148" s="2" t="n">
        <v>2.1</v>
      </c>
      <c r="J148" s="2" t="n">
        <v>3.8</v>
      </c>
      <c r="K148" s="2" t="n">
        <v>4</v>
      </c>
      <c r="L148" s="2" t="inlineStr">
        <is>
          <t>Resigned</t>
        </is>
      </c>
    </row>
    <row r="149">
      <c r="A149" s="2" t="inlineStr">
        <is>
          <t>EMP00014</t>
        </is>
      </c>
      <c r="B149" s="2" t="inlineStr">
        <is>
          <t>HR</t>
        </is>
      </c>
      <c r="C149" s="2" t="inlineStr">
        <is>
          <t>Recruiter</t>
        </is>
      </c>
      <c r="D149" s="2" t="n">
        <v>45</v>
      </c>
      <c r="E149" s="2" t="n">
        <v>3.2</v>
      </c>
      <c r="F149" s="2" t="n">
        <v>690000</v>
      </c>
      <c r="G149" s="2" t="inlineStr">
        <is>
          <t>Yes</t>
        </is>
      </c>
      <c r="H149" s="2" t="n">
        <v>54</v>
      </c>
      <c r="I149" s="2" t="n">
        <v>4</v>
      </c>
      <c r="J149" s="2" t="n">
        <v>2.2</v>
      </c>
      <c r="K149" s="2" t="n">
        <v>3.8</v>
      </c>
      <c r="L149" s="2" t="inlineStr">
        <is>
          <t>Active</t>
        </is>
      </c>
    </row>
    <row r="150">
      <c r="A150" s="2" t="inlineStr">
        <is>
          <t>EMP00618</t>
        </is>
      </c>
      <c r="B150" s="2" t="inlineStr">
        <is>
          <t>Engineering</t>
        </is>
      </c>
      <c r="C150" s="2" t="inlineStr">
        <is>
          <t>Software Engineer</t>
        </is>
      </c>
      <c r="D150" s="2" t="n">
        <v>32</v>
      </c>
      <c r="E150" s="2" t="n">
        <v>6.2</v>
      </c>
      <c r="F150" s="2" t="n">
        <v>1110000</v>
      </c>
      <c r="G150" s="2" t="inlineStr">
        <is>
          <t>No</t>
        </is>
      </c>
      <c r="H150" s="2" t="n">
        <v>25</v>
      </c>
      <c r="I150" s="2" t="n">
        <v>3.4</v>
      </c>
      <c r="J150" s="2" t="n">
        <v>1.8</v>
      </c>
      <c r="K150" s="2" t="n">
        <v>3.3</v>
      </c>
      <c r="L150" s="2" t="inlineStr">
        <is>
          <t>Active</t>
        </is>
      </c>
    </row>
    <row r="151">
      <c r="A151" s="2" t="inlineStr">
        <is>
          <t>EMP00552</t>
        </is>
      </c>
      <c r="B151" s="2" t="inlineStr">
        <is>
          <t>Sales</t>
        </is>
      </c>
      <c r="C151" s="2" t="inlineStr">
        <is>
          <t>Account Manager</t>
        </is>
      </c>
      <c r="D151" s="2" t="n">
        <v>52</v>
      </c>
      <c r="E151" s="2" t="n">
        <v>0.2</v>
      </c>
      <c r="F151" s="2" t="n">
        <v>639000</v>
      </c>
      <c r="G151" s="2" t="inlineStr">
        <is>
          <t>No</t>
        </is>
      </c>
      <c r="H151" s="2" t="n">
        <v>56</v>
      </c>
      <c r="I151" s="2" t="n">
        <v>3</v>
      </c>
      <c r="J151" s="2" t="n">
        <v>2.6</v>
      </c>
      <c r="K151" s="2" t="n">
        <v>3</v>
      </c>
      <c r="L151" s="2" t="inlineStr">
        <is>
          <t>Active</t>
        </is>
      </c>
    </row>
    <row r="152">
      <c r="A152" s="2" t="inlineStr">
        <is>
          <t>EMP00889</t>
        </is>
      </c>
      <c r="B152" s="2" t="inlineStr">
        <is>
          <t>Sales</t>
        </is>
      </c>
      <c r="C152" s="2" t="inlineStr">
        <is>
          <t>Sales Executive</t>
        </is>
      </c>
      <c r="D152" s="2" t="n">
        <v>46</v>
      </c>
      <c r="E152" s="2" t="n">
        <v>6.1</v>
      </c>
      <c r="F152" s="2" t="n">
        <v>903000</v>
      </c>
      <c r="G152" s="2" t="inlineStr">
        <is>
          <t>No</t>
        </is>
      </c>
      <c r="H152" s="2" t="n">
        <v>32</v>
      </c>
      <c r="I152" s="2" t="n">
        <v>3.1</v>
      </c>
      <c r="J152" s="2" t="n">
        <v>2.8</v>
      </c>
      <c r="K152" s="2" t="n">
        <v>2.4</v>
      </c>
      <c r="L152" s="2" t="inlineStr">
        <is>
          <t>Active</t>
        </is>
      </c>
    </row>
    <row r="153">
      <c r="A153" s="2" t="inlineStr">
        <is>
          <t>EMP00699</t>
        </is>
      </c>
      <c r="B153" s="2" t="inlineStr">
        <is>
          <t>Finance</t>
        </is>
      </c>
      <c r="C153" s="2" t="inlineStr">
        <is>
          <t>Financial Analyst</t>
        </is>
      </c>
      <c r="D153" s="2" t="n">
        <v>27</v>
      </c>
      <c r="E153" s="2" t="n">
        <v>4.9</v>
      </c>
      <c r="F153" s="2" t="n">
        <v>834000</v>
      </c>
      <c r="G153" s="2" t="inlineStr">
        <is>
          <t>No</t>
        </is>
      </c>
      <c r="H153" s="2" t="n">
        <v>1</v>
      </c>
      <c r="I153" s="2" t="n">
        <v>5</v>
      </c>
      <c r="J153" s="2" t="n">
        <v>2.6</v>
      </c>
      <c r="K153" s="2" t="n">
        <v>3.1</v>
      </c>
      <c r="L153" s="2" t="inlineStr">
        <is>
          <t>Active</t>
        </is>
      </c>
    </row>
    <row r="154">
      <c r="A154" s="2" t="inlineStr">
        <is>
          <t>EMP00021</t>
        </is>
      </c>
      <c r="B154" s="2" t="inlineStr">
        <is>
          <t>HR</t>
        </is>
      </c>
      <c r="C154" s="2" t="inlineStr">
        <is>
          <t>HR Generalist</t>
        </is>
      </c>
      <c r="D154" s="2" t="n">
        <v>21</v>
      </c>
      <c r="E154" s="2" t="n">
        <v>2.3</v>
      </c>
      <c r="F154" s="2" t="n">
        <v>596000</v>
      </c>
      <c r="G154" s="2" t="inlineStr">
        <is>
          <t>No</t>
        </is>
      </c>
      <c r="H154" s="2" t="n">
        <v>35</v>
      </c>
      <c r="I154" s="2" t="n">
        <v>3.6</v>
      </c>
      <c r="J154" s="2" t="n">
        <v>2.8</v>
      </c>
      <c r="K154" s="2" t="n">
        <v>3.1</v>
      </c>
      <c r="L154" s="2" t="inlineStr">
        <is>
          <t>Active</t>
        </is>
      </c>
    </row>
    <row r="155">
      <c r="A155" s="2" t="inlineStr">
        <is>
          <t>EMP00896</t>
        </is>
      </c>
      <c r="B155" s="2" t="inlineStr">
        <is>
          <t>Customer Support</t>
        </is>
      </c>
      <c r="C155" s="2" t="inlineStr">
        <is>
          <t>Support Manager</t>
        </is>
      </c>
      <c r="D155" s="2" t="n">
        <v>39</v>
      </c>
      <c r="E155" s="2" t="n">
        <v>5</v>
      </c>
      <c r="F155" s="2" t="n">
        <v>666000</v>
      </c>
      <c r="G155" s="2" t="inlineStr">
        <is>
          <t>No</t>
        </is>
      </c>
      <c r="H155" s="2" t="n">
        <v>7</v>
      </c>
      <c r="I155" s="2" t="n">
        <v>3.1</v>
      </c>
      <c r="J155" s="2" t="n">
        <v>3.1</v>
      </c>
      <c r="K155" s="2" t="n">
        <v>2.4</v>
      </c>
      <c r="L155" s="2" t="inlineStr">
        <is>
          <t>Active</t>
        </is>
      </c>
    </row>
    <row r="156">
      <c r="A156" s="2" t="inlineStr">
        <is>
          <t>EMP00352</t>
        </is>
      </c>
      <c r="B156" s="2" t="inlineStr">
        <is>
          <t>Sales</t>
        </is>
      </c>
      <c r="C156" s="2" t="inlineStr">
        <is>
          <t>Sales Executive</t>
        </is>
      </c>
      <c r="D156" s="2" t="n">
        <v>50</v>
      </c>
      <c r="E156" s="2" t="n">
        <v>5.1</v>
      </c>
      <c r="F156" s="2" t="n">
        <v>729000</v>
      </c>
      <c r="G156" s="2" t="inlineStr">
        <is>
          <t>Yes</t>
        </is>
      </c>
      <c r="H156" s="2" t="n">
        <v>50</v>
      </c>
      <c r="I156" s="2" t="n">
        <v>4</v>
      </c>
      <c r="J156" s="2" t="n">
        <v>2</v>
      </c>
      <c r="K156" s="2" t="n">
        <v>2.2</v>
      </c>
      <c r="L156" s="2" t="inlineStr">
        <is>
          <t>Resigned</t>
        </is>
      </c>
    </row>
    <row r="157">
      <c r="A157" s="2" t="inlineStr">
        <is>
          <t>EMP00875</t>
        </is>
      </c>
      <c r="B157" s="2" t="inlineStr">
        <is>
          <t>Finance</t>
        </is>
      </c>
      <c r="C157" s="2" t="inlineStr">
        <is>
          <t>Financial Analyst</t>
        </is>
      </c>
      <c r="D157" s="2" t="n">
        <v>34</v>
      </c>
      <c r="E157" s="2" t="n">
        <v>1.3</v>
      </c>
      <c r="F157" s="2" t="n">
        <v>729000</v>
      </c>
      <c r="G157" s="2" t="inlineStr">
        <is>
          <t>No</t>
        </is>
      </c>
      <c r="H157" s="2" t="n">
        <v>45</v>
      </c>
      <c r="I157" s="2" t="n">
        <v>3</v>
      </c>
      <c r="J157" s="2" t="n">
        <v>2.8</v>
      </c>
      <c r="K157" s="2" t="n">
        <v>3.5</v>
      </c>
      <c r="L157" s="2" t="inlineStr">
        <is>
          <t>Resigned</t>
        </is>
      </c>
    </row>
    <row r="158">
      <c r="A158" s="2" t="inlineStr">
        <is>
          <t>EMP00307</t>
        </is>
      </c>
      <c r="B158" s="2" t="inlineStr">
        <is>
          <t>Engineering</t>
        </is>
      </c>
      <c r="C158" s="2" t="inlineStr">
        <is>
          <t>Engineering Manager</t>
        </is>
      </c>
      <c r="D158" s="2" t="n">
        <v>25</v>
      </c>
      <c r="E158" s="2" t="n">
        <v>0.6</v>
      </c>
      <c r="F158" s="2" t="n">
        <v>925000</v>
      </c>
      <c r="G158" s="2" t="inlineStr">
        <is>
          <t>No</t>
        </is>
      </c>
      <c r="H158" s="2" t="n">
        <v>38</v>
      </c>
      <c r="I158" s="2" t="n">
        <v>3.1</v>
      </c>
      <c r="J158" s="2" t="n">
        <v>3.4</v>
      </c>
      <c r="K158" s="2" t="n">
        <v>2.8</v>
      </c>
      <c r="L158" s="2" t="inlineStr">
        <is>
          <t>Active</t>
        </is>
      </c>
    </row>
    <row r="159">
      <c r="A159" s="2" t="inlineStr">
        <is>
          <t>EMP00825</t>
        </is>
      </c>
      <c r="B159" s="2" t="inlineStr">
        <is>
          <t>HR</t>
        </is>
      </c>
      <c r="C159" s="2" t="inlineStr">
        <is>
          <t>Recruiter</t>
        </is>
      </c>
      <c r="D159" s="2" t="n">
        <v>22</v>
      </c>
      <c r="E159" s="2" t="n">
        <v>3</v>
      </c>
      <c r="F159" s="2" t="n">
        <v>697000</v>
      </c>
      <c r="G159" s="2" t="inlineStr">
        <is>
          <t>No</t>
        </is>
      </c>
      <c r="H159" s="2" t="n">
        <v>56</v>
      </c>
      <c r="I159" s="2" t="n">
        <v>2.7</v>
      </c>
      <c r="J159" s="2" t="n">
        <v>3.8</v>
      </c>
      <c r="K159" s="2" t="n">
        <v>2.8</v>
      </c>
      <c r="L159" s="2" t="inlineStr">
        <is>
          <t>Resigned</t>
        </is>
      </c>
    </row>
    <row r="160">
      <c r="A160" s="2" t="inlineStr">
        <is>
          <t>EMP00400</t>
        </is>
      </c>
      <c r="B160" s="2" t="inlineStr">
        <is>
          <t>Operations</t>
        </is>
      </c>
      <c r="C160" s="2" t="inlineStr">
        <is>
          <t>Ops Manager</t>
        </is>
      </c>
      <c r="D160" s="2" t="n">
        <v>33</v>
      </c>
      <c r="E160" s="2" t="n">
        <v>4.7</v>
      </c>
      <c r="F160" s="2" t="n">
        <v>685000</v>
      </c>
      <c r="G160" s="2" t="inlineStr">
        <is>
          <t>Yes</t>
        </is>
      </c>
      <c r="H160" s="2" t="n">
        <v>37</v>
      </c>
      <c r="I160" s="2" t="n">
        <v>3.2</v>
      </c>
      <c r="J160" s="2" t="n">
        <v>2.6</v>
      </c>
      <c r="K160" s="2" t="n">
        <v>3.6</v>
      </c>
      <c r="L160" s="2" t="inlineStr">
        <is>
          <t>Active</t>
        </is>
      </c>
    </row>
    <row r="161">
      <c r="A161" s="2" t="inlineStr">
        <is>
          <t>EMP00205</t>
        </is>
      </c>
      <c r="B161" s="2" t="inlineStr">
        <is>
          <t>Sales</t>
        </is>
      </c>
      <c r="C161" s="2" t="inlineStr">
        <is>
          <t>Sales Manager</t>
        </is>
      </c>
      <c r="D161" s="2" t="n">
        <v>32</v>
      </c>
      <c r="E161" s="2" t="n">
        <v>4.3</v>
      </c>
      <c r="F161" s="2" t="n">
        <v>721000</v>
      </c>
      <c r="G161" s="2" t="inlineStr">
        <is>
          <t>No</t>
        </is>
      </c>
      <c r="H161" s="2" t="n">
        <v>6</v>
      </c>
      <c r="I161" s="2" t="n">
        <v>3.1</v>
      </c>
      <c r="J161" s="2" t="n">
        <v>4.1</v>
      </c>
      <c r="K161" s="2" t="n">
        <v>3.5</v>
      </c>
      <c r="L161" s="2" t="inlineStr">
        <is>
          <t>Active</t>
        </is>
      </c>
    </row>
    <row r="162">
      <c r="A162" s="2" t="inlineStr">
        <is>
          <t>EMP01171</t>
        </is>
      </c>
      <c r="B162" s="2" t="inlineStr">
        <is>
          <t>Engineering</t>
        </is>
      </c>
      <c r="C162" s="2" t="inlineStr">
        <is>
          <t>Engineering Manager</t>
        </is>
      </c>
      <c r="D162" s="2" t="n">
        <v>36</v>
      </c>
      <c r="E162" s="2" t="n">
        <v>1.2</v>
      </c>
      <c r="F162" s="2" t="n">
        <v>1067000</v>
      </c>
      <c r="G162" s="2" t="inlineStr">
        <is>
          <t>Yes</t>
        </is>
      </c>
      <c r="H162" s="2" t="n">
        <v>38</v>
      </c>
      <c r="I162" s="2" t="n">
        <v>3.1</v>
      </c>
      <c r="J162" s="2" t="n">
        <v>3.1</v>
      </c>
      <c r="K162" s="2" t="n">
        <v>2.2</v>
      </c>
      <c r="L162" s="2" t="inlineStr">
        <is>
          <t>Resigned</t>
        </is>
      </c>
    </row>
    <row r="163">
      <c r="A163" s="2" t="inlineStr">
        <is>
          <t>EMP00678</t>
        </is>
      </c>
      <c r="B163" s="2" t="inlineStr">
        <is>
          <t>Operations</t>
        </is>
      </c>
      <c r="C163" s="2" t="inlineStr">
        <is>
          <t>Process Lead</t>
        </is>
      </c>
      <c r="D163" s="2" t="n">
        <v>31</v>
      </c>
      <c r="E163" s="2" t="n">
        <v>3.9</v>
      </c>
      <c r="F163" s="2" t="n">
        <v>688000</v>
      </c>
      <c r="G163" s="2" t="inlineStr">
        <is>
          <t>Yes</t>
        </is>
      </c>
      <c r="H163" s="2" t="n">
        <v>24</v>
      </c>
      <c r="I163" s="2" t="n">
        <v>3.7</v>
      </c>
      <c r="J163" s="2" t="n">
        <v>1.6</v>
      </c>
      <c r="K163" s="2" t="n">
        <v>2.2</v>
      </c>
      <c r="L163" s="2" t="inlineStr">
        <is>
          <t>Resigned</t>
        </is>
      </c>
    </row>
    <row r="164">
      <c r="A164" s="2" t="inlineStr">
        <is>
          <t>EMP01195</t>
        </is>
      </c>
      <c r="B164" s="2" t="inlineStr">
        <is>
          <t>Customer Support</t>
        </is>
      </c>
      <c r="C164" s="2" t="inlineStr">
        <is>
          <t>Support Associate</t>
        </is>
      </c>
      <c r="D164" s="2" t="n">
        <v>42</v>
      </c>
      <c r="E164" s="2" t="n">
        <v>4.3</v>
      </c>
      <c r="F164" s="2" t="n">
        <v>596000</v>
      </c>
      <c r="G164" s="2" t="inlineStr">
        <is>
          <t>No</t>
        </is>
      </c>
      <c r="H164" s="2" t="n">
        <v>37</v>
      </c>
      <c r="I164" s="2" t="n">
        <v>2.7</v>
      </c>
      <c r="J164" s="2" t="n">
        <v>2.4</v>
      </c>
      <c r="K164" s="2" t="n">
        <v>3.3</v>
      </c>
      <c r="L164" s="2" t="inlineStr">
        <is>
          <t>Active</t>
        </is>
      </c>
    </row>
    <row r="165">
      <c r="A165" s="2" t="inlineStr">
        <is>
          <t>EMP00390</t>
        </is>
      </c>
      <c r="B165" s="2" t="inlineStr">
        <is>
          <t>Customer Support</t>
        </is>
      </c>
      <c r="C165" s="2" t="inlineStr">
        <is>
          <t>Support Manager</t>
        </is>
      </c>
      <c r="D165" s="2" t="n">
        <v>34</v>
      </c>
      <c r="E165" s="2" t="n">
        <v>2.8</v>
      </c>
      <c r="F165" s="2" t="n">
        <v>487000</v>
      </c>
      <c r="G165" s="2" t="inlineStr">
        <is>
          <t>Yes</t>
        </is>
      </c>
      <c r="H165" s="2" t="n">
        <v>42</v>
      </c>
      <c r="I165" s="2" t="n">
        <v>4.4</v>
      </c>
      <c r="J165" s="2" t="n">
        <v>2.6</v>
      </c>
      <c r="K165" s="2" t="n">
        <v>3.4</v>
      </c>
      <c r="L165" s="2" t="inlineStr">
        <is>
          <t>Active</t>
        </is>
      </c>
    </row>
    <row r="166">
      <c r="A166" s="2" t="inlineStr">
        <is>
          <t>EMP00881</t>
        </is>
      </c>
      <c r="B166" s="2" t="inlineStr">
        <is>
          <t>Engineering</t>
        </is>
      </c>
      <c r="C166" s="2" t="inlineStr">
        <is>
          <t>Software Engineer</t>
        </is>
      </c>
      <c r="D166" s="2" t="n">
        <v>42</v>
      </c>
      <c r="E166" s="2" t="n">
        <v>5.7</v>
      </c>
      <c r="F166" s="2" t="n">
        <v>1136000</v>
      </c>
      <c r="G166" s="2" t="inlineStr">
        <is>
          <t>No</t>
        </is>
      </c>
      <c r="H166" s="2" t="n">
        <v>43</v>
      </c>
      <c r="I166" s="2" t="n">
        <v>2.8</v>
      </c>
      <c r="J166" s="2" t="n">
        <v>3.4</v>
      </c>
      <c r="K166" s="2" t="n">
        <v>2.6</v>
      </c>
      <c r="L166" s="2" t="inlineStr">
        <is>
          <t>Active</t>
        </is>
      </c>
    </row>
    <row r="167">
      <c r="A167" s="2" t="inlineStr">
        <is>
          <t>EMP00504</t>
        </is>
      </c>
      <c r="B167" s="2" t="inlineStr">
        <is>
          <t>Operations</t>
        </is>
      </c>
      <c r="C167" s="2" t="inlineStr">
        <is>
          <t>Ops Manager</t>
        </is>
      </c>
      <c r="D167" s="2" t="n">
        <v>29</v>
      </c>
      <c r="E167" s="2" t="n">
        <v>1.2</v>
      </c>
      <c r="F167" s="2" t="n">
        <v>668000</v>
      </c>
      <c r="G167" s="2" t="inlineStr">
        <is>
          <t>No</t>
        </is>
      </c>
      <c r="H167" s="2" t="n">
        <v>34</v>
      </c>
      <c r="I167" s="2" t="n">
        <v>2.9</v>
      </c>
      <c r="J167" s="2" t="n">
        <v>4.1</v>
      </c>
      <c r="K167" s="2" t="n">
        <v>3.4</v>
      </c>
      <c r="L167" s="2" t="inlineStr">
        <is>
          <t>Active</t>
        </is>
      </c>
    </row>
    <row r="168">
      <c r="A168" s="2" t="inlineStr">
        <is>
          <t>EMP00535</t>
        </is>
      </c>
      <c r="B168" s="2" t="inlineStr">
        <is>
          <t>Sales</t>
        </is>
      </c>
      <c r="C168" s="2" t="inlineStr">
        <is>
          <t>Sales Manager</t>
        </is>
      </c>
      <c r="D168" s="2" t="n">
        <v>49</v>
      </c>
      <c r="E168" s="2" t="n">
        <v>6.3</v>
      </c>
      <c r="F168" s="2" t="n">
        <v>903000</v>
      </c>
      <c r="G168" s="2" t="inlineStr">
        <is>
          <t>No</t>
        </is>
      </c>
      <c r="H168" s="2" t="n">
        <v>15</v>
      </c>
      <c r="I168" s="2" t="n">
        <v>2.5</v>
      </c>
      <c r="J168" s="2" t="n">
        <v>4.7</v>
      </c>
      <c r="K168" s="2" t="n">
        <v>2.2</v>
      </c>
      <c r="L168" s="2" t="inlineStr">
        <is>
          <t>Active</t>
        </is>
      </c>
    </row>
    <row r="169">
      <c r="A169" s="2" t="inlineStr">
        <is>
          <t>EMP00273</t>
        </is>
      </c>
      <c r="B169" s="2" t="inlineStr">
        <is>
          <t>Sales</t>
        </is>
      </c>
      <c r="C169" s="2" t="inlineStr">
        <is>
          <t>Sales Manager</t>
        </is>
      </c>
      <c r="D169" s="2" t="n">
        <v>41</v>
      </c>
      <c r="E169" s="2" t="n">
        <v>11.8</v>
      </c>
      <c r="F169" s="2" t="n">
        <v>1029000</v>
      </c>
      <c r="G169" s="2" t="inlineStr">
        <is>
          <t>Yes</t>
        </is>
      </c>
      <c r="H169" s="2" t="n">
        <v>41</v>
      </c>
      <c r="I169" s="2" t="n">
        <v>4.9</v>
      </c>
      <c r="J169" s="2" t="n">
        <v>1.1</v>
      </c>
      <c r="K169" s="2" t="n">
        <v>3.2</v>
      </c>
      <c r="L169" s="2" t="inlineStr">
        <is>
          <t>Active</t>
        </is>
      </c>
    </row>
    <row r="170">
      <c r="A170" s="2" t="inlineStr">
        <is>
          <t>EMP00116</t>
        </is>
      </c>
      <c r="B170" s="2" t="inlineStr">
        <is>
          <t>Customer Support</t>
        </is>
      </c>
      <c r="C170" s="2" t="inlineStr">
        <is>
          <t>Support Manager</t>
        </is>
      </c>
      <c r="D170" s="2" t="n">
        <v>33</v>
      </c>
      <c r="E170" s="2" t="n">
        <v>4</v>
      </c>
      <c r="F170" s="2" t="n">
        <v>614000</v>
      </c>
      <c r="G170" s="2" t="inlineStr">
        <is>
          <t>No</t>
        </is>
      </c>
      <c r="H170" s="2" t="n">
        <v>51</v>
      </c>
      <c r="I170" s="2" t="n">
        <v>3.6</v>
      </c>
      <c r="J170" s="2" t="n">
        <v>3.3</v>
      </c>
      <c r="K170" s="2" t="n">
        <v>3.2</v>
      </c>
      <c r="L170" s="2" t="inlineStr">
        <is>
          <t>Active</t>
        </is>
      </c>
    </row>
    <row r="171">
      <c r="A171" s="2" t="inlineStr">
        <is>
          <t>EMP00208</t>
        </is>
      </c>
      <c r="B171" s="2" t="inlineStr">
        <is>
          <t>Finance</t>
        </is>
      </c>
      <c r="C171" s="2" t="inlineStr">
        <is>
          <t>Financial Analyst</t>
        </is>
      </c>
      <c r="D171" s="2" t="n">
        <v>21</v>
      </c>
      <c r="E171" s="2" t="n">
        <v>0.5</v>
      </c>
      <c r="F171" s="2" t="n">
        <v>888000</v>
      </c>
      <c r="G171" s="2" t="inlineStr">
        <is>
          <t>No</t>
        </is>
      </c>
      <c r="H171" s="2" t="n">
        <v>22</v>
      </c>
      <c r="I171" s="2" t="n">
        <v>4.2</v>
      </c>
      <c r="J171" s="2" t="n">
        <v>3.9</v>
      </c>
      <c r="K171" s="2" t="n">
        <v>4</v>
      </c>
      <c r="L171" s="2" t="inlineStr">
        <is>
          <t>Active</t>
        </is>
      </c>
    </row>
    <row r="172">
      <c r="A172" s="2" t="inlineStr">
        <is>
          <t>EMP00493</t>
        </is>
      </c>
      <c r="B172" s="2" t="inlineStr">
        <is>
          <t>Finance</t>
        </is>
      </c>
      <c r="C172" s="2" t="inlineStr">
        <is>
          <t>Accountant</t>
        </is>
      </c>
      <c r="D172" s="2" t="n">
        <v>36</v>
      </c>
      <c r="E172" s="2" t="n">
        <v>3.8</v>
      </c>
      <c r="F172" s="2" t="n">
        <v>940000</v>
      </c>
      <c r="G172" s="2" t="inlineStr">
        <is>
          <t>Yes</t>
        </is>
      </c>
      <c r="H172" s="2" t="n">
        <v>16</v>
      </c>
      <c r="I172" s="2" t="n">
        <v>3.1</v>
      </c>
      <c r="J172" s="2" t="n">
        <v>2.5</v>
      </c>
      <c r="K172" s="2" t="n">
        <v>3.3</v>
      </c>
      <c r="L172" s="2" t="inlineStr">
        <is>
          <t>Resigned</t>
        </is>
      </c>
    </row>
    <row r="173">
      <c r="A173" s="2" t="inlineStr">
        <is>
          <t>EMP00717</t>
        </is>
      </c>
      <c r="B173" s="2" t="inlineStr">
        <is>
          <t>Operations</t>
        </is>
      </c>
      <c r="C173" s="2" t="inlineStr">
        <is>
          <t>Ops Manager</t>
        </is>
      </c>
      <c r="D173" s="2" t="n">
        <v>45</v>
      </c>
      <c r="E173" s="2" t="n">
        <v>3.8</v>
      </c>
      <c r="F173" s="2" t="n">
        <v>734000</v>
      </c>
      <c r="G173" s="2" t="inlineStr">
        <is>
          <t>No</t>
        </is>
      </c>
      <c r="H173" s="2" t="n">
        <v>40</v>
      </c>
      <c r="I173" s="2" t="n">
        <v>3.8</v>
      </c>
      <c r="J173" s="2" t="n">
        <v>3.3</v>
      </c>
      <c r="K173" s="2" t="n">
        <v>2.3</v>
      </c>
      <c r="L173" s="2" t="inlineStr">
        <is>
          <t>Active</t>
        </is>
      </c>
    </row>
    <row r="174">
      <c r="A174" s="2" t="inlineStr">
        <is>
          <t>EMP01087</t>
        </is>
      </c>
      <c r="B174" s="2" t="inlineStr">
        <is>
          <t>HR</t>
        </is>
      </c>
      <c r="C174" s="2" t="inlineStr">
        <is>
          <t>Recruiter</t>
        </is>
      </c>
      <c r="D174" s="2" t="n">
        <v>21</v>
      </c>
      <c r="E174" s="2" t="n">
        <v>3.1</v>
      </c>
      <c r="F174" s="2" t="n">
        <v>602000</v>
      </c>
      <c r="G174" s="2" t="inlineStr">
        <is>
          <t>Yes</t>
        </is>
      </c>
      <c r="H174" s="2" t="n">
        <v>17</v>
      </c>
      <c r="I174" s="2" t="n">
        <v>4.3</v>
      </c>
      <c r="J174" s="2" t="n">
        <v>3.2</v>
      </c>
      <c r="K174" s="2" t="n">
        <v>2.9</v>
      </c>
      <c r="L174" s="2" t="inlineStr">
        <is>
          <t>Active</t>
        </is>
      </c>
    </row>
    <row r="175">
      <c r="A175" s="2" t="inlineStr">
        <is>
          <t>EMP00975</t>
        </is>
      </c>
      <c r="B175" s="2" t="inlineStr">
        <is>
          <t>Engineering</t>
        </is>
      </c>
      <c r="C175" s="2" t="inlineStr">
        <is>
          <t>Engineering Manager</t>
        </is>
      </c>
      <c r="D175" s="2" t="n">
        <v>29</v>
      </c>
      <c r="E175" s="2" t="n">
        <v>7.5</v>
      </c>
      <c r="F175" s="2" t="n">
        <v>1573000</v>
      </c>
      <c r="G175" s="2" t="inlineStr">
        <is>
          <t>Yes</t>
        </is>
      </c>
      <c r="H175" s="2" t="n">
        <v>44</v>
      </c>
      <c r="I175" s="2" t="n">
        <v>2.2</v>
      </c>
      <c r="J175" s="2" t="n">
        <v>3</v>
      </c>
      <c r="K175" s="2" t="n">
        <v>3.2</v>
      </c>
      <c r="L175" s="2" t="inlineStr">
        <is>
          <t>Resigned</t>
        </is>
      </c>
    </row>
    <row r="176">
      <c r="A176" s="2" t="inlineStr">
        <is>
          <t>EMP00141</t>
        </is>
      </c>
      <c r="B176" s="2" t="inlineStr">
        <is>
          <t>Operations</t>
        </is>
      </c>
      <c r="C176" s="2" t="inlineStr">
        <is>
          <t>Ops Analyst</t>
        </is>
      </c>
      <c r="D176" s="2" t="n">
        <v>35</v>
      </c>
      <c r="E176" s="2" t="n">
        <v>1.2</v>
      </c>
      <c r="F176" s="2" t="n">
        <v>717000</v>
      </c>
      <c r="G176" s="2" t="inlineStr">
        <is>
          <t>No</t>
        </is>
      </c>
      <c r="H176" s="2" t="n">
        <v>42</v>
      </c>
      <c r="I176" s="2" t="n">
        <v>4.1</v>
      </c>
      <c r="J176" s="2" t="n">
        <v>4.2</v>
      </c>
      <c r="K176" s="2" t="n">
        <v>3.4</v>
      </c>
      <c r="L176" s="2" t="inlineStr">
        <is>
          <t>Active</t>
        </is>
      </c>
    </row>
    <row r="177">
      <c r="A177" s="2" t="inlineStr">
        <is>
          <t>EMP00887</t>
        </is>
      </c>
      <c r="B177" s="2" t="inlineStr">
        <is>
          <t>Engineering</t>
        </is>
      </c>
      <c r="C177" s="2" t="inlineStr">
        <is>
          <t>Software Engineer</t>
        </is>
      </c>
      <c r="D177" s="2" t="n">
        <v>41</v>
      </c>
      <c r="E177" s="2" t="n">
        <v>1.6</v>
      </c>
      <c r="F177" s="2" t="n">
        <v>1133000</v>
      </c>
      <c r="G177" s="2" t="inlineStr">
        <is>
          <t>Yes</t>
        </is>
      </c>
      <c r="H177" s="2" t="n">
        <v>45</v>
      </c>
      <c r="I177" s="2" t="n">
        <v>3.4</v>
      </c>
      <c r="J177" s="2" t="n">
        <v>2.1</v>
      </c>
      <c r="K177" s="2" t="n">
        <v>2.6</v>
      </c>
      <c r="L177" s="2" t="inlineStr">
        <is>
          <t>Resigned</t>
        </is>
      </c>
    </row>
    <row r="178">
      <c r="A178" s="2" t="inlineStr">
        <is>
          <t>EMP00264</t>
        </is>
      </c>
      <c r="B178" s="2" t="inlineStr">
        <is>
          <t>Sales</t>
        </is>
      </c>
      <c r="C178" s="2" t="inlineStr">
        <is>
          <t>Account Manager</t>
        </is>
      </c>
      <c r="D178" s="2" t="n">
        <v>35</v>
      </c>
      <c r="E178" s="2" t="n">
        <v>2</v>
      </c>
      <c r="F178" s="2" t="n">
        <v>734000</v>
      </c>
      <c r="G178" s="2" t="inlineStr">
        <is>
          <t>No</t>
        </is>
      </c>
      <c r="H178" s="2" t="n">
        <v>25</v>
      </c>
      <c r="I178" s="2" t="n">
        <v>2.4</v>
      </c>
      <c r="J178" s="2" t="n">
        <v>4.3</v>
      </c>
      <c r="K178" s="2" t="n">
        <v>2.7</v>
      </c>
      <c r="L178" s="2" t="inlineStr">
        <is>
          <t>Active</t>
        </is>
      </c>
    </row>
    <row r="179">
      <c r="A179" s="2" t="inlineStr">
        <is>
          <t>EMP01159</t>
        </is>
      </c>
      <c r="B179" s="2" t="inlineStr">
        <is>
          <t>Operations</t>
        </is>
      </c>
      <c r="C179" s="2" t="inlineStr">
        <is>
          <t>Ops Analyst</t>
        </is>
      </c>
      <c r="D179" s="2" t="n">
        <v>44</v>
      </c>
      <c r="E179" s="2" t="n">
        <v>4.1</v>
      </c>
      <c r="F179" s="2" t="n">
        <v>679000</v>
      </c>
      <c r="G179" s="2" t="inlineStr">
        <is>
          <t>No</t>
        </is>
      </c>
      <c r="H179" s="2" t="n">
        <v>7</v>
      </c>
      <c r="I179" s="2" t="n">
        <v>3.4</v>
      </c>
      <c r="J179" s="2" t="n">
        <v>3.3</v>
      </c>
      <c r="K179" s="2" t="n">
        <v>3.1</v>
      </c>
      <c r="L179" s="2" t="inlineStr">
        <is>
          <t>Active</t>
        </is>
      </c>
    </row>
    <row r="180">
      <c r="A180" s="2" t="inlineStr">
        <is>
          <t>EMP00419</t>
        </is>
      </c>
      <c r="B180" s="2" t="inlineStr">
        <is>
          <t>Sales</t>
        </is>
      </c>
      <c r="C180" s="2" t="inlineStr">
        <is>
          <t>Sales Executive</t>
        </is>
      </c>
      <c r="D180" s="2" t="n">
        <v>49</v>
      </c>
      <c r="E180" s="2" t="n">
        <v>0.8</v>
      </c>
      <c r="F180" s="2" t="n">
        <v>758000</v>
      </c>
      <c r="G180" s="2" t="inlineStr">
        <is>
          <t>No</t>
        </is>
      </c>
      <c r="H180" s="2" t="n">
        <v>21</v>
      </c>
      <c r="I180" s="2" t="n">
        <v>4</v>
      </c>
      <c r="J180" s="2" t="n">
        <v>4</v>
      </c>
      <c r="K180" s="2" t="n">
        <v>3.5</v>
      </c>
      <c r="L180" s="2" t="inlineStr">
        <is>
          <t>Active</t>
        </is>
      </c>
    </row>
    <row r="181">
      <c r="A181" s="2" t="inlineStr">
        <is>
          <t>EMP00566</t>
        </is>
      </c>
      <c r="B181" s="2" t="inlineStr">
        <is>
          <t>Finance</t>
        </is>
      </c>
      <c r="C181" s="2" t="inlineStr">
        <is>
          <t>Accountant</t>
        </is>
      </c>
      <c r="D181" s="2" t="n">
        <v>40</v>
      </c>
      <c r="E181" s="2" t="n">
        <v>1.9</v>
      </c>
      <c r="F181" s="2" t="n">
        <v>841000</v>
      </c>
      <c r="G181" s="2" t="inlineStr">
        <is>
          <t>No</t>
        </is>
      </c>
      <c r="H181" s="2" t="n">
        <v>7</v>
      </c>
      <c r="I181" s="2" t="n">
        <v>1.7</v>
      </c>
      <c r="J181" s="2" t="n">
        <v>3.6</v>
      </c>
      <c r="K181" s="2" t="n">
        <v>2.7</v>
      </c>
      <c r="L181" s="2" t="inlineStr">
        <is>
          <t>Active</t>
        </is>
      </c>
    </row>
    <row r="182">
      <c r="A182" s="2" t="inlineStr">
        <is>
          <t>EMP00485</t>
        </is>
      </c>
      <c r="B182" s="2" t="inlineStr">
        <is>
          <t>Sales</t>
        </is>
      </c>
      <c r="C182" s="2" t="inlineStr">
        <is>
          <t>Account Manager</t>
        </is>
      </c>
      <c r="D182" s="2" t="n">
        <v>43</v>
      </c>
      <c r="E182" s="2" t="n">
        <v>4.8</v>
      </c>
      <c r="F182" s="2" t="n">
        <v>855000</v>
      </c>
      <c r="G182" s="2" t="inlineStr">
        <is>
          <t>No</t>
        </is>
      </c>
      <c r="H182" s="2" t="n">
        <v>42</v>
      </c>
      <c r="I182" s="2" t="n">
        <v>4.8</v>
      </c>
      <c r="J182" s="2" t="n">
        <v>1.6</v>
      </c>
      <c r="K182" s="2" t="n">
        <v>2.8</v>
      </c>
      <c r="L182" s="2" t="inlineStr">
        <is>
          <t>Active</t>
        </is>
      </c>
    </row>
    <row r="183">
      <c r="A183" s="2" t="inlineStr">
        <is>
          <t>EMP01170</t>
        </is>
      </c>
      <c r="B183" s="2" t="inlineStr">
        <is>
          <t>Sales</t>
        </is>
      </c>
      <c r="C183" s="2" t="inlineStr">
        <is>
          <t>Sales Executive</t>
        </is>
      </c>
      <c r="D183" s="2" t="n">
        <v>30</v>
      </c>
      <c r="E183" s="2" t="n">
        <v>1.7</v>
      </c>
      <c r="F183" s="2" t="n">
        <v>707000</v>
      </c>
      <c r="G183" s="2" t="inlineStr">
        <is>
          <t>No</t>
        </is>
      </c>
      <c r="H183" s="2" t="n">
        <v>37</v>
      </c>
      <c r="I183" s="2" t="n">
        <v>2.2</v>
      </c>
      <c r="J183" s="2" t="n">
        <v>3.4</v>
      </c>
      <c r="K183" s="2" t="n">
        <v>2.1</v>
      </c>
      <c r="L183" s="2" t="inlineStr">
        <is>
          <t>Active</t>
        </is>
      </c>
    </row>
    <row r="184">
      <c r="A184" s="2" t="inlineStr">
        <is>
          <t>EMP00557</t>
        </is>
      </c>
      <c r="B184" s="2" t="inlineStr">
        <is>
          <t>Engineering</t>
        </is>
      </c>
      <c r="C184" s="2" t="inlineStr">
        <is>
          <t>Software Engineer</t>
        </is>
      </c>
      <c r="D184" s="2" t="n">
        <v>42</v>
      </c>
      <c r="E184" s="2" t="n">
        <v>3.8</v>
      </c>
      <c r="F184" s="2" t="n">
        <v>1162000</v>
      </c>
      <c r="G184" s="2" t="inlineStr">
        <is>
          <t>No</t>
        </is>
      </c>
      <c r="H184" s="2" t="n">
        <v>30</v>
      </c>
      <c r="I184" s="2" t="n">
        <v>2.4</v>
      </c>
      <c r="J184" s="2" t="n">
        <v>3.7</v>
      </c>
      <c r="K184" s="2" t="n">
        <v>4</v>
      </c>
      <c r="L184" s="2" t="inlineStr">
        <is>
          <t>Active</t>
        </is>
      </c>
    </row>
    <row r="185">
      <c r="A185" s="2" t="inlineStr">
        <is>
          <t>EMP00748</t>
        </is>
      </c>
      <c r="B185" s="2" t="inlineStr">
        <is>
          <t>Operations</t>
        </is>
      </c>
      <c r="C185" s="2" t="inlineStr">
        <is>
          <t>Process Lead</t>
        </is>
      </c>
      <c r="D185" s="2" t="n">
        <v>47</v>
      </c>
      <c r="E185" s="2" t="n">
        <v>2.9</v>
      </c>
      <c r="F185" s="2" t="n">
        <v>622000</v>
      </c>
      <c r="G185" s="2" t="inlineStr">
        <is>
          <t>No</t>
        </is>
      </c>
      <c r="H185" s="2" t="n">
        <v>31</v>
      </c>
      <c r="I185" s="2" t="n">
        <v>3.8</v>
      </c>
      <c r="J185" s="2" t="n">
        <v>3.8</v>
      </c>
      <c r="K185" s="2" t="n">
        <v>4.1</v>
      </c>
      <c r="L185" s="2" t="inlineStr">
        <is>
          <t>Active</t>
        </is>
      </c>
    </row>
    <row r="186">
      <c r="A186" s="2" t="inlineStr">
        <is>
          <t>EMP00359</t>
        </is>
      </c>
      <c r="B186" s="2" t="inlineStr">
        <is>
          <t>Operations</t>
        </is>
      </c>
      <c r="C186" s="2" t="inlineStr">
        <is>
          <t>Ops Manager</t>
        </is>
      </c>
      <c r="D186" s="2" t="n">
        <v>41</v>
      </c>
      <c r="E186" s="2" t="n">
        <v>5.3</v>
      </c>
      <c r="F186" s="2" t="n">
        <v>703000</v>
      </c>
      <c r="G186" s="2" t="inlineStr">
        <is>
          <t>No</t>
        </is>
      </c>
      <c r="H186" s="2" t="n">
        <v>15</v>
      </c>
      <c r="I186" s="2" t="n">
        <v>1.1</v>
      </c>
      <c r="J186" s="2" t="n">
        <v>3.4</v>
      </c>
      <c r="K186" s="2" t="n">
        <v>3.5</v>
      </c>
      <c r="L186" s="2" t="inlineStr">
        <is>
          <t>Active</t>
        </is>
      </c>
    </row>
    <row r="187">
      <c r="A187" s="2" t="inlineStr">
        <is>
          <t>EMP00109</t>
        </is>
      </c>
      <c r="B187" s="2" t="inlineStr">
        <is>
          <t>Sales</t>
        </is>
      </c>
      <c r="C187" s="2" t="inlineStr">
        <is>
          <t>Account Manager</t>
        </is>
      </c>
      <c r="D187" s="2" t="n">
        <v>38</v>
      </c>
      <c r="E187" s="2" t="n">
        <v>1.9</v>
      </c>
      <c r="F187" s="2" t="n">
        <v>747000</v>
      </c>
      <c r="G187" s="2" t="inlineStr">
        <is>
          <t>Yes</t>
        </is>
      </c>
      <c r="H187" s="2" t="n">
        <v>30</v>
      </c>
      <c r="I187" s="2" t="n">
        <v>3.1</v>
      </c>
      <c r="J187" s="2" t="n">
        <v>4.5</v>
      </c>
      <c r="K187" s="2" t="n">
        <v>2.5</v>
      </c>
      <c r="L187" s="2" t="inlineStr">
        <is>
          <t>Resigned</t>
        </is>
      </c>
    </row>
    <row r="188">
      <c r="A188" s="2" t="inlineStr">
        <is>
          <t>EMP00672</t>
        </is>
      </c>
      <c r="B188" s="2" t="inlineStr">
        <is>
          <t>Operations</t>
        </is>
      </c>
      <c r="C188" s="2" t="inlineStr">
        <is>
          <t>Ops Manager</t>
        </is>
      </c>
      <c r="D188" s="2" t="n">
        <v>51</v>
      </c>
      <c r="E188" s="2" t="n">
        <v>2.7</v>
      </c>
      <c r="F188" s="2" t="n">
        <v>703000</v>
      </c>
      <c r="G188" s="2" t="inlineStr">
        <is>
          <t>No</t>
        </is>
      </c>
      <c r="H188" s="2" t="n">
        <v>11</v>
      </c>
      <c r="I188" s="2" t="n">
        <v>1.6</v>
      </c>
      <c r="J188" s="2" t="n">
        <v>3.7</v>
      </c>
      <c r="K188" s="2" t="n">
        <v>2.7</v>
      </c>
      <c r="L188" s="2" t="inlineStr">
        <is>
          <t>Active</t>
        </is>
      </c>
    </row>
    <row r="189">
      <c r="A189" s="2" t="inlineStr">
        <is>
          <t>EMP01115</t>
        </is>
      </c>
      <c r="B189" s="2" t="inlineStr">
        <is>
          <t>Customer Support</t>
        </is>
      </c>
      <c r="C189" s="2" t="inlineStr">
        <is>
          <t>Support Associate</t>
        </is>
      </c>
      <c r="D189" s="2" t="n">
        <v>47</v>
      </c>
      <c r="E189" s="2" t="n">
        <v>3.9</v>
      </c>
      <c r="F189" s="2" t="n">
        <v>506000</v>
      </c>
      <c r="G189" s="2" t="inlineStr">
        <is>
          <t>No</t>
        </is>
      </c>
      <c r="H189" s="2" t="n">
        <v>3</v>
      </c>
      <c r="I189" s="2" t="n">
        <v>3.1</v>
      </c>
      <c r="J189" s="2" t="n">
        <v>3.2</v>
      </c>
      <c r="K189" s="2" t="n">
        <v>3.1</v>
      </c>
      <c r="L189" s="2" t="inlineStr">
        <is>
          <t>Active</t>
        </is>
      </c>
    </row>
    <row r="190">
      <c r="A190" s="2" t="inlineStr">
        <is>
          <t>EMP01000</t>
        </is>
      </c>
      <c r="B190" s="2" t="inlineStr">
        <is>
          <t>Engineering</t>
        </is>
      </c>
      <c r="C190" s="2" t="inlineStr">
        <is>
          <t>Engineering Manager</t>
        </is>
      </c>
      <c r="D190" s="2" t="n">
        <v>31</v>
      </c>
      <c r="E190" s="2" t="n">
        <v>6.3</v>
      </c>
      <c r="F190" s="2" t="n">
        <v>1339000</v>
      </c>
      <c r="G190" s="2" t="inlineStr">
        <is>
          <t>No</t>
        </is>
      </c>
      <c r="H190" s="2" t="n">
        <v>41</v>
      </c>
      <c r="I190" s="2" t="n">
        <v>3.3</v>
      </c>
      <c r="J190" s="2" t="n">
        <v>3.5</v>
      </c>
      <c r="K190" s="2" t="n">
        <v>2.6</v>
      </c>
      <c r="L190" s="2" t="inlineStr">
        <is>
          <t>Active</t>
        </is>
      </c>
    </row>
    <row r="191">
      <c r="A191" s="2" t="inlineStr">
        <is>
          <t>EMP00100</t>
        </is>
      </c>
      <c r="B191" s="2" t="inlineStr">
        <is>
          <t>Customer Support</t>
        </is>
      </c>
      <c r="C191" s="2" t="inlineStr">
        <is>
          <t>Support Manager</t>
        </is>
      </c>
      <c r="D191" s="2" t="n">
        <v>46</v>
      </c>
      <c r="E191" s="2" t="n">
        <v>2.5</v>
      </c>
      <c r="F191" s="2" t="n">
        <v>587000</v>
      </c>
      <c r="G191" s="2" t="inlineStr">
        <is>
          <t>No</t>
        </is>
      </c>
      <c r="H191" s="2" t="n">
        <v>57</v>
      </c>
      <c r="I191" s="2" t="n">
        <v>3.5</v>
      </c>
      <c r="J191" s="2" t="n">
        <v>4.3</v>
      </c>
      <c r="K191" s="2" t="n">
        <v>3</v>
      </c>
      <c r="L191" s="2" t="inlineStr">
        <is>
          <t>Active</t>
        </is>
      </c>
    </row>
    <row r="192">
      <c r="A192" s="2" t="inlineStr">
        <is>
          <t>EMP00217</t>
        </is>
      </c>
      <c r="B192" s="2" t="inlineStr">
        <is>
          <t>Sales</t>
        </is>
      </c>
      <c r="C192" s="2" t="inlineStr">
        <is>
          <t>Sales Manager</t>
        </is>
      </c>
      <c r="D192" s="2" t="n">
        <v>31</v>
      </c>
      <c r="E192" s="2" t="n">
        <v>3.2</v>
      </c>
      <c r="F192" s="2" t="n">
        <v>810000</v>
      </c>
      <c r="G192" s="2" t="inlineStr">
        <is>
          <t>Yes</t>
        </is>
      </c>
      <c r="H192" s="2" t="n">
        <v>18</v>
      </c>
      <c r="I192" s="2" t="n">
        <v>3</v>
      </c>
      <c r="J192" s="2" t="n">
        <v>3.4</v>
      </c>
      <c r="K192" s="2" t="n">
        <v>2.5</v>
      </c>
      <c r="L192" s="2" t="inlineStr">
        <is>
          <t>Resigned</t>
        </is>
      </c>
    </row>
    <row r="193">
      <c r="A193" s="2" t="inlineStr">
        <is>
          <t>EMP00586</t>
        </is>
      </c>
      <c r="B193" s="2" t="inlineStr">
        <is>
          <t>Finance</t>
        </is>
      </c>
      <c r="C193" s="2" t="inlineStr">
        <is>
          <t>Accountant</t>
        </is>
      </c>
      <c r="D193" s="2" t="n">
        <v>27</v>
      </c>
      <c r="E193" s="2" t="n">
        <v>3.6</v>
      </c>
      <c r="F193" s="2" t="n">
        <v>878000</v>
      </c>
      <c r="G193" s="2" t="inlineStr">
        <is>
          <t>No</t>
        </is>
      </c>
      <c r="H193" s="2" t="n">
        <v>16</v>
      </c>
      <c r="I193" s="2" t="n">
        <v>2.3</v>
      </c>
      <c r="J193" s="2" t="n">
        <v>3.5</v>
      </c>
      <c r="K193" s="2" t="n">
        <v>2.4</v>
      </c>
      <c r="L193" s="2" t="inlineStr">
        <is>
          <t>Active</t>
        </is>
      </c>
    </row>
    <row r="194">
      <c r="A194" s="2" t="inlineStr">
        <is>
          <t>EMP00386</t>
        </is>
      </c>
      <c r="B194" s="2" t="inlineStr">
        <is>
          <t>Customer Support</t>
        </is>
      </c>
      <c r="C194" s="2" t="inlineStr">
        <is>
          <t>Support Associate</t>
        </is>
      </c>
      <c r="D194" s="2" t="n">
        <v>21</v>
      </c>
      <c r="E194" s="2" t="n">
        <v>5.2</v>
      </c>
      <c r="F194" s="2" t="n">
        <v>682000</v>
      </c>
      <c r="G194" s="2" t="inlineStr">
        <is>
          <t>Yes</t>
        </is>
      </c>
      <c r="H194" s="2" t="n">
        <v>45</v>
      </c>
      <c r="I194" s="2" t="n">
        <v>3.3</v>
      </c>
      <c r="J194" s="2" t="n">
        <v>2.1</v>
      </c>
      <c r="K194" s="2" t="n">
        <v>3.2</v>
      </c>
      <c r="L194" s="2" t="inlineStr">
        <is>
          <t>Active</t>
        </is>
      </c>
    </row>
    <row r="195">
      <c r="A195" s="2" t="inlineStr">
        <is>
          <t>EMP00421</t>
        </is>
      </c>
      <c r="B195" s="2" t="inlineStr">
        <is>
          <t>Finance</t>
        </is>
      </c>
      <c r="C195" s="2" t="inlineStr">
        <is>
          <t>Accountant</t>
        </is>
      </c>
      <c r="D195" s="2" t="n">
        <v>35</v>
      </c>
      <c r="E195" s="2" t="n">
        <v>2.2</v>
      </c>
      <c r="F195" s="2" t="n">
        <v>974000</v>
      </c>
      <c r="G195" s="2" t="inlineStr">
        <is>
          <t>No</t>
        </is>
      </c>
      <c r="H195" s="2" t="n">
        <v>23</v>
      </c>
      <c r="I195" s="2" t="n">
        <v>2.8</v>
      </c>
      <c r="J195" s="2" t="n">
        <v>4.5</v>
      </c>
      <c r="K195" s="2" t="n">
        <v>3</v>
      </c>
      <c r="L195" s="2" t="inlineStr">
        <is>
          <t>Active</t>
        </is>
      </c>
    </row>
    <row r="196">
      <c r="A196" s="2" t="inlineStr">
        <is>
          <t>EMP00413</t>
        </is>
      </c>
      <c r="B196" s="2" t="inlineStr">
        <is>
          <t>Sales</t>
        </is>
      </c>
      <c r="C196" s="2" t="inlineStr">
        <is>
          <t>Sales Executive</t>
        </is>
      </c>
      <c r="D196" s="2" t="n">
        <v>33</v>
      </c>
      <c r="E196" s="2" t="n">
        <v>3.7</v>
      </c>
      <c r="F196" s="2" t="n">
        <v>853000</v>
      </c>
      <c r="G196" s="2" t="inlineStr">
        <is>
          <t>No</t>
        </is>
      </c>
      <c r="H196" s="2" t="n">
        <v>14</v>
      </c>
      <c r="I196" s="2" t="n">
        <v>3.5</v>
      </c>
      <c r="J196" s="2" t="n">
        <v>5</v>
      </c>
      <c r="K196" s="2" t="n">
        <v>3.4</v>
      </c>
      <c r="L196" s="2" t="inlineStr">
        <is>
          <t>Active</t>
        </is>
      </c>
    </row>
    <row r="197">
      <c r="A197" s="2" t="inlineStr">
        <is>
          <t>EMP00707</t>
        </is>
      </c>
      <c r="B197" s="2" t="inlineStr">
        <is>
          <t>HR</t>
        </is>
      </c>
      <c r="C197" s="2" t="inlineStr">
        <is>
          <t>HR Manager</t>
        </is>
      </c>
      <c r="D197" s="2" t="n">
        <v>47</v>
      </c>
      <c r="E197" s="2" t="n">
        <v>1.6</v>
      </c>
      <c r="F197" s="2" t="n">
        <v>609000</v>
      </c>
      <c r="G197" s="2" t="inlineStr">
        <is>
          <t>Yes</t>
        </is>
      </c>
      <c r="H197" s="2" t="n">
        <v>26</v>
      </c>
      <c r="I197" s="2" t="n">
        <v>4</v>
      </c>
      <c r="J197" s="2" t="n">
        <v>3</v>
      </c>
      <c r="K197" s="2" t="n">
        <v>2.6</v>
      </c>
      <c r="L197" s="2" t="inlineStr">
        <is>
          <t>Active</t>
        </is>
      </c>
    </row>
    <row r="198">
      <c r="A198" s="2" t="inlineStr">
        <is>
          <t>EMP00942</t>
        </is>
      </c>
      <c r="B198" s="2" t="inlineStr">
        <is>
          <t>Customer Support</t>
        </is>
      </c>
      <c r="C198" s="2" t="inlineStr">
        <is>
          <t>Support Associate</t>
        </is>
      </c>
      <c r="D198" s="2" t="n">
        <v>32</v>
      </c>
      <c r="E198" s="2" t="n">
        <v>3</v>
      </c>
      <c r="F198" s="2" t="n">
        <v>530000</v>
      </c>
      <c r="G198" s="2" t="inlineStr">
        <is>
          <t>Yes</t>
        </is>
      </c>
      <c r="H198" s="2" t="n">
        <v>30</v>
      </c>
      <c r="I198" s="2" t="n">
        <v>4.6</v>
      </c>
      <c r="J198" s="2" t="n">
        <v>3.3</v>
      </c>
      <c r="K198" s="2" t="n">
        <v>2.2</v>
      </c>
      <c r="L198" s="2" t="inlineStr">
        <is>
          <t>Active</t>
        </is>
      </c>
    </row>
    <row r="199">
      <c r="A199" s="2" t="inlineStr">
        <is>
          <t>EMP00794</t>
        </is>
      </c>
      <c r="B199" s="2" t="inlineStr">
        <is>
          <t>Sales</t>
        </is>
      </c>
      <c r="C199" s="2" t="inlineStr">
        <is>
          <t>Sales Executive</t>
        </is>
      </c>
      <c r="D199" s="2" t="n">
        <v>31</v>
      </c>
      <c r="E199" s="2" t="n">
        <v>2.9</v>
      </c>
      <c r="F199" s="2" t="n">
        <v>686000</v>
      </c>
      <c r="G199" s="2" t="inlineStr">
        <is>
          <t>No</t>
        </is>
      </c>
      <c r="H199" s="2" t="n">
        <v>42</v>
      </c>
      <c r="I199" s="2" t="n">
        <v>4.7</v>
      </c>
      <c r="J199" s="2" t="n">
        <v>3.9</v>
      </c>
      <c r="K199" s="2" t="n">
        <v>3.3</v>
      </c>
      <c r="L199" s="2" t="inlineStr">
        <is>
          <t>Active</t>
        </is>
      </c>
    </row>
    <row r="200">
      <c r="A200" s="2" t="inlineStr">
        <is>
          <t>EMP00306</t>
        </is>
      </c>
      <c r="B200" s="2" t="inlineStr">
        <is>
          <t>Operations</t>
        </is>
      </c>
      <c r="C200" s="2" t="inlineStr">
        <is>
          <t>Ops Analyst</t>
        </is>
      </c>
      <c r="D200" s="2" t="n">
        <v>49</v>
      </c>
      <c r="E200" s="2" t="n">
        <v>4.9</v>
      </c>
      <c r="F200" s="2" t="n">
        <v>845000</v>
      </c>
      <c r="G200" s="2" t="inlineStr">
        <is>
          <t>No</t>
        </is>
      </c>
      <c r="H200" s="2" t="n">
        <v>33</v>
      </c>
      <c r="I200" s="2" t="n">
        <v>2.9</v>
      </c>
      <c r="J200" s="2" t="n">
        <v>1.8</v>
      </c>
      <c r="K200" s="2" t="n">
        <v>2.6</v>
      </c>
      <c r="L200" s="2" t="inlineStr">
        <is>
          <t>Active</t>
        </is>
      </c>
    </row>
    <row r="201">
      <c r="A201" s="2" t="inlineStr">
        <is>
          <t>EMP00914</t>
        </is>
      </c>
      <c r="B201" s="2" t="inlineStr">
        <is>
          <t>Customer Support</t>
        </is>
      </c>
      <c r="C201" s="2" t="inlineStr">
        <is>
          <t>Support Associate</t>
        </is>
      </c>
      <c r="D201" s="2" t="n">
        <v>40</v>
      </c>
      <c r="E201" s="2" t="n">
        <v>5.3</v>
      </c>
      <c r="F201" s="2" t="n">
        <v>686000</v>
      </c>
      <c r="G201" s="2" t="inlineStr">
        <is>
          <t>Yes</t>
        </is>
      </c>
      <c r="H201" s="2" t="n">
        <v>8</v>
      </c>
      <c r="I201" s="2" t="n">
        <v>3</v>
      </c>
      <c r="J201" s="2" t="n">
        <v>3.2</v>
      </c>
      <c r="K201" s="2" t="n">
        <v>3.3</v>
      </c>
      <c r="L201" s="2" t="inlineStr">
        <is>
          <t>Active</t>
        </is>
      </c>
    </row>
    <row r="202">
      <c r="A202" s="2" t="inlineStr">
        <is>
          <t>EMP00663</t>
        </is>
      </c>
      <c r="B202" s="2" t="inlineStr">
        <is>
          <t>Sales</t>
        </is>
      </c>
      <c r="C202" s="2" t="inlineStr">
        <is>
          <t>Account Manager</t>
        </is>
      </c>
      <c r="D202" s="2" t="n">
        <v>26</v>
      </c>
      <c r="E202" s="2" t="n">
        <v>4.6</v>
      </c>
      <c r="F202" s="2" t="n">
        <v>803000</v>
      </c>
      <c r="G202" s="2" t="inlineStr">
        <is>
          <t>No</t>
        </is>
      </c>
      <c r="H202" s="2" t="n">
        <v>2</v>
      </c>
      <c r="I202" s="2" t="n">
        <v>2.4</v>
      </c>
      <c r="J202" s="2" t="n">
        <v>3</v>
      </c>
      <c r="K202" s="2" t="n">
        <v>2.4</v>
      </c>
      <c r="L202" s="2" t="inlineStr">
        <is>
          <t>Resigned</t>
        </is>
      </c>
    </row>
    <row r="203">
      <c r="A203" s="2" t="inlineStr">
        <is>
          <t>EMP01166</t>
        </is>
      </c>
      <c r="B203" s="2" t="inlineStr">
        <is>
          <t>Customer Support</t>
        </is>
      </c>
      <c r="C203" s="2" t="inlineStr">
        <is>
          <t>Support Associate</t>
        </is>
      </c>
      <c r="D203" s="2" t="n">
        <v>25</v>
      </c>
      <c r="E203" s="2" t="n">
        <v>1.7</v>
      </c>
      <c r="F203" s="2" t="n">
        <v>471000</v>
      </c>
      <c r="G203" s="2" t="inlineStr">
        <is>
          <t>Yes</t>
        </is>
      </c>
      <c r="H203" s="2" t="n">
        <v>25</v>
      </c>
      <c r="I203" s="2" t="n">
        <v>3.6</v>
      </c>
      <c r="J203" s="2" t="n">
        <v>1.6</v>
      </c>
      <c r="K203" s="2" t="n">
        <v>4.4</v>
      </c>
      <c r="L203" s="2" t="inlineStr">
        <is>
          <t>Active</t>
        </is>
      </c>
    </row>
    <row r="204">
      <c r="A204" s="2" t="inlineStr">
        <is>
          <t>EMP00364</t>
        </is>
      </c>
      <c r="B204" s="2" t="inlineStr">
        <is>
          <t>Sales</t>
        </is>
      </c>
      <c r="C204" s="2" t="inlineStr">
        <is>
          <t>Sales Executive</t>
        </is>
      </c>
      <c r="D204" s="2" t="n">
        <v>40</v>
      </c>
      <c r="E204" s="2" t="n">
        <v>4.5</v>
      </c>
      <c r="F204" s="2" t="n">
        <v>740000</v>
      </c>
      <c r="G204" s="2" t="inlineStr">
        <is>
          <t>No</t>
        </is>
      </c>
      <c r="H204" s="2" t="n">
        <v>4</v>
      </c>
      <c r="I204" s="2" t="n">
        <v>4.1</v>
      </c>
      <c r="J204" s="2" t="n">
        <v>2.6</v>
      </c>
      <c r="K204" s="2" t="n">
        <v>3.4</v>
      </c>
      <c r="L204" s="2" t="inlineStr">
        <is>
          <t>Active</t>
        </is>
      </c>
    </row>
    <row r="205">
      <c r="A205" s="2" t="inlineStr">
        <is>
          <t>EMP00024</t>
        </is>
      </c>
      <c r="B205" s="2" t="inlineStr">
        <is>
          <t>Customer Support</t>
        </is>
      </c>
      <c r="C205" s="2" t="inlineStr">
        <is>
          <t>Support Manager</t>
        </is>
      </c>
      <c r="D205" s="2" t="n">
        <v>46</v>
      </c>
      <c r="E205" s="2" t="n">
        <v>4.2</v>
      </c>
      <c r="F205" s="2" t="n">
        <v>573000</v>
      </c>
      <c r="G205" s="2" t="inlineStr">
        <is>
          <t>No</t>
        </is>
      </c>
      <c r="H205" s="2" t="n">
        <v>24</v>
      </c>
      <c r="I205" s="2" t="n">
        <v>2.3</v>
      </c>
      <c r="J205" s="2" t="n">
        <v>3.5</v>
      </c>
      <c r="K205" s="2" t="n">
        <v>1.7</v>
      </c>
      <c r="L205" s="2" t="inlineStr">
        <is>
          <t>Resigned</t>
        </is>
      </c>
    </row>
    <row r="206">
      <c r="A206" s="2" t="inlineStr">
        <is>
          <t>EMP01039</t>
        </is>
      </c>
      <c r="B206" s="2" t="inlineStr">
        <is>
          <t>Operations</t>
        </is>
      </c>
      <c r="C206" s="2" t="inlineStr">
        <is>
          <t>Process Lead</t>
        </is>
      </c>
      <c r="D206" s="2" t="n">
        <v>40</v>
      </c>
      <c r="E206" s="2" t="n">
        <v>3.2</v>
      </c>
      <c r="F206" s="2" t="n">
        <v>763000</v>
      </c>
      <c r="G206" s="2" t="inlineStr">
        <is>
          <t>Yes</t>
        </is>
      </c>
      <c r="H206" s="2" t="n">
        <v>35</v>
      </c>
      <c r="I206" s="2" t="n">
        <v>3.3</v>
      </c>
      <c r="J206" s="2" t="n">
        <v>1.8</v>
      </c>
      <c r="K206" s="2" t="n">
        <v>3.4</v>
      </c>
      <c r="L206" s="2" t="inlineStr">
        <is>
          <t>Active</t>
        </is>
      </c>
    </row>
    <row r="207">
      <c r="A207" s="2" t="inlineStr">
        <is>
          <t>EMP00265</t>
        </is>
      </c>
      <c r="B207" s="2" t="inlineStr">
        <is>
          <t>Customer Support</t>
        </is>
      </c>
      <c r="C207" s="2" t="inlineStr">
        <is>
          <t>Support Associate</t>
        </is>
      </c>
      <c r="D207" s="2" t="n">
        <v>26</v>
      </c>
      <c r="E207" s="2" t="n">
        <v>2</v>
      </c>
      <c r="F207" s="2" t="n">
        <v>493000</v>
      </c>
      <c r="G207" s="2" t="inlineStr">
        <is>
          <t>No</t>
        </is>
      </c>
      <c r="H207" s="2" t="n">
        <v>36</v>
      </c>
      <c r="I207" s="2" t="n">
        <v>3.8</v>
      </c>
      <c r="J207" s="2" t="n">
        <v>4.4</v>
      </c>
      <c r="K207" s="2" t="n">
        <v>1.6</v>
      </c>
      <c r="L207" s="2" t="inlineStr">
        <is>
          <t>Active</t>
        </is>
      </c>
    </row>
    <row r="208">
      <c r="A208" s="2" t="inlineStr">
        <is>
          <t>EMP00756</t>
        </is>
      </c>
      <c r="B208" s="2" t="inlineStr">
        <is>
          <t>Engineering</t>
        </is>
      </c>
      <c r="C208" s="2" t="inlineStr">
        <is>
          <t>Engineering Manager</t>
        </is>
      </c>
      <c r="D208" s="2" t="n">
        <v>38</v>
      </c>
      <c r="E208" s="2" t="n">
        <v>7.2</v>
      </c>
      <c r="F208" s="2" t="n">
        <v>1498000</v>
      </c>
      <c r="G208" s="2" t="inlineStr">
        <is>
          <t>Yes</t>
        </is>
      </c>
      <c r="H208" s="2" t="n">
        <v>55</v>
      </c>
      <c r="I208" s="2" t="n">
        <v>3.8</v>
      </c>
      <c r="J208" s="2" t="n">
        <v>2.6</v>
      </c>
      <c r="K208" s="2" t="n">
        <v>3.2</v>
      </c>
      <c r="L208" s="2" t="inlineStr">
        <is>
          <t>Resigned</t>
        </is>
      </c>
    </row>
    <row r="209">
      <c r="A209" s="2" t="inlineStr">
        <is>
          <t>EMP01036</t>
        </is>
      </c>
      <c r="B209" s="2" t="inlineStr">
        <is>
          <t>Finance</t>
        </is>
      </c>
      <c r="C209" s="2" t="inlineStr">
        <is>
          <t>Accountant</t>
        </is>
      </c>
      <c r="D209" s="2" t="n">
        <v>29</v>
      </c>
      <c r="E209" s="2" t="n">
        <v>5.5</v>
      </c>
      <c r="F209" s="2" t="n">
        <v>1101000</v>
      </c>
      <c r="G209" s="2" t="inlineStr">
        <is>
          <t>No</t>
        </is>
      </c>
      <c r="H209" s="2" t="n">
        <v>15</v>
      </c>
      <c r="I209" s="2" t="n">
        <v>3.2</v>
      </c>
      <c r="J209" s="2" t="n">
        <v>3.2</v>
      </c>
      <c r="K209" s="2" t="n">
        <v>3.3</v>
      </c>
      <c r="L209" s="2" t="inlineStr">
        <is>
          <t>Active</t>
        </is>
      </c>
    </row>
    <row r="210">
      <c r="A210" s="2" t="inlineStr">
        <is>
          <t>EMP00187</t>
        </is>
      </c>
      <c r="B210" s="2" t="inlineStr">
        <is>
          <t>Engineering</t>
        </is>
      </c>
      <c r="C210" s="2" t="inlineStr">
        <is>
          <t>Senior Engineer</t>
        </is>
      </c>
      <c r="D210" s="2" t="n">
        <v>34</v>
      </c>
      <c r="E210" s="2" t="n">
        <v>3.8</v>
      </c>
      <c r="F210" s="2" t="n">
        <v>1035000</v>
      </c>
      <c r="G210" s="2" t="inlineStr">
        <is>
          <t>No</t>
        </is>
      </c>
      <c r="H210" s="2" t="n">
        <v>25</v>
      </c>
      <c r="I210" s="2" t="n">
        <v>4</v>
      </c>
      <c r="J210" s="2" t="n">
        <v>5</v>
      </c>
      <c r="K210" s="2" t="n">
        <v>4.8</v>
      </c>
      <c r="L210" s="2" t="inlineStr">
        <is>
          <t>Active</t>
        </is>
      </c>
    </row>
    <row r="211">
      <c r="A211" s="2" t="inlineStr">
        <is>
          <t>EMP00563</t>
        </is>
      </c>
      <c r="B211" s="2" t="inlineStr">
        <is>
          <t>Customer Support</t>
        </is>
      </c>
      <c r="C211" s="2" t="inlineStr">
        <is>
          <t>Support Manager</t>
        </is>
      </c>
      <c r="D211" s="2" t="n">
        <v>34</v>
      </c>
      <c r="E211" s="2" t="n">
        <v>3.2</v>
      </c>
      <c r="F211" s="2" t="n">
        <v>489000</v>
      </c>
      <c r="G211" s="2" t="inlineStr">
        <is>
          <t>Yes</t>
        </is>
      </c>
      <c r="H211" s="2" t="n">
        <v>59</v>
      </c>
      <c r="I211" s="2" t="n">
        <v>2.9</v>
      </c>
      <c r="J211" s="2" t="n">
        <v>4.8</v>
      </c>
      <c r="K211" s="2" t="n">
        <v>3.8</v>
      </c>
      <c r="L211" s="2" t="inlineStr">
        <is>
          <t>Resigned</t>
        </is>
      </c>
    </row>
    <row r="212">
      <c r="A212" s="2" t="inlineStr">
        <is>
          <t>EMP00863</t>
        </is>
      </c>
      <c r="B212" s="2" t="inlineStr">
        <is>
          <t>HR</t>
        </is>
      </c>
      <c r="C212" s="2" t="inlineStr">
        <is>
          <t>HR Manager</t>
        </is>
      </c>
      <c r="D212" s="2" t="n">
        <v>21</v>
      </c>
      <c r="E212" s="2" t="n">
        <v>2.5</v>
      </c>
      <c r="F212" s="2" t="n">
        <v>722000</v>
      </c>
      <c r="G212" s="2" t="inlineStr">
        <is>
          <t>Yes</t>
        </is>
      </c>
      <c r="H212" s="2" t="n">
        <v>13</v>
      </c>
      <c r="I212" s="2" t="n">
        <v>4.2</v>
      </c>
      <c r="J212" s="2" t="n">
        <v>2.7</v>
      </c>
      <c r="K212" s="2" t="n">
        <v>3.7</v>
      </c>
      <c r="L212" s="2" t="inlineStr">
        <is>
          <t>Active</t>
        </is>
      </c>
    </row>
    <row r="213">
      <c r="A213" s="2" t="inlineStr">
        <is>
          <t>EMP00948</t>
        </is>
      </c>
      <c r="B213" s="2" t="inlineStr">
        <is>
          <t>Customer Support</t>
        </is>
      </c>
      <c r="C213" s="2" t="inlineStr">
        <is>
          <t>Support Associate</t>
        </is>
      </c>
      <c r="D213" s="2" t="n">
        <v>37</v>
      </c>
      <c r="E213" s="2" t="n">
        <v>4.4</v>
      </c>
      <c r="F213" s="2" t="n">
        <v>647000</v>
      </c>
      <c r="G213" s="2" t="inlineStr">
        <is>
          <t>No</t>
        </is>
      </c>
      <c r="H213" s="2" t="n">
        <v>19</v>
      </c>
      <c r="I213" s="2" t="n">
        <v>2.6</v>
      </c>
      <c r="J213" s="2" t="n">
        <v>3.1</v>
      </c>
      <c r="K213" s="2" t="n">
        <v>2.7</v>
      </c>
      <c r="L213" s="2" t="inlineStr">
        <is>
          <t>Active</t>
        </is>
      </c>
    </row>
    <row r="214">
      <c r="A214" s="2" t="inlineStr">
        <is>
          <t>EMP00124</t>
        </is>
      </c>
      <c r="B214" s="2" t="inlineStr">
        <is>
          <t>Engineering</t>
        </is>
      </c>
      <c r="C214" s="2" t="inlineStr">
        <is>
          <t>Senior Engineer</t>
        </is>
      </c>
      <c r="D214" s="2" t="n">
        <v>37</v>
      </c>
      <c r="E214" s="2" t="n">
        <v>9.300000000000001</v>
      </c>
      <c r="F214" s="2" t="n">
        <v>1290000</v>
      </c>
      <c r="G214" s="2" t="inlineStr">
        <is>
          <t>No</t>
        </is>
      </c>
      <c r="H214" s="2" t="n">
        <v>10</v>
      </c>
      <c r="I214" s="2" t="n">
        <v>3.5</v>
      </c>
      <c r="J214" s="2" t="n">
        <v>4</v>
      </c>
      <c r="K214" s="2" t="n">
        <v>2.9</v>
      </c>
      <c r="L214" s="2" t="inlineStr">
        <is>
          <t>Active</t>
        </is>
      </c>
    </row>
    <row r="215">
      <c r="A215" s="2" t="inlineStr">
        <is>
          <t>EMP00639</t>
        </is>
      </c>
      <c r="B215" s="2" t="inlineStr">
        <is>
          <t>HR</t>
        </is>
      </c>
      <c r="C215" s="2" t="inlineStr">
        <is>
          <t>HR Generalist</t>
        </is>
      </c>
      <c r="D215" s="2" t="n">
        <v>23</v>
      </c>
      <c r="E215" s="2" t="n">
        <v>1.3</v>
      </c>
      <c r="F215" s="2" t="n">
        <v>667000</v>
      </c>
      <c r="G215" s="2" t="inlineStr">
        <is>
          <t>Yes</t>
        </is>
      </c>
      <c r="H215" s="2" t="n">
        <v>27</v>
      </c>
      <c r="I215" s="2" t="n">
        <v>5</v>
      </c>
      <c r="J215" s="2" t="n">
        <v>2.2</v>
      </c>
      <c r="K215" s="2" t="n">
        <v>3.4</v>
      </c>
      <c r="L215" s="2" t="inlineStr">
        <is>
          <t>Active</t>
        </is>
      </c>
    </row>
    <row r="216">
      <c r="A216" s="2" t="inlineStr">
        <is>
          <t>EMP00903</t>
        </is>
      </c>
      <c r="B216" s="2" t="inlineStr">
        <is>
          <t>Sales</t>
        </is>
      </c>
      <c r="C216" s="2" t="inlineStr">
        <is>
          <t>Account Manager</t>
        </is>
      </c>
      <c r="D216" s="2" t="n">
        <v>36</v>
      </c>
      <c r="E216" s="2" t="n">
        <v>10.8</v>
      </c>
      <c r="F216" s="2" t="n">
        <v>1019000</v>
      </c>
      <c r="G216" s="2" t="inlineStr">
        <is>
          <t>No</t>
        </is>
      </c>
      <c r="H216" s="2" t="n">
        <v>43</v>
      </c>
      <c r="I216" s="2" t="n">
        <v>3</v>
      </c>
      <c r="J216" s="2" t="n">
        <v>3.6</v>
      </c>
      <c r="K216" s="2" t="n">
        <v>3.7</v>
      </c>
      <c r="L216" s="2" t="inlineStr">
        <is>
          <t>Active</t>
        </is>
      </c>
    </row>
    <row r="217">
      <c r="A217" s="2" t="inlineStr">
        <is>
          <t>EMP01050</t>
        </is>
      </c>
      <c r="B217" s="2" t="inlineStr">
        <is>
          <t>Engineering</t>
        </is>
      </c>
      <c r="C217" s="2" t="inlineStr">
        <is>
          <t>Senior Engineer</t>
        </is>
      </c>
      <c r="D217" s="2" t="n">
        <v>42</v>
      </c>
      <c r="E217" s="2" t="n">
        <v>3.8</v>
      </c>
      <c r="F217" s="2" t="n">
        <v>1072000</v>
      </c>
      <c r="G217" s="2" t="inlineStr">
        <is>
          <t>No</t>
        </is>
      </c>
      <c r="H217" s="2" t="n">
        <v>46</v>
      </c>
      <c r="I217" s="2" t="n">
        <v>3.1</v>
      </c>
      <c r="J217" s="2" t="n">
        <v>4.1</v>
      </c>
      <c r="K217" s="2" t="n">
        <v>3.5</v>
      </c>
      <c r="L217" s="2" t="inlineStr">
        <is>
          <t>Resigned</t>
        </is>
      </c>
    </row>
    <row r="218">
      <c r="A218" s="2" t="inlineStr">
        <is>
          <t>EMP00769</t>
        </is>
      </c>
      <c r="B218" s="2" t="inlineStr">
        <is>
          <t>Sales</t>
        </is>
      </c>
      <c r="C218" s="2" t="inlineStr">
        <is>
          <t>Sales Manager</t>
        </is>
      </c>
      <c r="D218" s="2" t="n">
        <v>42</v>
      </c>
      <c r="E218" s="2" t="n">
        <v>4.8</v>
      </c>
      <c r="F218" s="2" t="n">
        <v>900000</v>
      </c>
      <c r="G218" s="2" t="inlineStr">
        <is>
          <t>No</t>
        </is>
      </c>
      <c r="H218" s="2" t="n">
        <v>28</v>
      </c>
      <c r="I218" s="2" t="n">
        <v>3</v>
      </c>
      <c r="J218" s="2" t="n">
        <v>4.5</v>
      </c>
      <c r="K218" s="2" t="n">
        <v>3</v>
      </c>
      <c r="L218" s="2" t="inlineStr">
        <is>
          <t>Active</t>
        </is>
      </c>
    </row>
    <row r="219">
      <c r="A219" s="2" t="inlineStr">
        <is>
          <t>EMP00587</t>
        </is>
      </c>
      <c r="B219" s="2" t="inlineStr">
        <is>
          <t>Sales</t>
        </is>
      </c>
      <c r="C219" s="2" t="inlineStr">
        <is>
          <t>Sales Manager</t>
        </is>
      </c>
      <c r="D219" s="2" t="n">
        <v>44</v>
      </c>
      <c r="E219" s="2" t="n">
        <v>4.1</v>
      </c>
      <c r="F219" s="2" t="n">
        <v>704000</v>
      </c>
      <c r="G219" s="2" t="inlineStr">
        <is>
          <t>No</t>
        </is>
      </c>
      <c r="H219" s="2" t="n">
        <v>43</v>
      </c>
      <c r="I219" s="2" t="n">
        <v>4</v>
      </c>
      <c r="J219" s="2" t="n">
        <v>2.8</v>
      </c>
      <c r="K219" s="2" t="n">
        <v>2.8</v>
      </c>
      <c r="L219" s="2" t="inlineStr">
        <is>
          <t>Active</t>
        </is>
      </c>
    </row>
    <row r="220">
      <c r="A220" s="2" t="inlineStr">
        <is>
          <t>EMP01138</t>
        </is>
      </c>
      <c r="B220" s="2" t="inlineStr">
        <is>
          <t>Operations</t>
        </is>
      </c>
      <c r="C220" s="2" t="inlineStr">
        <is>
          <t>Ops Analyst</t>
        </is>
      </c>
      <c r="D220" s="2" t="n">
        <v>21</v>
      </c>
      <c r="E220" s="2" t="n">
        <v>5.5</v>
      </c>
      <c r="F220" s="2" t="n">
        <v>684000</v>
      </c>
      <c r="G220" s="2" t="inlineStr">
        <is>
          <t>Yes</t>
        </is>
      </c>
      <c r="H220" s="2" t="n">
        <v>17</v>
      </c>
      <c r="I220" s="2" t="n">
        <v>4.6</v>
      </c>
      <c r="J220" s="2" t="n">
        <v>3</v>
      </c>
      <c r="K220" s="2" t="n">
        <v>3.9</v>
      </c>
      <c r="L220" s="2" t="inlineStr">
        <is>
          <t>Active</t>
        </is>
      </c>
    </row>
    <row r="221">
      <c r="A221" s="2" t="inlineStr">
        <is>
          <t>EMP01075</t>
        </is>
      </c>
      <c r="B221" s="2" t="inlineStr">
        <is>
          <t>Customer Support</t>
        </is>
      </c>
      <c r="C221" s="2" t="inlineStr">
        <is>
          <t>Support Associate</t>
        </is>
      </c>
      <c r="D221" s="2" t="n">
        <v>25</v>
      </c>
      <c r="E221" s="2" t="n">
        <v>5.1</v>
      </c>
      <c r="F221" s="2" t="n">
        <v>623000</v>
      </c>
      <c r="G221" s="2" t="inlineStr">
        <is>
          <t>No</t>
        </is>
      </c>
      <c r="H221" s="2" t="n">
        <v>38</v>
      </c>
      <c r="I221" s="2" t="n">
        <v>3.9</v>
      </c>
      <c r="J221" s="2" t="n">
        <v>4</v>
      </c>
      <c r="K221" s="2" t="n">
        <v>2</v>
      </c>
      <c r="L221" s="2" t="inlineStr">
        <is>
          <t>Active</t>
        </is>
      </c>
    </row>
    <row r="222">
      <c r="A222" s="2" t="inlineStr">
        <is>
          <t>EMP00148</t>
        </is>
      </c>
      <c r="B222" s="2" t="inlineStr">
        <is>
          <t>Operations</t>
        </is>
      </c>
      <c r="C222" s="2" t="inlineStr">
        <is>
          <t>Ops Manager</t>
        </is>
      </c>
      <c r="D222" s="2" t="n">
        <v>39</v>
      </c>
      <c r="E222" s="2" t="n">
        <v>1.8</v>
      </c>
      <c r="F222" s="2" t="n">
        <v>725000</v>
      </c>
      <c r="G222" s="2" t="inlineStr">
        <is>
          <t>No</t>
        </is>
      </c>
      <c r="H222" s="2" t="n">
        <v>59</v>
      </c>
      <c r="I222" s="2" t="n">
        <v>3.1</v>
      </c>
      <c r="J222" s="2" t="n">
        <v>5</v>
      </c>
      <c r="K222" s="2" t="n">
        <v>2.3</v>
      </c>
      <c r="L222" s="2" t="inlineStr">
        <is>
          <t>Resigned</t>
        </is>
      </c>
    </row>
    <row r="223">
      <c r="A223" s="2" t="inlineStr">
        <is>
          <t>EMP00934</t>
        </is>
      </c>
      <c r="B223" s="2" t="inlineStr">
        <is>
          <t>HR</t>
        </is>
      </c>
      <c r="C223" s="2" t="inlineStr">
        <is>
          <t>HR Manager</t>
        </is>
      </c>
      <c r="D223" s="2" t="n">
        <v>47</v>
      </c>
      <c r="E223" s="2" t="n">
        <v>1.7</v>
      </c>
      <c r="F223" s="2" t="n">
        <v>663000</v>
      </c>
      <c r="G223" s="2" t="inlineStr">
        <is>
          <t>No</t>
        </is>
      </c>
      <c r="H223" s="2" t="n">
        <v>44</v>
      </c>
      <c r="I223" s="2" t="n">
        <v>2.7</v>
      </c>
      <c r="J223" s="2" t="n">
        <v>3.9</v>
      </c>
      <c r="K223" s="2" t="n">
        <v>3.5</v>
      </c>
      <c r="L223" s="2" t="inlineStr">
        <is>
          <t>Active</t>
        </is>
      </c>
    </row>
    <row r="224">
      <c r="A224" s="2" t="inlineStr">
        <is>
          <t>EMP00494</t>
        </is>
      </c>
      <c r="B224" s="2" t="inlineStr">
        <is>
          <t>Engineering</t>
        </is>
      </c>
      <c r="C224" s="2" t="inlineStr">
        <is>
          <t>Engineering Manager</t>
        </is>
      </c>
      <c r="D224" s="2" t="n">
        <v>38</v>
      </c>
      <c r="E224" s="2" t="n">
        <v>5.5</v>
      </c>
      <c r="F224" s="2" t="n">
        <v>1133000</v>
      </c>
      <c r="G224" s="2" t="inlineStr">
        <is>
          <t>No</t>
        </is>
      </c>
      <c r="H224" s="2" t="n">
        <v>53</v>
      </c>
      <c r="I224" s="2" t="n">
        <v>4.1</v>
      </c>
      <c r="J224" s="2" t="n">
        <v>3.5</v>
      </c>
      <c r="K224" s="2" t="n">
        <v>2.9</v>
      </c>
      <c r="L224" s="2" t="inlineStr">
        <is>
          <t>Active</t>
        </is>
      </c>
    </row>
    <row r="225">
      <c r="A225" s="2" t="inlineStr">
        <is>
          <t>EMP00225</t>
        </is>
      </c>
      <c r="B225" s="2" t="inlineStr">
        <is>
          <t>Engineering</t>
        </is>
      </c>
      <c r="C225" s="2" t="inlineStr">
        <is>
          <t>Engineering Manager</t>
        </is>
      </c>
      <c r="D225" s="2" t="n">
        <v>44</v>
      </c>
      <c r="E225" s="2" t="n">
        <v>1.7</v>
      </c>
      <c r="F225" s="2" t="n">
        <v>939000</v>
      </c>
      <c r="G225" s="2" t="inlineStr">
        <is>
          <t>No</t>
        </is>
      </c>
      <c r="H225" s="2" t="n">
        <v>17</v>
      </c>
      <c r="I225" s="2" t="n">
        <v>4.1</v>
      </c>
      <c r="J225" s="2" t="n">
        <v>3.4</v>
      </c>
      <c r="K225" s="2" t="n">
        <v>3.7</v>
      </c>
      <c r="L225" s="2" t="inlineStr">
        <is>
          <t>Active</t>
        </is>
      </c>
    </row>
    <row r="226">
      <c r="A226" s="2" t="inlineStr">
        <is>
          <t>EMP00832</t>
        </is>
      </c>
      <c r="B226" s="2" t="inlineStr">
        <is>
          <t>Operations</t>
        </is>
      </c>
      <c r="C226" s="2" t="inlineStr">
        <is>
          <t>Ops Analyst</t>
        </is>
      </c>
      <c r="D226" s="2" t="n">
        <v>23</v>
      </c>
      <c r="E226" s="2" t="n">
        <v>2.4</v>
      </c>
      <c r="F226" s="2" t="n">
        <v>770000</v>
      </c>
      <c r="G226" s="2" t="inlineStr">
        <is>
          <t>No</t>
        </is>
      </c>
      <c r="H226" s="2" t="n">
        <v>13</v>
      </c>
      <c r="I226" s="2" t="n">
        <v>2.5</v>
      </c>
      <c r="J226" s="2" t="n">
        <v>3.2</v>
      </c>
      <c r="K226" s="2" t="n">
        <v>2.6</v>
      </c>
      <c r="L226" s="2" t="inlineStr">
        <is>
          <t>Active</t>
        </is>
      </c>
    </row>
    <row r="227">
      <c r="A227" s="2" t="inlineStr">
        <is>
          <t>EMP00071</t>
        </is>
      </c>
      <c r="B227" s="2" t="inlineStr">
        <is>
          <t>Sales</t>
        </is>
      </c>
      <c r="C227" s="2" t="inlineStr">
        <is>
          <t>Sales Manager</t>
        </is>
      </c>
      <c r="D227" s="2" t="n">
        <v>33</v>
      </c>
      <c r="E227" s="2" t="n">
        <v>6.2</v>
      </c>
      <c r="F227" s="2" t="n">
        <v>945000</v>
      </c>
      <c r="G227" s="2" t="inlineStr">
        <is>
          <t>No</t>
        </is>
      </c>
      <c r="H227" s="2" t="n">
        <v>9</v>
      </c>
      <c r="I227" s="2" t="n">
        <v>3</v>
      </c>
      <c r="J227" s="2" t="n">
        <v>4.7</v>
      </c>
      <c r="K227" s="2" t="n">
        <v>2.3</v>
      </c>
      <c r="L227" s="2" t="inlineStr">
        <is>
          <t>Active</t>
        </is>
      </c>
    </row>
    <row r="228">
      <c r="A228" s="2" t="inlineStr">
        <is>
          <t>EMP00692</t>
        </is>
      </c>
      <c r="B228" s="2" t="inlineStr">
        <is>
          <t>Customer Support</t>
        </is>
      </c>
      <c r="C228" s="2" t="inlineStr">
        <is>
          <t>Support Lead</t>
        </is>
      </c>
      <c r="D228" s="2" t="n">
        <v>24</v>
      </c>
      <c r="E228" s="2" t="n">
        <v>2.4</v>
      </c>
      <c r="F228" s="2" t="n">
        <v>549000</v>
      </c>
      <c r="G228" s="2" t="inlineStr">
        <is>
          <t>Yes</t>
        </is>
      </c>
      <c r="H228" s="2" t="n">
        <v>13</v>
      </c>
      <c r="I228" s="2" t="n">
        <v>4.7</v>
      </c>
      <c r="J228" s="2" t="n">
        <v>2.7</v>
      </c>
      <c r="K228" s="2" t="n">
        <v>2.5</v>
      </c>
      <c r="L228" s="2" t="inlineStr">
        <is>
          <t>Resigned</t>
        </is>
      </c>
    </row>
    <row r="229">
      <c r="A229" s="2" t="inlineStr">
        <is>
          <t>EMP00281</t>
        </is>
      </c>
      <c r="B229" s="2" t="inlineStr">
        <is>
          <t>Sales</t>
        </is>
      </c>
      <c r="C229" s="2" t="inlineStr">
        <is>
          <t>Sales Executive</t>
        </is>
      </c>
      <c r="D229" s="2" t="n">
        <v>34</v>
      </c>
      <c r="E229" s="2" t="n">
        <v>2</v>
      </c>
      <c r="F229" s="2" t="n">
        <v>798000</v>
      </c>
      <c r="G229" s="2" t="inlineStr">
        <is>
          <t>Yes</t>
        </is>
      </c>
      <c r="H229" s="2" t="n">
        <v>55</v>
      </c>
      <c r="I229" s="2" t="n">
        <v>2.8</v>
      </c>
      <c r="J229" s="2" t="n">
        <v>2.9</v>
      </c>
      <c r="K229" s="2" t="n">
        <v>3.2</v>
      </c>
      <c r="L229" s="2" t="inlineStr">
        <is>
          <t>Resigned</t>
        </is>
      </c>
    </row>
    <row r="230">
      <c r="A230" s="2" t="inlineStr">
        <is>
          <t>EMP00172</t>
        </is>
      </c>
      <c r="B230" s="2" t="inlineStr">
        <is>
          <t>Operations</t>
        </is>
      </c>
      <c r="C230" s="2" t="inlineStr">
        <is>
          <t>Process Lead</t>
        </is>
      </c>
      <c r="D230" s="2" t="n">
        <v>35</v>
      </c>
      <c r="E230" s="2" t="n">
        <v>1.5</v>
      </c>
      <c r="F230" s="2" t="n">
        <v>629000</v>
      </c>
      <c r="G230" s="2" t="inlineStr">
        <is>
          <t>No</t>
        </is>
      </c>
      <c r="H230" s="2" t="n">
        <v>21</v>
      </c>
      <c r="I230" s="2" t="n">
        <v>2.2</v>
      </c>
      <c r="J230" s="2" t="n">
        <v>2.1</v>
      </c>
      <c r="K230" s="2" t="n">
        <v>3.5</v>
      </c>
      <c r="L230" s="2" t="inlineStr">
        <is>
          <t>Active</t>
        </is>
      </c>
    </row>
    <row r="231">
      <c r="A231" s="2" t="inlineStr">
        <is>
          <t>EMP00749</t>
        </is>
      </c>
      <c r="B231" s="2" t="inlineStr">
        <is>
          <t>HR</t>
        </is>
      </c>
      <c r="C231" s="2" t="inlineStr">
        <is>
          <t>HR Manager</t>
        </is>
      </c>
      <c r="D231" s="2" t="n">
        <v>43</v>
      </c>
      <c r="E231" s="2" t="n">
        <v>1.5</v>
      </c>
      <c r="F231" s="2" t="n">
        <v>596000</v>
      </c>
      <c r="G231" s="2" t="inlineStr">
        <is>
          <t>Yes</t>
        </is>
      </c>
      <c r="H231" s="2" t="n">
        <v>35</v>
      </c>
      <c r="I231" s="2" t="n">
        <v>3</v>
      </c>
      <c r="J231" s="2" t="n">
        <v>3</v>
      </c>
      <c r="K231" s="2" t="n">
        <v>3</v>
      </c>
      <c r="L231" s="2" t="inlineStr">
        <is>
          <t>Active</t>
        </is>
      </c>
    </row>
    <row r="232">
      <c r="A232" s="2" t="inlineStr">
        <is>
          <t>EMP00169</t>
        </is>
      </c>
      <c r="B232" s="2" t="inlineStr">
        <is>
          <t>Engineering</t>
        </is>
      </c>
      <c r="C232" s="2" t="inlineStr">
        <is>
          <t>Senior Engineer</t>
        </is>
      </c>
      <c r="D232" s="2" t="n">
        <v>38</v>
      </c>
      <c r="E232" s="2" t="n">
        <v>1.6</v>
      </c>
      <c r="F232" s="2" t="n">
        <v>1121000</v>
      </c>
      <c r="G232" s="2" t="inlineStr">
        <is>
          <t>No</t>
        </is>
      </c>
      <c r="H232" s="2" t="n">
        <v>32</v>
      </c>
      <c r="I232" s="2" t="n">
        <v>3.4</v>
      </c>
      <c r="J232" s="2" t="n">
        <v>2.8</v>
      </c>
      <c r="K232" s="2" t="n">
        <v>2.9</v>
      </c>
      <c r="L232" s="2" t="inlineStr">
        <is>
          <t>Active</t>
        </is>
      </c>
    </row>
    <row r="233">
      <c r="A233" s="2" t="inlineStr">
        <is>
          <t>EMP00892</t>
        </is>
      </c>
      <c r="B233" s="2" t="inlineStr">
        <is>
          <t>Customer Support</t>
        </is>
      </c>
      <c r="C233" s="2" t="inlineStr">
        <is>
          <t>Support Lead</t>
        </is>
      </c>
      <c r="D233" s="2" t="n">
        <v>51</v>
      </c>
      <c r="E233" s="2" t="n">
        <v>4.6</v>
      </c>
      <c r="F233" s="2" t="n">
        <v>559000</v>
      </c>
      <c r="G233" s="2" t="inlineStr">
        <is>
          <t>No</t>
        </is>
      </c>
      <c r="H233" s="2" t="n">
        <v>48</v>
      </c>
      <c r="I233" s="2" t="n">
        <v>5</v>
      </c>
      <c r="J233" s="2" t="n">
        <v>3.4</v>
      </c>
      <c r="K233" s="2" t="n">
        <v>3.9</v>
      </c>
      <c r="L233" s="2" t="inlineStr">
        <is>
          <t>Active</t>
        </is>
      </c>
    </row>
    <row r="234">
      <c r="A234" s="2" t="inlineStr">
        <is>
          <t>EMP00284</t>
        </is>
      </c>
      <c r="B234" s="2" t="inlineStr">
        <is>
          <t>Engineering</t>
        </is>
      </c>
      <c r="C234" s="2" t="inlineStr">
        <is>
          <t>Engineering Manager</t>
        </is>
      </c>
      <c r="D234" s="2" t="n">
        <v>45</v>
      </c>
      <c r="E234" s="2" t="n">
        <v>7.9</v>
      </c>
      <c r="F234" s="2" t="n">
        <v>1238000</v>
      </c>
      <c r="G234" s="2" t="inlineStr">
        <is>
          <t>No</t>
        </is>
      </c>
      <c r="H234" s="2" t="n">
        <v>46</v>
      </c>
      <c r="I234" s="2" t="n">
        <v>2.7</v>
      </c>
      <c r="J234" s="2" t="n">
        <v>3.7</v>
      </c>
      <c r="K234" s="2" t="n">
        <v>3.6</v>
      </c>
      <c r="L234" s="2" t="inlineStr">
        <is>
          <t>Active</t>
        </is>
      </c>
    </row>
    <row r="235">
      <c r="A235" s="2" t="inlineStr">
        <is>
          <t>EMP01052</t>
        </is>
      </c>
      <c r="B235" s="2" t="inlineStr">
        <is>
          <t>Sales</t>
        </is>
      </c>
      <c r="C235" s="2" t="inlineStr">
        <is>
          <t>Sales Executive</t>
        </is>
      </c>
      <c r="D235" s="2" t="n">
        <v>32</v>
      </c>
      <c r="E235" s="2" t="n">
        <v>7.6</v>
      </c>
      <c r="F235" s="2" t="n">
        <v>905000</v>
      </c>
      <c r="G235" s="2" t="inlineStr">
        <is>
          <t>No</t>
        </is>
      </c>
      <c r="H235" s="2" t="n">
        <v>48</v>
      </c>
      <c r="I235" s="2" t="n">
        <v>3.7</v>
      </c>
      <c r="J235" s="2" t="n">
        <v>3.5</v>
      </c>
      <c r="K235" s="2" t="n">
        <v>3.1</v>
      </c>
      <c r="L235" s="2" t="inlineStr">
        <is>
          <t>Active</t>
        </is>
      </c>
    </row>
    <row r="236">
      <c r="A236" s="2" t="inlineStr">
        <is>
          <t>EMP00126</t>
        </is>
      </c>
      <c r="B236" s="2" t="inlineStr">
        <is>
          <t>Operations</t>
        </is>
      </c>
      <c r="C236" s="2" t="inlineStr">
        <is>
          <t>Ops Analyst</t>
        </is>
      </c>
      <c r="D236" s="2" t="n">
        <v>37</v>
      </c>
      <c r="E236" s="2" t="n">
        <v>3.4</v>
      </c>
      <c r="F236" s="2" t="n">
        <v>759000</v>
      </c>
      <c r="G236" s="2" t="inlineStr">
        <is>
          <t>Yes</t>
        </is>
      </c>
      <c r="H236" s="2" t="n">
        <v>32</v>
      </c>
      <c r="I236" s="2" t="n">
        <v>2.8</v>
      </c>
      <c r="J236" s="2" t="n">
        <v>2.9</v>
      </c>
      <c r="K236" s="2" t="n">
        <v>2.6</v>
      </c>
      <c r="L236" s="2" t="inlineStr">
        <is>
          <t>Resigned</t>
        </is>
      </c>
    </row>
    <row r="237">
      <c r="A237" s="2" t="inlineStr">
        <is>
          <t>EMP01165</t>
        </is>
      </c>
      <c r="B237" s="2" t="inlineStr">
        <is>
          <t>Sales</t>
        </is>
      </c>
      <c r="C237" s="2" t="inlineStr">
        <is>
          <t>Sales Manager</t>
        </is>
      </c>
      <c r="D237" s="2" t="n">
        <v>30</v>
      </c>
      <c r="E237" s="2" t="n">
        <v>4.5</v>
      </c>
      <c r="F237" s="2" t="n">
        <v>871000</v>
      </c>
      <c r="G237" s="2" t="inlineStr">
        <is>
          <t>No</t>
        </is>
      </c>
      <c r="H237" s="2" t="n">
        <v>54</v>
      </c>
      <c r="I237" s="2" t="n">
        <v>2.5</v>
      </c>
      <c r="J237" s="2" t="n">
        <v>2.9</v>
      </c>
      <c r="K237" s="2" t="n">
        <v>2.9</v>
      </c>
      <c r="L237" s="2" t="inlineStr">
        <is>
          <t>Active</t>
        </is>
      </c>
    </row>
    <row r="238">
      <c r="A238" s="2" t="inlineStr">
        <is>
          <t>EMP01196</t>
        </is>
      </c>
      <c r="B238" s="2" t="inlineStr">
        <is>
          <t>Sales</t>
        </is>
      </c>
      <c r="C238" s="2" t="inlineStr">
        <is>
          <t>Sales Executive</t>
        </is>
      </c>
      <c r="D238" s="2" t="n">
        <v>35</v>
      </c>
      <c r="E238" s="2" t="n">
        <v>4.6</v>
      </c>
      <c r="F238" s="2" t="n">
        <v>828000</v>
      </c>
      <c r="G238" s="2" t="inlineStr">
        <is>
          <t>Yes</t>
        </is>
      </c>
      <c r="H238" s="2" t="n">
        <v>15</v>
      </c>
      <c r="I238" s="2" t="n">
        <v>2.3</v>
      </c>
      <c r="J238" s="2" t="n">
        <v>1.8</v>
      </c>
      <c r="K238" s="2" t="n">
        <v>4.8</v>
      </c>
      <c r="L238" s="2" t="inlineStr">
        <is>
          <t>Resigned</t>
        </is>
      </c>
    </row>
    <row r="239">
      <c r="A239" s="2" t="inlineStr">
        <is>
          <t>EMP00165</t>
        </is>
      </c>
      <c r="B239" s="2" t="inlineStr">
        <is>
          <t>Operations</t>
        </is>
      </c>
      <c r="C239" s="2" t="inlineStr">
        <is>
          <t>Ops Manager</t>
        </is>
      </c>
      <c r="D239" s="2" t="n">
        <v>38</v>
      </c>
      <c r="E239" s="2" t="n">
        <v>3.3</v>
      </c>
      <c r="F239" s="2" t="n">
        <v>722000</v>
      </c>
      <c r="G239" s="2" t="inlineStr">
        <is>
          <t>Yes</t>
        </is>
      </c>
      <c r="H239" s="2" t="n">
        <v>17</v>
      </c>
      <c r="I239" s="2" t="n">
        <v>2.9</v>
      </c>
      <c r="J239" s="2" t="n">
        <v>1.2</v>
      </c>
      <c r="K239" s="2" t="n">
        <v>2.3</v>
      </c>
      <c r="L239" s="2" t="inlineStr">
        <is>
          <t>Active</t>
        </is>
      </c>
    </row>
    <row r="240">
      <c r="A240" s="2" t="inlineStr">
        <is>
          <t>EMP01009</t>
        </is>
      </c>
      <c r="B240" s="2" t="inlineStr">
        <is>
          <t>Finance</t>
        </is>
      </c>
      <c r="C240" s="2" t="inlineStr">
        <is>
          <t>Accountant</t>
        </is>
      </c>
      <c r="D240" s="2" t="n">
        <v>27</v>
      </c>
      <c r="E240" s="2" t="n">
        <v>4.7</v>
      </c>
      <c r="F240" s="2" t="n">
        <v>878000</v>
      </c>
      <c r="G240" s="2" t="inlineStr">
        <is>
          <t>No</t>
        </is>
      </c>
      <c r="H240" s="2" t="n">
        <v>18</v>
      </c>
      <c r="I240" s="2" t="n">
        <v>3.6</v>
      </c>
      <c r="J240" s="2" t="n">
        <v>1.5</v>
      </c>
      <c r="K240" s="2" t="n">
        <v>2.8</v>
      </c>
      <c r="L240" s="2" t="inlineStr">
        <is>
          <t>Active</t>
        </is>
      </c>
    </row>
    <row r="241">
      <c r="A241" s="2" t="inlineStr">
        <is>
          <t>EMP01153</t>
        </is>
      </c>
      <c r="B241" s="2" t="inlineStr">
        <is>
          <t>Sales</t>
        </is>
      </c>
      <c r="C241" s="2" t="inlineStr">
        <is>
          <t>Sales Manager</t>
        </is>
      </c>
      <c r="D241" s="2" t="n">
        <v>48</v>
      </c>
      <c r="E241" s="2" t="n">
        <v>1.5</v>
      </c>
      <c r="F241" s="2" t="n">
        <v>631000</v>
      </c>
      <c r="G241" s="2" t="inlineStr">
        <is>
          <t>Yes</t>
        </is>
      </c>
      <c r="H241" s="2" t="n">
        <v>31</v>
      </c>
      <c r="I241" s="2" t="n">
        <v>4.9</v>
      </c>
      <c r="J241" s="2" t="n">
        <v>3</v>
      </c>
      <c r="K241" s="2" t="n">
        <v>3.3</v>
      </c>
      <c r="L241" s="2" t="inlineStr">
        <is>
          <t>Active</t>
        </is>
      </c>
    </row>
    <row r="242">
      <c r="A242" s="2" t="inlineStr">
        <is>
          <t>EMP00532</t>
        </is>
      </c>
      <c r="B242" s="2" t="inlineStr">
        <is>
          <t>Finance</t>
        </is>
      </c>
      <c r="C242" s="2" t="inlineStr">
        <is>
          <t>Finance Manager</t>
        </is>
      </c>
      <c r="D242" s="2" t="n">
        <v>43</v>
      </c>
      <c r="E242" s="2" t="n">
        <v>2.8</v>
      </c>
      <c r="F242" s="2" t="n">
        <v>746000</v>
      </c>
      <c r="G242" s="2" t="inlineStr">
        <is>
          <t>Yes</t>
        </is>
      </c>
      <c r="H242" s="2" t="n">
        <v>54</v>
      </c>
      <c r="I242" s="2" t="n">
        <v>2</v>
      </c>
      <c r="J242" s="2" t="n">
        <v>1.8</v>
      </c>
      <c r="K242" s="2" t="n">
        <v>1.9</v>
      </c>
      <c r="L242" s="2" t="inlineStr">
        <is>
          <t>Active</t>
        </is>
      </c>
    </row>
    <row r="243">
      <c r="A243" s="2" t="inlineStr">
        <is>
          <t>EMP00841</t>
        </is>
      </c>
      <c r="B243" s="2" t="inlineStr">
        <is>
          <t>Sales</t>
        </is>
      </c>
      <c r="C243" s="2" t="inlineStr">
        <is>
          <t>Sales Executive</t>
        </is>
      </c>
      <c r="D243" s="2" t="n">
        <v>44</v>
      </c>
      <c r="E243" s="2" t="n">
        <v>3.6</v>
      </c>
      <c r="F243" s="2" t="n">
        <v>855000</v>
      </c>
      <c r="G243" s="2" t="inlineStr">
        <is>
          <t>No</t>
        </is>
      </c>
      <c r="H243" s="2" t="n">
        <v>18</v>
      </c>
      <c r="I243" s="2" t="n">
        <v>2.6</v>
      </c>
      <c r="J243" s="2" t="n">
        <v>2.9</v>
      </c>
      <c r="K243" s="2" t="n">
        <v>3.7</v>
      </c>
      <c r="L243" s="2" t="inlineStr">
        <is>
          <t>Active</t>
        </is>
      </c>
    </row>
    <row r="244">
      <c r="A244" s="2" t="inlineStr">
        <is>
          <t>EMP00043</t>
        </is>
      </c>
      <c r="B244" s="2" t="inlineStr">
        <is>
          <t>Finance</t>
        </is>
      </c>
      <c r="C244" s="2" t="inlineStr">
        <is>
          <t>Financial Analyst</t>
        </is>
      </c>
      <c r="D244" s="2" t="n">
        <v>24</v>
      </c>
      <c r="E244" s="2" t="n">
        <v>0.3</v>
      </c>
      <c r="F244" s="2" t="n">
        <v>729000</v>
      </c>
      <c r="G244" s="2" t="inlineStr">
        <is>
          <t>No</t>
        </is>
      </c>
      <c r="H244" s="2" t="n">
        <v>5</v>
      </c>
      <c r="I244" s="2" t="n">
        <v>3.3</v>
      </c>
      <c r="J244" s="2" t="n">
        <v>2.9</v>
      </c>
      <c r="K244" s="2" t="n">
        <v>3.7</v>
      </c>
      <c r="L244" s="2" t="inlineStr">
        <is>
          <t>Resigned</t>
        </is>
      </c>
    </row>
    <row r="245">
      <c r="A245" s="2" t="inlineStr">
        <is>
          <t>EMP00782</t>
        </is>
      </c>
      <c r="B245" s="2" t="inlineStr">
        <is>
          <t>Customer Support</t>
        </is>
      </c>
      <c r="C245" s="2" t="inlineStr">
        <is>
          <t>Support Associate</t>
        </is>
      </c>
      <c r="D245" s="2" t="n">
        <v>37</v>
      </c>
      <c r="E245" s="2" t="n">
        <v>4.3</v>
      </c>
      <c r="F245" s="2" t="n">
        <v>681000</v>
      </c>
      <c r="G245" s="2" t="inlineStr">
        <is>
          <t>No</t>
        </is>
      </c>
      <c r="H245" s="2" t="n">
        <v>43</v>
      </c>
      <c r="I245" s="2" t="n">
        <v>1.9</v>
      </c>
      <c r="J245" s="2" t="n">
        <v>3</v>
      </c>
      <c r="K245" s="2" t="n">
        <v>3.9</v>
      </c>
      <c r="L245" s="2" t="inlineStr">
        <is>
          <t>Active</t>
        </is>
      </c>
    </row>
    <row r="246">
      <c r="A246" s="2" t="inlineStr">
        <is>
          <t>EMP00919</t>
        </is>
      </c>
      <c r="B246" s="2" t="inlineStr">
        <is>
          <t>Engineering</t>
        </is>
      </c>
      <c r="C246" s="2" t="inlineStr">
        <is>
          <t>Software Engineer</t>
        </is>
      </c>
      <c r="D246" s="2" t="n">
        <v>27</v>
      </c>
      <c r="E246" s="2" t="n">
        <v>3.3</v>
      </c>
      <c r="F246" s="2" t="n">
        <v>1127000</v>
      </c>
      <c r="G246" s="2" t="inlineStr">
        <is>
          <t>Yes</t>
        </is>
      </c>
      <c r="H246" s="2" t="n">
        <v>19</v>
      </c>
      <c r="I246" s="2" t="n">
        <v>2.7</v>
      </c>
      <c r="J246" s="2" t="n">
        <v>1.8</v>
      </c>
      <c r="K246" s="2" t="n">
        <v>2.5</v>
      </c>
      <c r="L246" s="2" t="inlineStr">
        <is>
          <t>Resigned</t>
        </is>
      </c>
    </row>
    <row r="247">
      <c r="A247" s="2" t="inlineStr">
        <is>
          <t>EMP00689</t>
        </is>
      </c>
      <c r="B247" s="2" t="inlineStr">
        <is>
          <t>HR</t>
        </is>
      </c>
      <c r="C247" s="2" t="inlineStr">
        <is>
          <t>HR Generalist</t>
        </is>
      </c>
      <c r="D247" s="2" t="n">
        <v>35</v>
      </c>
      <c r="E247" s="2" t="n">
        <v>1.3</v>
      </c>
      <c r="F247" s="2" t="n">
        <v>586000</v>
      </c>
      <c r="G247" s="2" t="inlineStr">
        <is>
          <t>No</t>
        </is>
      </c>
      <c r="H247" s="2" t="n">
        <v>5</v>
      </c>
      <c r="I247" s="2" t="n">
        <v>4.2</v>
      </c>
      <c r="J247" s="2" t="n">
        <v>3.8</v>
      </c>
      <c r="K247" s="2" t="n">
        <v>3.3</v>
      </c>
      <c r="L247" s="2" t="inlineStr">
        <is>
          <t>Active</t>
        </is>
      </c>
    </row>
    <row r="248">
      <c r="A248" s="2" t="inlineStr">
        <is>
          <t>EMP00579</t>
        </is>
      </c>
      <c r="B248" s="2" t="inlineStr">
        <is>
          <t>Customer Support</t>
        </is>
      </c>
      <c r="C248" s="2" t="inlineStr">
        <is>
          <t>Support Associate</t>
        </is>
      </c>
      <c r="D248" s="2" t="n">
        <v>30</v>
      </c>
      <c r="E248" s="2" t="n">
        <v>2.3</v>
      </c>
      <c r="F248" s="2" t="n">
        <v>521000</v>
      </c>
      <c r="G248" s="2" t="inlineStr">
        <is>
          <t>No</t>
        </is>
      </c>
      <c r="H248" s="2" t="n">
        <v>57</v>
      </c>
      <c r="I248" s="2" t="n">
        <v>5</v>
      </c>
      <c r="J248" s="2" t="n">
        <v>1.7</v>
      </c>
      <c r="K248" s="2" t="n">
        <v>2.4</v>
      </c>
      <c r="L248" s="2" t="inlineStr">
        <is>
          <t>Active</t>
        </is>
      </c>
    </row>
    <row r="249">
      <c r="A249" s="2" t="inlineStr">
        <is>
          <t>EMP00133</t>
        </is>
      </c>
      <c r="B249" s="2" t="inlineStr">
        <is>
          <t>Operations</t>
        </is>
      </c>
      <c r="C249" s="2" t="inlineStr">
        <is>
          <t>Process Lead</t>
        </is>
      </c>
      <c r="D249" s="2" t="n">
        <v>36</v>
      </c>
      <c r="E249" s="2" t="n">
        <v>2</v>
      </c>
      <c r="F249" s="2" t="n">
        <v>729000</v>
      </c>
      <c r="G249" s="2" t="inlineStr">
        <is>
          <t>No</t>
        </is>
      </c>
      <c r="H249" s="2" t="n">
        <v>49</v>
      </c>
      <c r="I249" s="2" t="n">
        <v>3.3</v>
      </c>
      <c r="J249" s="2" t="n">
        <v>3.8</v>
      </c>
      <c r="K249" s="2" t="n">
        <v>2.7</v>
      </c>
      <c r="L249" s="2" t="inlineStr">
        <is>
          <t>Active</t>
        </is>
      </c>
    </row>
    <row r="250">
      <c r="A250" s="2" t="inlineStr">
        <is>
          <t>EMP01014</t>
        </is>
      </c>
      <c r="B250" s="2" t="inlineStr">
        <is>
          <t>Customer Support</t>
        </is>
      </c>
      <c r="C250" s="2" t="inlineStr">
        <is>
          <t>Support Associate</t>
        </is>
      </c>
      <c r="D250" s="2" t="n">
        <v>45</v>
      </c>
      <c r="E250" s="2" t="n">
        <v>0.1</v>
      </c>
      <c r="F250" s="2" t="n">
        <v>442000</v>
      </c>
      <c r="G250" s="2" t="inlineStr">
        <is>
          <t>No</t>
        </is>
      </c>
      <c r="H250" s="2" t="n">
        <v>57</v>
      </c>
      <c r="I250" s="2" t="n">
        <v>4.1</v>
      </c>
      <c r="J250" s="2" t="n">
        <v>3.4</v>
      </c>
      <c r="K250" s="2" t="n">
        <v>2.4</v>
      </c>
      <c r="L250" s="2" t="inlineStr">
        <is>
          <t>Active</t>
        </is>
      </c>
    </row>
    <row r="251">
      <c r="A251" s="2" t="inlineStr">
        <is>
          <t>EMP00468</t>
        </is>
      </c>
      <c r="B251" s="2" t="inlineStr">
        <is>
          <t>Customer Support</t>
        </is>
      </c>
      <c r="C251" s="2" t="inlineStr">
        <is>
          <t>Support Associate</t>
        </is>
      </c>
      <c r="D251" s="2" t="n">
        <v>35</v>
      </c>
      <c r="E251" s="2" t="n">
        <v>0.1</v>
      </c>
      <c r="F251" s="2" t="n">
        <v>460000</v>
      </c>
      <c r="G251" s="2" t="inlineStr">
        <is>
          <t>No</t>
        </is>
      </c>
      <c r="H251" s="2" t="n">
        <v>21</v>
      </c>
      <c r="I251" s="2" t="n">
        <v>1.9</v>
      </c>
      <c r="J251" s="2" t="n">
        <v>3.2</v>
      </c>
      <c r="K251" s="2" t="n">
        <v>2.2</v>
      </c>
      <c r="L251" s="2" t="inlineStr">
        <is>
          <t>Active</t>
        </is>
      </c>
    </row>
    <row r="252">
      <c r="A252" s="2" t="inlineStr">
        <is>
          <t>EMP00039</t>
        </is>
      </c>
      <c r="B252" s="2" t="inlineStr">
        <is>
          <t>Engineering</t>
        </is>
      </c>
      <c r="C252" s="2" t="inlineStr">
        <is>
          <t>Engineering Manager</t>
        </is>
      </c>
      <c r="D252" s="2" t="n">
        <v>31</v>
      </c>
      <c r="E252" s="2" t="n">
        <v>2.4</v>
      </c>
      <c r="F252" s="2" t="n">
        <v>1143000</v>
      </c>
      <c r="G252" s="2" t="inlineStr">
        <is>
          <t>No</t>
        </is>
      </c>
      <c r="H252" s="2" t="n">
        <v>13</v>
      </c>
      <c r="I252" s="2" t="n">
        <v>4.3</v>
      </c>
      <c r="J252" s="2" t="n">
        <v>4.2</v>
      </c>
      <c r="K252" s="2" t="n">
        <v>3.2</v>
      </c>
      <c r="L252" s="2" t="inlineStr">
        <is>
          <t>Active</t>
        </is>
      </c>
    </row>
    <row r="253">
      <c r="A253" s="2" t="inlineStr">
        <is>
          <t>EMP00964</t>
        </is>
      </c>
      <c r="B253" s="2" t="inlineStr">
        <is>
          <t>Sales</t>
        </is>
      </c>
      <c r="C253" s="2" t="inlineStr">
        <is>
          <t>Sales Manager</t>
        </is>
      </c>
      <c r="D253" s="2" t="n">
        <v>21</v>
      </c>
      <c r="E253" s="2" t="n">
        <v>1.5</v>
      </c>
      <c r="F253" s="2" t="n">
        <v>723000</v>
      </c>
      <c r="G253" s="2" t="inlineStr">
        <is>
          <t>No</t>
        </is>
      </c>
      <c r="H253" s="2" t="n">
        <v>27</v>
      </c>
      <c r="I253" s="2" t="n">
        <v>3.3</v>
      </c>
      <c r="J253" s="2" t="n">
        <v>3.6</v>
      </c>
      <c r="K253" s="2" t="n">
        <v>3</v>
      </c>
      <c r="L253" s="2" t="inlineStr">
        <is>
          <t>Active</t>
        </is>
      </c>
    </row>
    <row r="254">
      <c r="A254" s="2" t="inlineStr">
        <is>
          <t>EMP01006</t>
        </is>
      </c>
      <c r="B254" s="2" t="inlineStr">
        <is>
          <t>Engineering</t>
        </is>
      </c>
      <c r="C254" s="2" t="inlineStr">
        <is>
          <t>Senior Engineer</t>
        </is>
      </c>
      <c r="D254" s="2" t="n">
        <v>42</v>
      </c>
      <c r="E254" s="2" t="n">
        <v>9.300000000000001</v>
      </c>
      <c r="F254" s="2" t="n">
        <v>1467000</v>
      </c>
      <c r="G254" s="2" t="inlineStr">
        <is>
          <t>Yes</t>
        </is>
      </c>
      <c r="H254" s="2" t="n">
        <v>39</v>
      </c>
      <c r="I254" s="2" t="n">
        <v>2.5</v>
      </c>
      <c r="J254" s="2" t="n">
        <v>3.1</v>
      </c>
      <c r="K254" s="2" t="n">
        <v>4.8</v>
      </c>
      <c r="L254" s="2" t="inlineStr">
        <is>
          <t>Active</t>
        </is>
      </c>
    </row>
    <row r="255">
      <c r="A255" s="2" t="inlineStr">
        <is>
          <t>EMP01042</t>
        </is>
      </c>
      <c r="B255" s="2" t="inlineStr">
        <is>
          <t>Finance</t>
        </is>
      </c>
      <c r="C255" s="2" t="inlineStr">
        <is>
          <t>Financial Analyst</t>
        </is>
      </c>
      <c r="D255" s="2" t="n">
        <v>45</v>
      </c>
      <c r="E255" s="2" t="n">
        <v>1</v>
      </c>
      <c r="F255" s="2" t="n">
        <v>733000</v>
      </c>
      <c r="G255" s="2" t="inlineStr">
        <is>
          <t>Yes</t>
        </is>
      </c>
      <c r="H255" s="2" t="n">
        <v>1</v>
      </c>
      <c r="I255" s="2" t="n">
        <v>3.1</v>
      </c>
      <c r="J255" s="2" t="n">
        <v>1.8</v>
      </c>
      <c r="K255" s="2" t="n">
        <v>3.3</v>
      </c>
      <c r="L255" s="2" t="inlineStr">
        <is>
          <t>Active</t>
        </is>
      </c>
    </row>
    <row r="256">
      <c r="A256" s="2" t="inlineStr">
        <is>
          <t>EMP00509</t>
        </is>
      </c>
      <c r="B256" s="2" t="inlineStr">
        <is>
          <t>Operations</t>
        </is>
      </c>
      <c r="C256" s="2" t="inlineStr">
        <is>
          <t>Ops Analyst</t>
        </is>
      </c>
      <c r="D256" s="2" t="n">
        <v>30</v>
      </c>
      <c r="E256" s="2" t="n">
        <v>2.1</v>
      </c>
      <c r="F256" s="2" t="n">
        <v>725000</v>
      </c>
      <c r="G256" s="2" t="inlineStr">
        <is>
          <t>Yes</t>
        </is>
      </c>
      <c r="H256" s="2" t="n">
        <v>56</v>
      </c>
      <c r="I256" s="2" t="n">
        <v>3</v>
      </c>
      <c r="J256" s="2" t="n">
        <v>2.1</v>
      </c>
      <c r="K256" s="2" t="n">
        <v>2.1</v>
      </c>
      <c r="L256" s="2" t="inlineStr">
        <is>
          <t>Active</t>
        </is>
      </c>
    </row>
    <row r="257">
      <c r="A257" s="2" t="inlineStr">
        <is>
          <t>EMP00167</t>
        </is>
      </c>
      <c r="B257" s="2" t="inlineStr">
        <is>
          <t>HR</t>
        </is>
      </c>
      <c r="C257" s="2" t="inlineStr">
        <is>
          <t>HR Manager</t>
        </is>
      </c>
      <c r="D257" s="2" t="n">
        <v>21</v>
      </c>
      <c r="E257" s="2" t="n">
        <v>5.5</v>
      </c>
      <c r="F257" s="2" t="n">
        <v>658000</v>
      </c>
      <c r="G257" s="2" t="inlineStr">
        <is>
          <t>Yes</t>
        </is>
      </c>
      <c r="H257" s="2" t="n">
        <v>21</v>
      </c>
      <c r="I257" s="2" t="n">
        <v>4.8</v>
      </c>
      <c r="J257" s="2" t="n">
        <v>5</v>
      </c>
      <c r="K257" s="2" t="n">
        <v>3.8</v>
      </c>
      <c r="L257" s="2" t="inlineStr">
        <is>
          <t>Resigned</t>
        </is>
      </c>
    </row>
    <row r="258">
      <c r="A258" s="2" t="inlineStr">
        <is>
          <t>EMP00541</t>
        </is>
      </c>
      <c r="B258" s="2" t="inlineStr">
        <is>
          <t>Customer Support</t>
        </is>
      </c>
      <c r="C258" s="2" t="inlineStr">
        <is>
          <t>Support Manager</t>
        </is>
      </c>
      <c r="D258" s="2" t="n">
        <v>28</v>
      </c>
      <c r="E258" s="2" t="n">
        <v>3.6</v>
      </c>
      <c r="F258" s="2" t="n">
        <v>572000</v>
      </c>
      <c r="G258" s="2" t="inlineStr">
        <is>
          <t>No</t>
        </is>
      </c>
      <c r="H258" s="2" t="n">
        <v>51</v>
      </c>
      <c r="I258" s="2" t="n">
        <v>1.2</v>
      </c>
      <c r="J258" s="2" t="n">
        <v>1.6</v>
      </c>
      <c r="K258" s="2" t="n">
        <v>2.3</v>
      </c>
      <c r="L258" s="2" t="inlineStr">
        <is>
          <t>Active</t>
        </is>
      </c>
    </row>
    <row r="259">
      <c r="A259" s="2" t="inlineStr">
        <is>
          <t>EMP00072</t>
        </is>
      </c>
      <c r="B259" s="2" t="inlineStr">
        <is>
          <t>Engineering</t>
        </is>
      </c>
      <c r="C259" s="2" t="inlineStr">
        <is>
          <t>Software Engineer</t>
        </is>
      </c>
      <c r="D259" s="2" t="n">
        <v>38</v>
      </c>
      <c r="E259" s="2" t="n">
        <v>2.7</v>
      </c>
      <c r="F259" s="2" t="n">
        <v>1066000</v>
      </c>
      <c r="G259" s="2" t="inlineStr">
        <is>
          <t>No</t>
        </is>
      </c>
      <c r="H259" s="2" t="n">
        <v>16</v>
      </c>
      <c r="I259" s="2" t="n">
        <v>3.4</v>
      </c>
      <c r="J259" s="2" t="n">
        <v>3</v>
      </c>
      <c r="K259" s="2" t="n">
        <v>3.5</v>
      </c>
      <c r="L259" s="2" t="inlineStr">
        <is>
          <t>Active</t>
        </is>
      </c>
    </row>
    <row r="260">
      <c r="A260" s="2" t="inlineStr">
        <is>
          <t>EMP00907</t>
        </is>
      </c>
      <c r="B260" s="2" t="inlineStr">
        <is>
          <t>Operations</t>
        </is>
      </c>
      <c r="C260" s="2" t="inlineStr">
        <is>
          <t>Ops Analyst</t>
        </is>
      </c>
      <c r="D260" s="2" t="n">
        <v>28</v>
      </c>
      <c r="E260" s="2" t="n">
        <v>1.9</v>
      </c>
      <c r="F260" s="2" t="n">
        <v>658000</v>
      </c>
      <c r="G260" s="2" t="inlineStr">
        <is>
          <t>Yes</t>
        </is>
      </c>
      <c r="H260" s="2" t="n">
        <v>26</v>
      </c>
      <c r="I260" s="2" t="n">
        <v>4.5</v>
      </c>
      <c r="J260" s="2" t="n">
        <v>3.8</v>
      </c>
      <c r="K260" s="2" t="n">
        <v>2.5</v>
      </c>
      <c r="L260" s="2" t="inlineStr">
        <is>
          <t>Resigned</t>
        </is>
      </c>
    </row>
    <row r="261">
      <c r="A261" s="2" t="inlineStr">
        <is>
          <t>EMP00906</t>
        </is>
      </c>
      <c r="B261" s="2" t="inlineStr">
        <is>
          <t>Finance</t>
        </is>
      </c>
      <c r="C261" s="2" t="inlineStr">
        <is>
          <t>Financial Analyst</t>
        </is>
      </c>
      <c r="D261" s="2" t="n">
        <v>27</v>
      </c>
      <c r="E261" s="2" t="n">
        <v>3.5</v>
      </c>
      <c r="F261" s="2" t="n">
        <v>814000</v>
      </c>
      <c r="G261" s="2" t="inlineStr">
        <is>
          <t>No</t>
        </is>
      </c>
      <c r="H261" s="2" t="n">
        <v>30</v>
      </c>
      <c r="I261" s="2" t="n">
        <v>4.2</v>
      </c>
      <c r="J261" s="2" t="n">
        <v>4</v>
      </c>
      <c r="K261" s="2" t="n">
        <v>4.5</v>
      </c>
      <c r="L261" s="2" t="inlineStr">
        <is>
          <t>Active</t>
        </is>
      </c>
    </row>
    <row r="262">
      <c r="A262" s="2" t="inlineStr">
        <is>
          <t>EMP01200</t>
        </is>
      </c>
      <c r="B262" s="2" t="inlineStr">
        <is>
          <t>Finance</t>
        </is>
      </c>
      <c r="C262" s="2" t="inlineStr">
        <is>
          <t>Accountant</t>
        </is>
      </c>
      <c r="D262" s="2" t="n">
        <v>44</v>
      </c>
      <c r="E262" s="2" t="n">
        <v>1.5</v>
      </c>
      <c r="F262" s="2" t="n">
        <v>733000</v>
      </c>
      <c r="G262" s="2" t="inlineStr">
        <is>
          <t>No</t>
        </is>
      </c>
      <c r="H262" s="2" t="n">
        <v>52</v>
      </c>
      <c r="I262" s="2" t="n">
        <v>3.3</v>
      </c>
      <c r="J262" s="2" t="n">
        <v>1.4</v>
      </c>
      <c r="K262" s="2" t="n">
        <v>3</v>
      </c>
      <c r="L262" s="2" t="inlineStr">
        <is>
          <t>Active</t>
        </is>
      </c>
    </row>
    <row r="263">
      <c r="A263" s="2" t="inlineStr">
        <is>
          <t>EMP00993</t>
        </is>
      </c>
      <c r="B263" s="2" t="inlineStr">
        <is>
          <t>HR</t>
        </is>
      </c>
      <c r="C263" s="2" t="inlineStr">
        <is>
          <t>HR Manager</t>
        </is>
      </c>
      <c r="D263" s="2" t="n">
        <v>27</v>
      </c>
      <c r="E263" s="2" t="n">
        <v>2.1</v>
      </c>
      <c r="F263" s="2" t="n">
        <v>634000</v>
      </c>
      <c r="G263" s="2" t="inlineStr">
        <is>
          <t>No</t>
        </is>
      </c>
      <c r="H263" s="2" t="n">
        <v>18</v>
      </c>
      <c r="I263" s="2" t="n">
        <v>3.9</v>
      </c>
      <c r="J263" s="2" t="n">
        <v>1.6</v>
      </c>
      <c r="K263" s="2" t="n">
        <v>3</v>
      </c>
      <c r="L263" s="2" t="inlineStr">
        <is>
          <t>Active</t>
        </is>
      </c>
    </row>
    <row r="264">
      <c r="A264" s="2" t="inlineStr">
        <is>
          <t>EMP00927</t>
        </is>
      </c>
      <c r="B264" s="2" t="inlineStr">
        <is>
          <t>Sales</t>
        </is>
      </c>
      <c r="C264" s="2" t="inlineStr">
        <is>
          <t>Sales Executive</t>
        </is>
      </c>
      <c r="D264" s="2" t="n">
        <v>32</v>
      </c>
      <c r="E264" s="2" t="n">
        <v>4.7</v>
      </c>
      <c r="F264" s="2" t="n">
        <v>835000</v>
      </c>
      <c r="G264" s="2" t="inlineStr">
        <is>
          <t>No</t>
        </is>
      </c>
      <c r="H264" s="2" t="n">
        <v>54</v>
      </c>
      <c r="I264" s="2" t="n">
        <v>1.4</v>
      </c>
      <c r="J264" s="2" t="n">
        <v>2.7</v>
      </c>
      <c r="K264" s="2" t="n">
        <v>3.3</v>
      </c>
      <c r="L264" s="2" t="inlineStr">
        <is>
          <t>Resigned</t>
        </is>
      </c>
    </row>
    <row r="265">
      <c r="A265" s="2" t="inlineStr">
        <is>
          <t>EMP00005</t>
        </is>
      </c>
      <c r="B265" s="2" t="inlineStr">
        <is>
          <t>Sales</t>
        </is>
      </c>
      <c r="C265" s="2" t="inlineStr">
        <is>
          <t>Account Manager</t>
        </is>
      </c>
      <c r="D265" s="2" t="n">
        <v>38</v>
      </c>
      <c r="E265" s="2" t="n">
        <v>2.7</v>
      </c>
      <c r="F265" s="2" t="n">
        <v>667000</v>
      </c>
      <c r="G265" s="2" t="inlineStr">
        <is>
          <t>No</t>
        </is>
      </c>
      <c r="H265" s="2" t="n">
        <v>42</v>
      </c>
      <c r="I265" s="2" t="n">
        <v>3.4</v>
      </c>
      <c r="J265" s="2" t="n">
        <v>2.3</v>
      </c>
      <c r="K265" s="2" t="n">
        <v>2.8</v>
      </c>
      <c r="L265" s="2" t="inlineStr">
        <is>
          <t>Active</t>
        </is>
      </c>
    </row>
    <row r="266">
      <c r="A266" s="2" t="inlineStr">
        <is>
          <t>EMP00340</t>
        </is>
      </c>
      <c r="B266" s="2" t="inlineStr">
        <is>
          <t>Customer Support</t>
        </is>
      </c>
      <c r="C266" s="2" t="inlineStr">
        <is>
          <t>Support Lead</t>
        </is>
      </c>
      <c r="D266" s="2" t="n">
        <v>26</v>
      </c>
      <c r="E266" s="2" t="n">
        <v>2.1</v>
      </c>
      <c r="F266" s="2" t="n">
        <v>587000</v>
      </c>
      <c r="G266" s="2" t="inlineStr">
        <is>
          <t>Yes</t>
        </is>
      </c>
      <c r="H266" s="2" t="n">
        <v>60</v>
      </c>
      <c r="I266" s="2" t="n">
        <v>3.3</v>
      </c>
      <c r="J266" s="2" t="n">
        <v>3.9</v>
      </c>
      <c r="K266" s="2" t="n">
        <v>3.2</v>
      </c>
      <c r="L266" s="2" t="inlineStr">
        <is>
          <t>Active</t>
        </is>
      </c>
    </row>
    <row r="267">
      <c r="A267" s="2" t="inlineStr">
        <is>
          <t>EMP00695</t>
        </is>
      </c>
      <c r="B267" s="2" t="inlineStr">
        <is>
          <t>Customer Support</t>
        </is>
      </c>
      <c r="C267" s="2" t="inlineStr">
        <is>
          <t>Support Manager</t>
        </is>
      </c>
      <c r="D267" s="2" t="n">
        <v>32</v>
      </c>
      <c r="E267" s="2" t="n">
        <v>4.9</v>
      </c>
      <c r="F267" s="2" t="n">
        <v>555000</v>
      </c>
      <c r="G267" s="2" t="inlineStr">
        <is>
          <t>No</t>
        </is>
      </c>
      <c r="H267" s="2" t="n">
        <v>37</v>
      </c>
      <c r="I267" s="2" t="n">
        <v>2.4</v>
      </c>
      <c r="J267" s="2" t="n">
        <v>4.2</v>
      </c>
      <c r="K267" s="2" t="n">
        <v>4</v>
      </c>
      <c r="L267" s="2" t="inlineStr">
        <is>
          <t>Active</t>
        </is>
      </c>
    </row>
    <row r="268">
      <c r="A268" s="2" t="inlineStr">
        <is>
          <t>EMP00715</t>
        </is>
      </c>
      <c r="B268" s="2" t="inlineStr">
        <is>
          <t>HR</t>
        </is>
      </c>
      <c r="C268" s="2" t="inlineStr">
        <is>
          <t>Recruiter</t>
        </is>
      </c>
      <c r="D268" s="2" t="n">
        <v>35</v>
      </c>
      <c r="E268" s="2" t="n">
        <v>6.4</v>
      </c>
      <c r="F268" s="2" t="n">
        <v>763000</v>
      </c>
      <c r="G268" s="2" t="inlineStr">
        <is>
          <t>No</t>
        </is>
      </c>
      <c r="H268" s="2" t="n">
        <v>59</v>
      </c>
      <c r="I268" s="2" t="n">
        <v>3.6</v>
      </c>
      <c r="J268" s="2" t="n">
        <v>3.3</v>
      </c>
      <c r="K268" s="2" t="n">
        <v>2.6</v>
      </c>
      <c r="L268" s="2" t="inlineStr">
        <is>
          <t>Active</t>
        </is>
      </c>
    </row>
    <row r="269">
      <c r="A269" s="2" t="inlineStr">
        <is>
          <t>EMP00378</t>
        </is>
      </c>
      <c r="B269" s="2" t="inlineStr">
        <is>
          <t>Operations</t>
        </is>
      </c>
      <c r="C269" s="2" t="inlineStr">
        <is>
          <t>Process Lead</t>
        </is>
      </c>
      <c r="D269" s="2" t="n">
        <v>42</v>
      </c>
      <c r="E269" s="2" t="n">
        <v>6.3</v>
      </c>
      <c r="F269" s="2" t="n">
        <v>742000</v>
      </c>
      <c r="G269" s="2" t="inlineStr">
        <is>
          <t>Yes</t>
        </is>
      </c>
      <c r="H269" s="2" t="n">
        <v>28</v>
      </c>
      <c r="I269" s="2" t="n">
        <v>5</v>
      </c>
      <c r="J269" s="2" t="n">
        <v>3.1</v>
      </c>
      <c r="K269" s="2" t="n">
        <v>3.4</v>
      </c>
      <c r="L269" s="2" t="inlineStr">
        <is>
          <t>Active</t>
        </is>
      </c>
    </row>
    <row r="270">
      <c r="A270" s="2" t="inlineStr">
        <is>
          <t>EMP00448</t>
        </is>
      </c>
      <c r="B270" s="2" t="inlineStr">
        <is>
          <t>Finance</t>
        </is>
      </c>
      <c r="C270" s="2" t="inlineStr">
        <is>
          <t>Accountant</t>
        </is>
      </c>
      <c r="D270" s="2" t="n">
        <v>29</v>
      </c>
      <c r="E270" s="2" t="n">
        <v>2.4</v>
      </c>
      <c r="F270" s="2" t="n">
        <v>749000</v>
      </c>
      <c r="G270" s="2" t="inlineStr">
        <is>
          <t>No</t>
        </is>
      </c>
      <c r="H270" s="2" t="n">
        <v>50</v>
      </c>
      <c r="I270" s="2" t="n">
        <v>4.2</v>
      </c>
      <c r="J270" s="2" t="n">
        <v>1</v>
      </c>
      <c r="K270" s="2" t="n">
        <v>2.1</v>
      </c>
      <c r="L270" s="2" t="inlineStr">
        <is>
          <t>Active</t>
        </is>
      </c>
    </row>
    <row r="271">
      <c r="A271" s="2" t="inlineStr">
        <is>
          <t>EMP00652</t>
        </is>
      </c>
      <c r="B271" s="2" t="inlineStr">
        <is>
          <t>Customer Support</t>
        </is>
      </c>
      <c r="C271" s="2" t="inlineStr">
        <is>
          <t>Support Associate</t>
        </is>
      </c>
      <c r="D271" s="2" t="n">
        <v>25</v>
      </c>
      <c r="E271" s="2" t="n">
        <v>0.5</v>
      </c>
      <c r="F271" s="2" t="n">
        <v>504000</v>
      </c>
      <c r="G271" s="2" t="inlineStr">
        <is>
          <t>No</t>
        </is>
      </c>
      <c r="H271" s="2" t="n">
        <v>7</v>
      </c>
      <c r="I271" s="2" t="n">
        <v>3.2</v>
      </c>
      <c r="J271" s="2" t="n">
        <v>3.2</v>
      </c>
      <c r="K271" s="2" t="n">
        <v>2.3</v>
      </c>
      <c r="L271" s="2" t="inlineStr">
        <is>
          <t>Active</t>
        </is>
      </c>
    </row>
    <row r="272">
      <c r="A272" s="2" t="inlineStr">
        <is>
          <t>EMP01053</t>
        </is>
      </c>
      <c r="B272" s="2" t="inlineStr">
        <is>
          <t>Engineering</t>
        </is>
      </c>
      <c r="C272" s="2" t="inlineStr">
        <is>
          <t>Senior Engineer</t>
        </is>
      </c>
      <c r="D272" s="2" t="n">
        <v>53</v>
      </c>
      <c r="E272" s="2" t="n">
        <v>6.9</v>
      </c>
      <c r="F272" s="2" t="n">
        <v>1189000</v>
      </c>
      <c r="G272" s="2" t="inlineStr">
        <is>
          <t>Yes</t>
        </is>
      </c>
      <c r="H272" s="2" t="n">
        <v>17</v>
      </c>
      <c r="I272" s="2" t="n">
        <v>2.9</v>
      </c>
      <c r="J272" s="2" t="n">
        <v>1.3</v>
      </c>
      <c r="K272" s="2" t="n">
        <v>4</v>
      </c>
      <c r="L272" s="2" t="inlineStr">
        <is>
          <t>Active</t>
        </is>
      </c>
    </row>
    <row r="273">
      <c r="A273" s="2" t="inlineStr">
        <is>
          <t>EMP00501</t>
        </is>
      </c>
      <c r="B273" s="2" t="inlineStr">
        <is>
          <t>Finance</t>
        </is>
      </c>
      <c r="C273" s="2" t="inlineStr">
        <is>
          <t>Accountant</t>
        </is>
      </c>
      <c r="D273" s="2" t="n">
        <v>35</v>
      </c>
      <c r="E273" s="2" t="n">
        <v>2.6</v>
      </c>
      <c r="F273" s="2" t="n">
        <v>935000</v>
      </c>
      <c r="G273" s="2" t="inlineStr">
        <is>
          <t>No</t>
        </is>
      </c>
      <c r="H273" s="2" t="n">
        <v>41</v>
      </c>
      <c r="I273" s="2" t="n">
        <v>3.2</v>
      </c>
      <c r="J273" s="2" t="n">
        <v>1.9</v>
      </c>
      <c r="K273" s="2" t="n">
        <v>3.7</v>
      </c>
      <c r="L273" s="2" t="inlineStr">
        <is>
          <t>Active</t>
        </is>
      </c>
    </row>
    <row r="274">
      <c r="A274" s="2" t="inlineStr">
        <is>
          <t>EMP00805</t>
        </is>
      </c>
      <c r="B274" s="2" t="inlineStr">
        <is>
          <t>Sales</t>
        </is>
      </c>
      <c r="C274" s="2" t="inlineStr">
        <is>
          <t>Sales Executive</t>
        </is>
      </c>
      <c r="D274" s="2" t="n">
        <v>41</v>
      </c>
      <c r="E274" s="2" t="n">
        <v>9.800000000000001</v>
      </c>
      <c r="F274" s="2" t="n">
        <v>1092000</v>
      </c>
      <c r="G274" s="2" t="inlineStr">
        <is>
          <t>No</t>
        </is>
      </c>
      <c r="H274" s="2" t="n">
        <v>20</v>
      </c>
      <c r="I274" s="2" t="n">
        <v>4.1</v>
      </c>
      <c r="J274" s="2" t="n">
        <v>2.7</v>
      </c>
      <c r="K274" s="2" t="n">
        <v>4.1</v>
      </c>
      <c r="L274" s="2" t="inlineStr">
        <is>
          <t>Active</t>
        </is>
      </c>
    </row>
    <row r="275">
      <c r="A275" s="2" t="inlineStr">
        <is>
          <t>EMP01077</t>
        </is>
      </c>
      <c r="B275" s="2" t="inlineStr">
        <is>
          <t>Operations</t>
        </is>
      </c>
      <c r="C275" s="2" t="inlineStr">
        <is>
          <t>Ops Manager</t>
        </is>
      </c>
      <c r="D275" s="2" t="n">
        <v>25</v>
      </c>
      <c r="E275" s="2" t="n">
        <v>3.5</v>
      </c>
      <c r="F275" s="2" t="n">
        <v>618000</v>
      </c>
      <c r="G275" s="2" t="inlineStr">
        <is>
          <t>No</t>
        </is>
      </c>
      <c r="H275" s="2" t="n">
        <v>18</v>
      </c>
      <c r="I275" s="2" t="n">
        <v>3.5</v>
      </c>
      <c r="J275" s="2" t="n">
        <v>4.7</v>
      </c>
      <c r="K275" s="2" t="n">
        <v>3.4</v>
      </c>
      <c r="L275" s="2" t="inlineStr">
        <is>
          <t>Active</t>
        </is>
      </c>
    </row>
    <row r="276">
      <c r="A276" s="2" t="inlineStr">
        <is>
          <t>EMP00095</t>
        </is>
      </c>
      <c r="B276" s="2" t="inlineStr">
        <is>
          <t>Engineering</t>
        </is>
      </c>
      <c r="C276" s="2" t="inlineStr">
        <is>
          <t>Senior Engineer</t>
        </is>
      </c>
      <c r="D276" s="2" t="n">
        <v>31</v>
      </c>
      <c r="E276" s="2" t="n">
        <v>1.7</v>
      </c>
      <c r="F276" s="2" t="n">
        <v>1062000</v>
      </c>
      <c r="G276" s="2" t="inlineStr">
        <is>
          <t>No</t>
        </is>
      </c>
      <c r="H276" s="2" t="n">
        <v>26</v>
      </c>
      <c r="I276" s="2" t="n">
        <v>4.4</v>
      </c>
      <c r="J276" s="2" t="n">
        <v>3.9</v>
      </c>
      <c r="K276" s="2" t="n">
        <v>2.8</v>
      </c>
      <c r="L276" s="2" t="inlineStr">
        <is>
          <t>Active</t>
        </is>
      </c>
    </row>
    <row r="277">
      <c r="A277" s="2" t="inlineStr">
        <is>
          <t>EMP00096</t>
        </is>
      </c>
      <c r="B277" s="2" t="inlineStr">
        <is>
          <t>Finance</t>
        </is>
      </c>
      <c r="C277" s="2" t="inlineStr">
        <is>
          <t>Financial Analyst</t>
        </is>
      </c>
      <c r="D277" s="2" t="n">
        <v>40</v>
      </c>
      <c r="E277" s="2" t="n">
        <v>1.2</v>
      </c>
      <c r="F277" s="2" t="n">
        <v>818000</v>
      </c>
      <c r="G277" s="2" t="inlineStr">
        <is>
          <t>No</t>
        </is>
      </c>
      <c r="H277" s="2" t="n">
        <v>16</v>
      </c>
      <c r="I277" s="2" t="n">
        <v>3</v>
      </c>
      <c r="J277" s="2" t="n">
        <v>4.1</v>
      </c>
      <c r="K277" s="2" t="n">
        <v>2.8</v>
      </c>
      <c r="L277" s="2" t="inlineStr">
        <is>
          <t>Active</t>
        </is>
      </c>
    </row>
    <row r="278">
      <c r="A278" s="2" t="inlineStr">
        <is>
          <t>EMP00309</t>
        </is>
      </c>
      <c r="B278" s="2" t="inlineStr">
        <is>
          <t>Engineering</t>
        </is>
      </c>
      <c r="C278" s="2" t="inlineStr">
        <is>
          <t>Engineering Manager</t>
        </is>
      </c>
      <c r="D278" s="2" t="n">
        <v>31</v>
      </c>
      <c r="E278" s="2" t="n">
        <v>0.4</v>
      </c>
      <c r="F278" s="2" t="n">
        <v>929000</v>
      </c>
      <c r="G278" s="2" t="inlineStr">
        <is>
          <t>Yes</t>
        </is>
      </c>
      <c r="H278" s="2" t="n">
        <v>27</v>
      </c>
      <c r="I278" s="2" t="n">
        <v>3.1</v>
      </c>
      <c r="J278" s="2" t="n">
        <v>3.1</v>
      </c>
      <c r="K278" s="2" t="n">
        <v>3.1</v>
      </c>
      <c r="L278" s="2" t="inlineStr">
        <is>
          <t>Active</t>
        </is>
      </c>
    </row>
    <row r="279">
      <c r="A279" s="2" t="inlineStr">
        <is>
          <t>EMP00747</t>
        </is>
      </c>
      <c r="B279" s="2" t="inlineStr">
        <is>
          <t>Engineering</t>
        </is>
      </c>
      <c r="C279" s="2" t="inlineStr">
        <is>
          <t>Senior Engineer</t>
        </is>
      </c>
      <c r="D279" s="2" t="n">
        <v>38</v>
      </c>
      <c r="E279" s="2" t="n">
        <v>4</v>
      </c>
      <c r="F279" s="2" t="n">
        <v>1231000</v>
      </c>
      <c r="G279" s="2" t="inlineStr">
        <is>
          <t>No</t>
        </is>
      </c>
      <c r="H279" s="2" t="n">
        <v>7</v>
      </c>
      <c r="I279" s="2" t="n">
        <v>3.8</v>
      </c>
      <c r="J279" s="2" t="n">
        <v>4.2</v>
      </c>
      <c r="K279" s="2" t="n">
        <v>2.5</v>
      </c>
      <c r="L279" s="2" t="inlineStr">
        <is>
          <t>Active</t>
        </is>
      </c>
    </row>
    <row r="280">
      <c r="A280" s="2" t="inlineStr">
        <is>
          <t>EMP00490</t>
        </is>
      </c>
      <c r="B280" s="2" t="inlineStr">
        <is>
          <t>Operations</t>
        </is>
      </c>
      <c r="C280" s="2" t="inlineStr">
        <is>
          <t>Ops Analyst</t>
        </is>
      </c>
      <c r="D280" s="2" t="n">
        <v>21</v>
      </c>
      <c r="E280" s="2" t="n">
        <v>2.2</v>
      </c>
      <c r="F280" s="2" t="n">
        <v>744000</v>
      </c>
      <c r="G280" s="2" t="inlineStr">
        <is>
          <t>No</t>
        </is>
      </c>
      <c r="H280" s="2" t="n">
        <v>38</v>
      </c>
      <c r="I280" s="2" t="n">
        <v>4.5</v>
      </c>
      <c r="J280" s="2" t="n">
        <v>3.2</v>
      </c>
      <c r="K280" s="2" t="n">
        <v>3.2</v>
      </c>
      <c r="L280" s="2" t="inlineStr">
        <is>
          <t>Active</t>
        </is>
      </c>
    </row>
    <row r="281">
      <c r="A281" s="2" t="inlineStr">
        <is>
          <t>EMP00603</t>
        </is>
      </c>
      <c r="B281" s="2" t="inlineStr">
        <is>
          <t>Customer Support</t>
        </is>
      </c>
      <c r="C281" s="2" t="inlineStr">
        <is>
          <t>Support Manager</t>
        </is>
      </c>
      <c r="D281" s="2" t="n">
        <v>37</v>
      </c>
      <c r="E281" s="2" t="n">
        <v>1.8</v>
      </c>
      <c r="F281" s="2" t="n">
        <v>494000</v>
      </c>
      <c r="G281" s="2" t="inlineStr">
        <is>
          <t>No</t>
        </is>
      </c>
      <c r="H281" s="2" t="n">
        <v>9</v>
      </c>
      <c r="I281" s="2" t="n">
        <v>1.7</v>
      </c>
      <c r="J281" s="2" t="n">
        <v>3.8</v>
      </c>
      <c r="K281" s="2" t="n">
        <v>3.9</v>
      </c>
      <c r="L281" s="2" t="inlineStr">
        <is>
          <t>Active</t>
        </is>
      </c>
    </row>
    <row r="282">
      <c r="A282" s="2" t="inlineStr">
        <is>
          <t>EMP00059</t>
        </is>
      </c>
      <c r="B282" s="2" t="inlineStr">
        <is>
          <t>Sales</t>
        </is>
      </c>
      <c r="C282" s="2" t="inlineStr">
        <is>
          <t>Account Manager</t>
        </is>
      </c>
      <c r="D282" s="2" t="n">
        <v>42</v>
      </c>
      <c r="E282" s="2" t="n">
        <v>9.5</v>
      </c>
      <c r="F282" s="2" t="n">
        <v>927000</v>
      </c>
      <c r="G282" s="2" t="inlineStr">
        <is>
          <t>No</t>
        </is>
      </c>
      <c r="H282" s="2" t="n">
        <v>6</v>
      </c>
      <c r="I282" s="2" t="n">
        <v>3.4</v>
      </c>
      <c r="J282" s="2" t="n">
        <v>3.1</v>
      </c>
      <c r="K282" s="2" t="n">
        <v>2.9</v>
      </c>
      <c r="L282" s="2" t="inlineStr">
        <is>
          <t>Active</t>
        </is>
      </c>
    </row>
    <row r="283">
      <c r="A283" s="2" t="inlineStr">
        <is>
          <t>EMP00066</t>
        </is>
      </c>
      <c r="B283" s="2" t="inlineStr">
        <is>
          <t>Operations</t>
        </is>
      </c>
      <c r="C283" s="2" t="inlineStr">
        <is>
          <t>Ops Analyst</t>
        </is>
      </c>
      <c r="D283" s="2" t="n">
        <v>36</v>
      </c>
      <c r="E283" s="2" t="n">
        <v>1.5</v>
      </c>
      <c r="F283" s="2" t="n">
        <v>581000</v>
      </c>
      <c r="G283" s="2" t="inlineStr">
        <is>
          <t>No</t>
        </is>
      </c>
      <c r="H283" s="2" t="n">
        <v>42</v>
      </c>
      <c r="I283" s="2" t="n">
        <v>3.5</v>
      </c>
      <c r="J283" s="2" t="n">
        <v>3.1</v>
      </c>
      <c r="K283" s="2" t="n">
        <v>4.2</v>
      </c>
      <c r="L283" s="2" t="inlineStr">
        <is>
          <t>Active</t>
        </is>
      </c>
    </row>
    <row r="284">
      <c r="A284" s="2" t="inlineStr">
        <is>
          <t>EMP00326</t>
        </is>
      </c>
      <c r="B284" s="2" t="inlineStr">
        <is>
          <t>Finance</t>
        </is>
      </c>
      <c r="C284" s="2" t="inlineStr">
        <is>
          <t>Accountant</t>
        </is>
      </c>
      <c r="D284" s="2" t="n">
        <v>41</v>
      </c>
      <c r="E284" s="2" t="n">
        <v>3.2</v>
      </c>
      <c r="F284" s="2" t="n">
        <v>786000</v>
      </c>
      <c r="G284" s="2" t="inlineStr">
        <is>
          <t>No</t>
        </is>
      </c>
      <c r="H284" s="2" t="n">
        <v>14</v>
      </c>
      <c r="I284" s="2" t="n">
        <v>2.7</v>
      </c>
      <c r="J284" s="2" t="n">
        <v>2.9</v>
      </c>
      <c r="K284" s="2" t="n">
        <v>3.7</v>
      </c>
      <c r="L284" s="2" t="inlineStr">
        <is>
          <t>Active</t>
        </is>
      </c>
    </row>
    <row r="285">
      <c r="A285" s="2" t="inlineStr">
        <is>
          <t>EMP00518</t>
        </is>
      </c>
      <c r="B285" s="2" t="inlineStr">
        <is>
          <t>HR</t>
        </is>
      </c>
      <c r="C285" s="2" t="inlineStr">
        <is>
          <t>HR Manager</t>
        </is>
      </c>
      <c r="D285" s="2" t="n">
        <v>42</v>
      </c>
      <c r="E285" s="2" t="n">
        <v>0.4</v>
      </c>
      <c r="F285" s="2" t="n">
        <v>498000</v>
      </c>
      <c r="G285" s="2" t="inlineStr">
        <is>
          <t>Yes</t>
        </is>
      </c>
      <c r="H285" s="2" t="n">
        <v>13</v>
      </c>
      <c r="I285" s="2" t="n">
        <v>4.1</v>
      </c>
      <c r="J285" s="2" t="n">
        <v>3.8</v>
      </c>
      <c r="K285" s="2" t="n">
        <v>4.7</v>
      </c>
      <c r="L285" s="2" t="inlineStr">
        <is>
          <t>Active</t>
        </is>
      </c>
    </row>
    <row r="286">
      <c r="A286" s="2" t="inlineStr">
        <is>
          <t>EMP00025</t>
        </is>
      </c>
      <c r="B286" s="2" t="inlineStr">
        <is>
          <t>HR</t>
        </is>
      </c>
      <c r="C286" s="2" t="inlineStr">
        <is>
          <t>Recruiter</t>
        </is>
      </c>
      <c r="D286" s="2" t="n">
        <v>32</v>
      </c>
      <c r="E286" s="2" t="n">
        <v>2.1</v>
      </c>
      <c r="F286" s="2" t="n">
        <v>682000</v>
      </c>
      <c r="G286" s="2" t="inlineStr">
        <is>
          <t>Yes</t>
        </is>
      </c>
      <c r="H286" s="2" t="n">
        <v>52</v>
      </c>
      <c r="I286" s="2" t="n">
        <v>5</v>
      </c>
      <c r="J286" s="2" t="n">
        <v>1.3</v>
      </c>
      <c r="K286" s="2" t="n">
        <v>1</v>
      </c>
      <c r="L286" s="2" t="inlineStr">
        <is>
          <t>Active</t>
        </is>
      </c>
    </row>
    <row r="287">
      <c r="A287" s="2" t="inlineStr">
        <is>
          <t>EMP01024</t>
        </is>
      </c>
      <c r="B287" s="2" t="inlineStr">
        <is>
          <t>Operations</t>
        </is>
      </c>
      <c r="C287" s="2" t="inlineStr">
        <is>
          <t>Ops Manager</t>
        </is>
      </c>
      <c r="D287" s="2" t="n">
        <v>21</v>
      </c>
      <c r="E287" s="2" t="n">
        <v>2.3</v>
      </c>
      <c r="F287" s="2" t="n">
        <v>591000</v>
      </c>
      <c r="G287" s="2" t="inlineStr">
        <is>
          <t>Yes</t>
        </is>
      </c>
      <c r="H287" s="2" t="n">
        <v>51</v>
      </c>
      <c r="I287" s="2" t="n">
        <v>2.9</v>
      </c>
      <c r="J287" s="2" t="n">
        <v>3.7</v>
      </c>
      <c r="K287" s="2" t="n">
        <v>2.8</v>
      </c>
      <c r="L287" s="2" t="inlineStr">
        <is>
          <t>Active</t>
        </is>
      </c>
    </row>
    <row r="288">
      <c r="A288" s="2" t="inlineStr">
        <is>
          <t>EMP00245</t>
        </is>
      </c>
      <c r="B288" s="2" t="inlineStr">
        <is>
          <t>Finance</t>
        </is>
      </c>
      <c r="C288" s="2" t="inlineStr">
        <is>
          <t>Accountant</t>
        </is>
      </c>
      <c r="D288" s="2" t="n">
        <v>42</v>
      </c>
      <c r="E288" s="2" t="n">
        <v>6.3</v>
      </c>
      <c r="F288" s="2" t="n">
        <v>905000</v>
      </c>
      <c r="G288" s="2" t="inlineStr">
        <is>
          <t>No</t>
        </is>
      </c>
      <c r="H288" s="2" t="n">
        <v>9</v>
      </c>
      <c r="I288" s="2" t="n">
        <v>3.6</v>
      </c>
      <c r="J288" s="2" t="n">
        <v>4.7</v>
      </c>
      <c r="K288" s="2" t="n">
        <v>3</v>
      </c>
      <c r="L288" s="2" t="inlineStr">
        <is>
          <t>Active</t>
        </is>
      </c>
    </row>
    <row r="289">
      <c r="A289" s="2" t="inlineStr">
        <is>
          <t>EMP00223</t>
        </is>
      </c>
      <c r="B289" s="2" t="inlineStr">
        <is>
          <t>Finance</t>
        </is>
      </c>
      <c r="C289" s="2" t="inlineStr">
        <is>
          <t>Financial Analyst</t>
        </is>
      </c>
      <c r="D289" s="2" t="n">
        <v>46</v>
      </c>
      <c r="E289" s="2" t="n">
        <v>1.4</v>
      </c>
      <c r="F289" s="2" t="n">
        <v>857000</v>
      </c>
      <c r="G289" s="2" t="inlineStr">
        <is>
          <t>No</t>
        </is>
      </c>
      <c r="H289" s="2" t="n">
        <v>35</v>
      </c>
      <c r="I289" s="2" t="n">
        <v>3.9</v>
      </c>
      <c r="J289" s="2" t="n">
        <v>5</v>
      </c>
      <c r="K289" s="2" t="n">
        <v>3.3</v>
      </c>
      <c r="L289" s="2" t="inlineStr">
        <is>
          <t>Active</t>
        </is>
      </c>
    </row>
    <row r="290">
      <c r="A290" s="2" t="inlineStr">
        <is>
          <t>EMP00604</t>
        </is>
      </c>
      <c r="B290" s="2" t="inlineStr">
        <is>
          <t>Finance</t>
        </is>
      </c>
      <c r="C290" s="2" t="inlineStr">
        <is>
          <t>Finance Manager</t>
        </is>
      </c>
      <c r="D290" s="2" t="n">
        <v>35</v>
      </c>
      <c r="E290" s="2" t="n">
        <v>2.8</v>
      </c>
      <c r="F290" s="2" t="n">
        <v>995000</v>
      </c>
      <c r="G290" s="2" t="inlineStr">
        <is>
          <t>No</t>
        </is>
      </c>
      <c r="H290" s="2" t="n">
        <v>59</v>
      </c>
      <c r="I290" s="2" t="n">
        <v>4.1</v>
      </c>
      <c r="J290" s="2" t="n">
        <v>5</v>
      </c>
      <c r="K290" s="2" t="n">
        <v>3.5</v>
      </c>
      <c r="L290" s="2" t="inlineStr">
        <is>
          <t>Active</t>
        </is>
      </c>
    </row>
    <row r="291">
      <c r="A291" s="2" t="inlineStr">
        <is>
          <t>EMP00106</t>
        </is>
      </c>
      <c r="B291" s="2" t="inlineStr">
        <is>
          <t>Finance</t>
        </is>
      </c>
      <c r="C291" s="2" t="inlineStr">
        <is>
          <t>Financial Analyst</t>
        </is>
      </c>
      <c r="D291" s="2" t="n">
        <v>30</v>
      </c>
      <c r="E291" s="2" t="n">
        <v>5.2</v>
      </c>
      <c r="F291" s="2" t="n">
        <v>903000</v>
      </c>
      <c r="G291" s="2" t="inlineStr">
        <is>
          <t>Yes</t>
        </is>
      </c>
      <c r="H291" s="2" t="n">
        <v>42</v>
      </c>
      <c r="I291" s="2" t="n">
        <v>2.7</v>
      </c>
      <c r="J291" s="2" t="n">
        <v>3.4</v>
      </c>
      <c r="K291" s="2" t="n">
        <v>3.1</v>
      </c>
      <c r="L291" s="2" t="inlineStr">
        <is>
          <t>Active</t>
        </is>
      </c>
    </row>
    <row r="292">
      <c r="A292" s="2" t="inlineStr">
        <is>
          <t>EMP01086</t>
        </is>
      </c>
      <c r="B292" s="2" t="inlineStr">
        <is>
          <t>HR</t>
        </is>
      </c>
      <c r="C292" s="2" t="inlineStr">
        <is>
          <t>HR Generalist</t>
        </is>
      </c>
      <c r="D292" s="2" t="n">
        <v>23</v>
      </c>
      <c r="E292" s="2" t="n">
        <v>2.8</v>
      </c>
      <c r="F292" s="2" t="n">
        <v>613000</v>
      </c>
      <c r="G292" s="2" t="inlineStr">
        <is>
          <t>No</t>
        </is>
      </c>
      <c r="H292" s="2" t="n">
        <v>10</v>
      </c>
      <c r="I292" s="2" t="n">
        <v>2</v>
      </c>
      <c r="J292" s="2" t="n">
        <v>4.5</v>
      </c>
      <c r="K292" s="2" t="n">
        <v>3</v>
      </c>
      <c r="L292" s="2" t="inlineStr">
        <is>
          <t>Active</t>
        </is>
      </c>
    </row>
    <row r="293">
      <c r="A293" s="2" t="inlineStr">
        <is>
          <t>EMP00131</t>
        </is>
      </c>
      <c r="B293" s="2" t="inlineStr">
        <is>
          <t>Sales</t>
        </is>
      </c>
      <c r="C293" s="2" t="inlineStr">
        <is>
          <t>Sales Manager</t>
        </is>
      </c>
      <c r="D293" s="2" t="n">
        <v>34</v>
      </c>
      <c r="E293" s="2" t="n">
        <v>0.7</v>
      </c>
      <c r="F293" s="2" t="n">
        <v>655000</v>
      </c>
      <c r="G293" s="2" t="inlineStr">
        <is>
          <t>No</t>
        </is>
      </c>
      <c r="H293" s="2" t="n">
        <v>41</v>
      </c>
      <c r="I293" s="2" t="n">
        <v>2.4</v>
      </c>
      <c r="J293" s="2" t="n">
        <v>2.8</v>
      </c>
      <c r="K293" s="2" t="n">
        <v>3.8</v>
      </c>
      <c r="L293" s="2" t="inlineStr">
        <is>
          <t>Active</t>
        </is>
      </c>
    </row>
    <row r="294">
      <c r="A294" s="2" t="inlineStr">
        <is>
          <t>EMP00154</t>
        </is>
      </c>
      <c r="B294" s="2" t="inlineStr">
        <is>
          <t>Operations</t>
        </is>
      </c>
      <c r="C294" s="2" t="inlineStr">
        <is>
          <t>Ops Analyst</t>
        </is>
      </c>
      <c r="D294" s="2" t="n">
        <v>39</v>
      </c>
      <c r="E294" s="2" t="n">
        <v>2.3</v>
      </c>
      <c r="F294" s="2" t="n">
        <v>607000</v>
      </c>
      <c r="G294" s="2" t="inlineStr">
        <is>
          <t>No</t>
        </is>
      </c>
      <c r="H294" s="2" t="n">
        <v>57</v>
      </c>
      <c r="I294" s="2" t="n">
        <v>2.9</v>
      </c>
      <c r="J294" s="2" t="n">
        <v>3.3</v>
      </c>
      <c r="K294" s="2" t="n">
        <v>3.3</v>
      </c>
      <c r="L294" s="2" t="inlineStr">
        <is>
          <t>Active</t>
        </is>
      </c>
    </row>
    <row r="295">
      <c r="A295" s="2" t="inlineStr">
        <is>
          <t>EMP01079</t>
        </is>
      </c>
      <c r="B295" s="2" t="inlineStr">
        <is>
          <t>Finance</t>
        </is>
      </c>
      <c r="C295" s="2" t="inlineStr">
        <is>
          <t>Accountant</t>
        </is>
      </c>
      <c r="D295" s="2" t="n">
        <v>39</v>
      </c>
      <c r="E295" s="2" t="n">
        <v>7.9</v>
      </c>
      <c r="F295" s="2" t="n">
        <v>1226000</v>
      </c>
      <c r="G295" s="2" t="inlineStr">
        <is>
          <t>No</t>
        </is>
      </c>
      <c r="H295" s="2" t="n">
        <v>20</v>
      </c>
      <c r="I295" s="2" t="n">
        <v>4</v>
      </c>
      <c r="J295" s="2" t="n">
        <v>3.9</v>
      </c>
      <c r="K295" s="2" t="n">
        <v>3.4</v>
      </c>
      <c r="L295" s="2" t="inlineStr">
        <is>
          <t>Active</t>
        </is>
      </c>
    </row>
    <row r="296">
      <c r="A296" s="2" t="inlineStr">
        <is>
          <t>EMP00973</t>
        </is>
      </c>
      <c r="B296" s="2" t="inlineStr">
        <is>
          <t>Sales</t>
        </is>
      </c>
      <c r="C296" s="2" t="inlineStr">
        <is>
          <t>Sales Executive</t>
        </is>
      </c>
      <c r="D296" s="2" t="n">
        <v>46</v>
      </c>
      <c r="E296" s="2" t="n">
        <v>4.9</v>
      </c>
      <c r="F296" s="2" t="n">
        <v>934000</v>
      </c>
      <c r="G296" s="2" t="inlineStr">
        <is>
          <t>No</t>
        </is>
      </c>
      <c r="H296" s="2" t="n">
        <v>40</v>
      </c>
      <c r="I296" s="2" t="n">
        <v>3.2</v>
      </c>
      <c r="J296" s="2" t="n">
        <v>4.2</v>
      </c>
      <c r="K296" s="2" t="n">
        <v>3.9</v>
      </c>
      <c r="L296" s="2" t="inlineStr">
        <is>
          <t>Active</t>
        </is>
      </c>
    </row>
    <row r="297">
      <c r="A297" s="2" t="inlineStr">
        <is>
          <t>EMP00871</t>
        </is>
      </c>
      <c r="B297" s="2" t="inlineStr">
        <is>
          <t>HR</t>
        </is>
      </c>
      <c r="C297" s="2" t="inlineStr">
        <is>
          <t>HR Generalist</t>
        </is>
      </c>
      <c r="D297" s="2" t="n">
        <v>36</v>
      </c>
      <c r="E297" s="2" t="n">
        <v>4.2</v>
      </c>
      <c r="F297" s="2" t="n">
        <v>731000</v>
      </c>
      <c r="G297" s="2" t="inlineStr">
        <is>
          <t>Yes</t>
        </is>
      </c>
      <c r="H297" s="2" t="n">
        <v>13</v>
      </c>
      <c r="I297" s="2" t="n">
        <v>4.5</v>
      </c>
      <c r="J297" s="2" t="n">
        <v>1.8</v>
      </c>
      <c r="K297" s="2" t="n">
        <v>2.9</v>
      </c>
      <c r="L297" s="2" t="inlineStr">
        <is>
          <t>Active</t>
        </is>
      </c>
    </row>
    <row r="298">
      <c r="A298" s="2" t="inlineStr">
        <is>
          <t>EMP00978</t>
        </is>
      </c>
      <c r="B298" s="2" t="inlineStr">
        <is>
          <t>Engineering</t>
        </is>
      </c>
      <c r="C298" s="2" t="inlineStr">
        <is>
          <t>Senior Engineer</t>
        </is>
      </c>
      <c r="D298" s="2" t="n">
        <v>30</v>
      </c>
      <c r="E298" s="2" t="n">
        <v>4.9</v>
      </c>
      <c r="F298" s="2" t="n">
        <v>1288000</v>
      </c>
      <c r="G298" s="2" t="inlineStr">
        <is>
          <t>No</t>
        </is>
      </c>
      <c r="H298" s="2" t="n">
        <v>59</v>
      </c>
      <c r="I298" s="2" t="n">
        <v>4.7</v>
      </c>
      <c r="J298" s="2" t="n">
        <v>2.4</v>
      </c>
      <c r="K298" s="2" t="n">
        <v>1.9</v>
      </c>
      <c r="L298" s="2" t="inlineStr">
        <is>
          <t>Active</t>
        </is>
      </c>
    </row>
    <row r="299">
      <c r="A299" s="2" t="inlineStr">
        <is>
          <t>EMP00076</t>
        </is>
      </c>
      <c r="B299" s="2" t="inlineStr">
        <is>
          <t>Engineering</t>
        </is>
      </c>
      <c r="C299" s="2" t="inlineStr">
        <is>
          <t>Senior Engineer</t>
        </is>
      </c>
      <c r="D299" s="2" t="n">
        <v>21</v>
      </c>
      <c r="E299" s="2" t="n">
        <v>4.3</v>
      </c>
      <c r="F299" s="2" t="n">
        <v>1357000</v>
      </c>
      <c r="G299" s="2" t="inlineStr">
        <is>
          <t>No</t>
        </is>
      </c>
      <c r="H299" s="2" t="n">
        <v>25</v>
      </c>
      <c r="I299" s="2" t="n">
        <v>4.7</v>
      </c>
      <c r="J299" s="2" t="n">
        <v>4</v>
      </c>
      <c r="K299" s="2" t="n">
        <v>4.2</v>
      </c>
      <c r="L299" s="2" t="inlineStr">
        <is>
          <t>Active</t>
        </is>
      </c>
    </row>
    <row r="300">
      <c r="A300" s="2" t="inlineStr">
        <is>
          <t>EMP01133</t>
        </is>
      </c>
      <c r="B300" s="2" t="inlineStr">
        <is>
          <t>Sales</t>
        </is>
      </c>
      <c r="C300" s="2" t="inlineStr">
        <is>
          <t>Sales Executive</t>
        </is>
      </c>
      <c r="D300" s="2" t="n">
        <v>33</v>
      </c>
      <c r="E300" s="2" t="n">
        <v>2.6</v>
      </c>
      <c r="F300" s="2" t="n">
        <v>685000</v>
      </c>
      <c r="G300" s="2" t="inlineStr">
        <is>
          <t>Yes</t>
        </is>
      </c>
      <c r="H300" s="2" t="n">
        <v>31</v>
      </c>
      <c r="I300" s="2" t="n">
        <v>3.6</v>
      </c>
      <c r="J300" s="2" t="n">
        <v>4</v>
      </c>
      <c r="K300" s="2" t="n">
        <v>3</v>
      </c>
      <c r="L300" s="2" t="inlineStr">
        <is>
          <t>Resigned</t>
        </is>
      </c>
    </row>
    <row r="301">
      <c r="A301" s="2" t="inlineStr">
        <is>
          <t>EMP01070</t>
        </is>
      </c>
      <c r="B301" s="2" t="inlineStr">
        <is>
          <t>Engineering</t>
        </is>
      </c>
      <c r="C301" s="2" t="inlineStr">
        <is>
          <t>Engineering Manager</t>
        </is>
      </c>
      <c r="D301" s="2" t="n">
        <v>34</v>
      </c>
      <c r="E301" s="2" t="n">
        <v>2.3</v>
      </c>
      <c r="F301" s="2" t="n">
        <v>1230000</v>
      </c>
      <c r="G301" s="2" t="inlineStr">
        <is>
          <t>No</t>
        </is>
      </c>
      <c r="H301" s="2" t="n">
        <v>52</v>
      </c>
      <c r="I301" s="2" t="n">
        <v>2.8</v>
      </c>
      <c r="J301" s="2" t="n">
        <v>4.4</v>
      </c>
      <c r="K301" s="2" t="n">
        <v>3.6</v>
      </c>
      <c r="L301" s="2" t="inlineStr">
        <is>
          <t>Active</t>
        </is>
      </c>
    </row>
    <row r="302">
      <c r="A302" s="2" t="inlineStr">
        <is>
          <t>EMP00923</t>
        </is>
      </c>
      <c r="B302" s="2" t="inlineStr">
        <is>
          <t>Finance</t>
        </is>
      </c>
      <c r="C302" s="2" t="inlineStr">
        <is>
          <t>Finance Manager</t>
        </is>
      </c>
      <c r="D302" s="2" t="n">
        <v>33</v>
      </c>
      <c r="E302" s="2" t="n">
        <v>1.8</v>
      </c>
      <c r="F302" s="2" t="n">
        <v>734000</v>
      </c>
      <c r="G302" s="2" t="inlineStr">
        <is>
          <t>No</t>
        </is>
      </c>
      <c r="H302" s="2" t="n">
        <v>25</v>
      </c>
      <c r="I302" s="2" t="n">
        <v>3</v>
      </c>
      <c r="J302" s="2" t="n">
        <v>4.4</v>
      </c>
      <c r="K302" s="2" t="n">
        <v>1.9</v>
      </c>
      <c r="L302" s="2" t="inlineStr">
        <is>
          <t>Resigned</t>
        </is>
      </c>
    </row>
    <row r="303">
      <c r="A303" s="2" t="inlineStr">
        <is>
          <t>EMP00317</t>
        </is>
      </c>
      <c r="B303" s="2" t="inlineStr">
        <is>
          <t>Engineering</t>
        </is>
      </c>
      <c r="C303" s="2" t="inlineStr">
        <is>
          <t>Senior Engineer</t>
        </is>
      </c>
      <c r="D303" s="2" t="n">
        <v>21</v>
      </c>
      <c r="E303" s="2" t="n">
        <v>3.7</v>
      </c>
      <c r="F303" s="2" t="n">
        <v>1226000</v>
      </c>
      <c r="G303" s="2" t="inlineStr">
        <is>
          <t>No</t>
        </is>
      </c>
      <c r="H303" s="2" t="n">
        <v>52</v>
      </c>
      <c r="I303" s="2" t="n">
        <v>4.1</v>
      </c>
      <c r="J303" s="2" t="n">
        <v>3.4</v>
      </c>
      <c r="K303" s="2" t="n">
        <v>4.5</v>
      </c>
      <c r="L303" s="2" t="inlineStr">
        <is>
          <t>Active</t>
        </is>
      </c>
    </row>
    <row r="304">
      <c r="A304" s="2" t="inlineStr">
        <is>
          <t>EMP00985</t>
        </is>
      </c>
      <c r="B304" s="2" t="inlineStr">
        <is>
          <t>Sales</t>
        </is>
      </c>
      <c r="C304" s="2" t="inlineStr">
        <is>
          <t>Sales Manager</t>
        </is>
      </c>
      <c r="D304" s="2" t="n">
        <v>29</v>
      </c>
      <c r="E304" s="2" t="n">
        <v>2.2</v>
      </c>
      <c r="F304" s="2" t="n">
        <v>813000</v>
      </c>
      <c r="G304" s="2" t="inlineStr">
        <is>
          <t>Yes</t>
        </is>
      </c>
      <c r="H304" s="2" t="n">
        <v>41</v>
      </c>
      <c r="I304" s="2" t="n">
        <v>3.6</v>
      </c>
      <c r="J304" s="2" t="n">
        <v>2.7</v>
      </c>
      <c r="K304" s="2" t="n">
        <v>3.7</v>
      </c>
      <c r="L304" s="2" t="inlineStr">
        <is>
          <t>Active</t>
        </is>
      </c>
    </row>
    <row r="305">
      <c r="A305" s="2" t="inlineStr">
        <is>
          <t>EMP00743</t>
        </is>
      </c>
      <c r="B305" s="2" t="inlineStr">
        <is>
          <t>Customer Support</t>
        </is>
      </c>
      <c r="C305" s="2" t="inlineStr">
        <is>
          <t>Support Lead</t>
        </is>
      </c>
      <c r="D305" s="2" t="n">
        <v>26</v>
      </c>
      <c r="E305" s="2" t="n">
        <v>8.699999999999999</v>
      </c>
      <c r="F305" s="2" t="n">
        <v>715000</v>
      </c>
      <c r="G305" s="2" t="inlineStr">
        <is>
          <t>No</t>
        </is>
      </c>
      <c r="H305" s="2" t="n">
        <v>4</v>
      </c>
      <c r="I305" s="2" t="n">
        <v>2.7</v>
      </c>
      <c r="J305" s="2" t="n">
        <v>3.9</v>
      </c>
      <c r="K305" s="2" t="n">
        <v>2.8</v>
      </c>
      <c r="L305" s="2" t="inlineStr">
        <is>
          <t>Active</t>
        </is>
      </c>
    </row>
    <row r="306">
      <c r="A306" s="2" t="inlineStr">
        <is>
          <t>EMP00200</t>
        </is>
      </c>
      <c r="B306" s="2" t="inlineStr">
        <is>
          <t>Engineering</t>
        </is>
      </c>
      <c r="C306" s="2" t="inlineStr">
        <is>
          <t>Senior Engineer</t>
        </is>
      </c>
      <c r="D306" s="2" t="n">
        <v>51</v>
      </c>
      <c r="E306" s="2" t="n">
        <v>4.6</v>
      </c>
      <c r="F306" s="2" t="n">
        <v>1254000</v>
      </c>
      <c r="G306" s="2" t="inlineStr">
        <is>
          <t>No</t>
        </is>
      </c>
      <c r="H306" s="2" t="n">
        <v>36</v>
      </c>
      <c r="I306" s="2" t="n">
        <v>3.1</v>
      </c>
      <c r="J306" s="2" t="n">
        <v>3.6</v>
      </c>
      <c r="K306" s="2" t="n">
        <v>4</v>
      </c>
      <c r="L306" s="2" t="inlineStr">
        <is>
          <t>Active</t>
        </is>
      </c>
    </row>
    <row r="307">
      <c r="A307" s="2" t="inlineStr">
        <is>
          <t>EMP00862</t>
        </is>
      </c>
      <c r="B307" s="2" t="inlineStr">
        <is>
          <t>Finance</t>
        </is>
      </c>
      <c r="C307" s="2" t="inlineStr">
        <is>
          <t>Accountant</t>
        </is>
      </c>
      <c r="D307" s="2" t="n">
        <v>38</v>
      </c>
      <c r="E307" s="2" t="n">
        <v>2.5</v>
      </c>
      <c r="F307" s="2" t="n">
        <v>746000</v>
      </c>
      <c r="G307" s="2" t="inlineStr">
        <is>
          <t>No</t>
        </is>
      </c>
      <c r="H307" s="2" t="n">
        <v>10</v>
      </c>
      <c r="I307" s="2" t="n">
        <v>4.4</v>
      </c>
      <c r="J307" s="2" t="n">
        <v>4.7</v>
      </c>
      <c r="K307" s="2" t="n">
        <v>3.3</v>
      </c>
      <c r="L307" s="2" t="inlineStr">
        <is>
          <t>Active</t>
        </is>
      </c>
    </row>
    <row r="308">
      <c r="A308" s="2" t="inlineStr">
        <is>
          <t>EMP00135</t>
        </is>
      </c>
      <c r="B308" s="2" t="inlineStr">
        <is>
          <t>Operations</t>
        </is>
      </c>
      <c r="C308" s="2" t="inlineStr">
        <is>
          <t>Process Lead</t>
        </is>
      </c>
      <c r="D308" s="2" t="n">
        <v>34</v>
      </c>
      <c r="E308" s="2" t="n">
        <v>2.2</v>
      </c>
      <c r="F308" s="2" t="n">
        <v>704000</v>
      </c>
      <c r="G308" s="2" t="inlineStr">
        <is>
          <t>No</t>
        </is>
      </c>
      <c r="H308" s="2" t="n">
        <v>31</v>
      </c>
      <c r="I308" s="2" t="n">
        <v>4.6</v>
      </c>
      <c r="J308" s="2" t="n">
        <v>3</v>
      </c>
      <c r="K308" s="2" t="n">
        <v>3</v>
      </c>
      <c r="L308" s="2" t="inlineStr">
        <is>
          <t>Active</t>
        </is>
      </c>
    </row>
    <row r="309">
      <c r="A309" s="2" t="inlineStr">
        <is>
          <t>EMP00327</t>
        </is>
      </c>
      <c r="B309" s="2" t="inlineStr">
        <is>
          <t>HR</t>
        </is>
      </c>
      <c r="C309" s="2" t="inlineStr">
        <is>
          <t>HR Generalist</t>
        </is>
      </c>
      <c r="D309" s="2" t="n">
        <v>27</v>
      </c>
      <c r="E309" s="2" t="n">
        <v>3</v>
      </c>
      <c r="F309" s="2" t="n">
        <v>722000</v>
      </c>
      <c r="G309" s="2" t="inlineStr">
        <is>
          <t>Yes</t>
        </is>
      </c>
      <c r="H309" s="2" t="n">
        <v>23</v>
      </c>
      <c r="I309" s="2" t="n">
        <v>4.3</v>
      </c>
      <c r="J309" s="2" t="n">
        <v>2.5</v>
      </c>
      <c r="K309" s="2" t="n">
        <v>5</v>
      </c>
      <c r="L309" s="2" t="inlineStr">
        <is>
          <t>Active</t>
        </is>
      </c>
    </row>
    <row r="310">
      <c r="A310" s="2" t="inlineStr">
        <is>
          <t>EMP00260</t>
        </is>
      </c>
      <c r="B310" s="2" t="inlineStr">
        <is>
          <t>Operations</t>
        </is>
      </c>
      <c r="C310" s="2" t="inlineStr">
        <is>
          <t>Ops Analyst</t>
        </is>
      </c>
      <c r="D310" s="2" t="n">
        <v>38</v>
      </c>
      <c r="E310" s="2" t="n">
        <v>4.2</v>
      </c>
      <c r="F310" s="2" t="n">
        <v>807000</v>
      </c>
      <c r="G310" s="2" t="inlineStr">
        <is>
          <t>No</t>
        </is>
      </c>
      <c r="H310" s="2" t="n">
        <v>51</v>
      </c>
      <c r="I310" s="2" t="n">
        <v>3.5</v>
      </c>
      <c r="J310" s="2" t="n">
        <v>3</v>
      </c>
      <c r="K310" s="2" t="n">
        <v>3</v>
      </c>
      <c r="L310" s="2" t="inlineStr">
        <is>
          <t>Active</t>
        </is>
      </c>
    </row>
    <row r="311">
      <c r="A311" s="2" t="inlineStr">
        <is>
          <t>EMP00972</t>
        </is>
      </c>
      <c r="B311" s="2" t="inlineStr">
        <is>
          <t>Sales</t>
        </is>
      </c>
      <c r="C311" s="2" t="inlineStr">
        <is>
          <t>Sales Executive</t>
        </is>
      </c>
      <c r="D311" s="2" t="n">
        <v>35</v>
      </c>
      <c r="E311" s="2" t="n">
        <v>3.7</v>
      </c>
      <c r="F311" s="2" t="n">
        <v>786000</v>
      </c>
      <c r="G311" s="2" t="inlineStr">
        <is>
          <t>No</t>
        </is>
      </c>
      <c r="H311" s="2" t="n">
        <v>33</v>
      </c>
      <c r="I311" s="2" t="n">
        <v>1.9</v>
      </c>
      <c r="J311" s="2" t="n">
        <v>2.8</v>
      </c>
      <c r="K311" s="2" t="n">
        <v>2.6</v>
      </c>
      <c r="L311" s="2" t="inlineStr">
        <is>
          <t>Resigned</t>
        </is>
      </c>
    </row>
    <row r="312">
      <c r="A312" s="2" t="inlineStr">
        <is>
          <t>EMP00004</t>
        </is>
      </c>
      <c r="B312" s="2" t="inlineStr">
        <is>
          <t>Finance</t>
        </is>
      </c>
      <c r="C312" s="2" t="inlineStr">
        <is>
          <t>Accountant</t>
        </is>
      </c>
      <c r="D312" s="2" t="n">
        <v>34</v>
      </c>
      <c r="E312" s="2" t="n">
        <v>1.2</v>
      </c>
      <c r="F312" s="2" t="n">
        <v>762000</v>
      </c>
      <c r="G312" s="2" t="inlineStr">
        <is>
          <t>No</t>
        </is>
      </c>
      <c r="H312" s="2" t="n">
        <v>9</v>
      </c>
      <c r="I312" s="2" t="n">
        <v>2.2</v>
      </c>
      <c r="J312" s="2" t="n">
        <v>3.6</v>
      </c>
      <c r="K312" s="2" t="n">
        <v>3.3</v>
      </c>
      <c r="L312" s="2" t="inlineStr">
        <is>
          <t>Active</t>
        </is>
      </c>
    </row>
    <row r="313">
      <c r="A313" s="2" t="inlineStr">
        <is>
          <t>EMP00849</t>
        </is>
      </c>
      <c r="B313" s="2" t="inlineStr">
        <is>
          <t>Sales</t>
        </is>
      </c>
      <c r="C313" s="2" t="inlineStr">
        <is>
          <t>Sales Executive</t>
        </is>
      </c>
      <c r="D313" s="2" t="n">
        <v>21</v>
      </c>
      <c r="E313" s="2" t="n">
        <v>6.3</v>
      </c>
      <c r="F313" s="2" t="n">
        <v>898000</v>
      </c>
      <c r="G313" s="2" t="inlineStr">
        <is>
          <t>No</t>
        </is>
      </c>
      <c r="H313" s="2" t="n">
        <v>11</v>
      </c>
      <c r="I313" s="2" t="n">
        <v>3.6</v>
      </c>
      <c r="J313" s="2" t="n">
        <v>3.1</v>
      </c>
      <c r="K313" s="2" t="n">
        <v>2.3</v>
      </c>
      <c r="L313" s="2" t="inlineStr">
        <is>
          <t>Active</t>
        </is>
      </c>
    </row>
    <row r="314">
      <c r="A314" s="2" t="inlineStr">
        <is>
          <t>EMP00211</t>
        </is>
      </c>
      <c r="B314" s="2" t="inlineStr">
        <is>
          <t>Finance</t>
        </is>
      </c>
      <c r="C314" s="2" t="inlineStr">
        <is>
          <t>Finance Manager</t>
        </is>
      </c>
      <c r="D314" s="2" t="n">
        <v>46</v>
      </c>
      <c r="E314" s="2" t="n">
        <v>5</v>
      </c>
      <c r="F314" s="2" t="n">
        <v>1052000</v>
      </c>
      <c r="G314" s="2" t="inlineStr">
        <is>
          <t>No</t>
        </is>
      </c>
      <c r="H314" s="2" t="n">
        <v>36</v>
      </c>
      <c r="I314" s="2" t="n">
        <v>3.4</v>
      </c>
      <c r="J314" s="2" t="n">
        <v>3.2</v>
      </c>
      <c r="K314" s="2" t="n">
        <v>4.1</v>
      </c>
      <c r="L314" s="2" t="inlineStr">
        <is>
          <t>Active</t>
        </is>
      </c>
    </row>
    <row r="315">
      <c r="A315" s="2" t="inlineStr">
        <is>
          <t>EMP00197</t>
        </is>
      </c>
      <c r="B315" s="2" t="inlineStr">
        <is>
          <t>Operations</t>
        </is>
      </c>
      <c r="C315" s="2" t="inlineStr">
        <is>
          <t>Ops Manager</t>
        </is>
      </c>
      <c r="D315" s="2" t="n">
        <v>34</v>
      </c>
      <c r="E315" s="2" t="n">
        <v>4.9</v>
      </c>
      <c r="F315" s="2" t="n">
        <v>870000</v>
      </c>
      <c r="G315" s="2" t="inlineStr">
        <is>
          <t>No</t>
        </is>
      </c>
      <c r="H315" s="2" t="n">
        <v>25</v>
      </c>
      <c r="I315" s="2" t="n">
        <v>2.1</v>
      </c>
      <c r="J315" s="2" t="n">
        <v>3.3</v>
      </c>
      <c r="K315" s="2" t="n">
        <v>3.2</v>
      </c>
      <c r="L315" s="2" t="inlineStr">
        <is>
          <t>Active</t>
        </is>
      </c>
    </row>
    <row r="316">
      <c r="A316" s="2" t="inlineStr">
        <is>
          <t>EMP00560</t>
        </is>
      </c>
      <c r="B316" s="2" t="inlineStr">
        <is>
          <t>Operations</t>
        </is>
      </c>
      <c r="C316" s="2" t="inlineStr">
        <is>
          <t>Ops Manager</t>
        </is>
      </c>
      <c r="D316" s="2" t="n">
        <v>33</v>
      </c>
      <c r="E316" s="2" t="n">
        <v>4.1</v>
      </c>
      <c r="F316" s="2" t="n">
        <v>666000</v>
      </c>
      <c r="G316" s="2" t="inlineStr">
        <is>
          <t>No</t>
        </is>
      </c>
      <c r="H316" s="2" t="n">
        <v>49</v>
      </c>
      <c r="I316" s="2" t="n">
        <v>4.7</v>
      </c>
      <c r="J316" s="2" t="n">
        <v>2.6</v>
      </c>
      <c r="K316" s="2" t="n">
        <v>2</v>
      </c>
      <c r="L316" s="2" t="inlineStr">
        <is>
          <t>Active</t>
        </is>
      </c>
    </row>
    <row r="317">
      <c r="A317" s="2" t="inlineStr">
        <is>
          <t>EMP00537</t>
        </is>
      </c>
      <c r="B317" s="2" t="inlineStr">
        <is>
          <t>Operations</t>
        </is>
      </c>
      <c r="C317" s="2" t="inlineStr">
        <is>
          <t>Process Lead</t>
        </is>
      </c>
      <c r="D317" s="2" t="n">
        <v>31</v>
      </c>
      <c r="E317" s="2" t="n">
        <v>1.2</v>
      </c>
      <c r="F317" s="2" t="n">
        <v>623000</v>
      </c>
      <c r="G317" s="2" t="inlineStr">
        <is>
          <t>No</t>
        </is>
      </c>
      <c r="H317" s="2" t="n">
        <v>45</v>
      </c>
      <c r="I317" s="2" t="n">
        <v>4.1</v>
      </c>
      <c r="J317" s="2" t="n">
        <v>5</v>
      </c>
      <c r="K317" s="2" t="n">
        <v>3</v>
      </c>
      <c r="L317" s="2" t="inlineStr">
        <is>
          <t>Active</t>
        </is>
      </c>
    </row>
    <row r="318">
      <c r="A318" s="2" t="inlineStr">
        <is>
          <t>EMP00592</t>
        </is>
      </c>
      <c r="B318" s="2" t="inlineStr">
        <is>
          <t>Operations</t>
        </is>
      </c>
      <c r="C318" s="2" t="inlineStr">
        <is>
          <t>Ops Manager</t>
        </is>
      </c>
      <c r="D318" s="2" t="n">
        <v>33</v>
      </c>
      <c r="E318" s="2" t="n">
        <v>4.4</v>
      </c>
      <c r="F318" s="2" t="n">
        <v>690000</v>
      </c>
      <c r="G318" s="2" t="inlineStr">
        <is>
          <t>No</t>
        </is>
      </c>
      <c r="H318" s="2" t="n">
        <v>23</v>
      </c>
      <c r="I318" s="2" t="n">
        <v>3.3</v>
      </c>
      <c r="J318" s="2" t="n">
        <v>5</v>
      </c>
      <c r="K318" s="2" t="n">
        <v>2.2</v>
      </c>
      <c r="L318" s="2" t="inlineStr">
        <is>
          <t>Active</t>
        </is>
      </c>
    </row>
    <row r="319">
      <c r="A319" s="2" t="inlineStr">
        <is>
          <t>EMP00027</t>
        </is>
      </c>
      <c r="B319" s="2" t="inlineStr">
        <is>
          <t>Operations</t>
        </is>
      </c>
      <c r="C319" s="2" t="inlineStr">
        <is>
          <t>Ops Analyst</t>
        </is>
      </c>
      <c r="D319" s="2" t="n">
        <v>41</v>
      </c>
      <c r="E319" s="2" t="n">
        <v>0.4</v>
      </c>
      <c r="F319" s="2" t="n">
        <v>577000</v>
      </c>
      <c r="G319" s="2" t="inlineStr">
        <is>
          <t>Yes</t>
        </is>
      </c>
      <c r="H319" s="2" t="n">
        <v>57</v>
      </c>
      <c r="I319" s="2" t="n">
        <v>4.9</v>
      </c>
      <c r="J319" s="2" t="n">
        <v>1</v>
      </c>
      <c r="K319" s="2" t="n">
        <v>4.8</v>
      </c>
      <c r="L319" s="2" t="inlineStr">
        <is>
          <t>Active</t>
        </is>
      </c>
    </row>
    <row r="320">
      <c r="A320" s="2" t="inlineStr">
        <is>
          <t>EMP01089</t>
        </is>
      </c>
      <c r="B320" s="2" t="inlineStr">
        <is>
          <t>Operations</t>
        </is>
      </c>
      <c r="C320" s="2" t="inlineStr">
        <is>
          <t>Ops Manager</t>
        </is>
      </c>
      <c r="D320" s="2" t="n">
        <v>28</v>
      </c>
      <c r="E320" s="2" t="n">
        <v>1.8</v>
      </c>
      <c r="F320" s="2" t="n">
        <v>584000</v>
      </c>
      <c r="G320" s="2" t="inlineStr">
        <is>
          <t>No</t>
        </is>
      </c>
      <c r="H320" s="2" t="n">
        <v>31</v>
      </c>
      <c r="I320" s="2" t="n">
        <v>3.5</v>
      </c>
      <c r="J320" s="2" t="n">
        <v>2.6</v>
      </c>
      <c r="K320" s="2" t="n">
        <v>3.7</v>
      </c>
      <c r="L320" s="2" t="inlineStr">
        <is>
          <t>Active</t>
        </is>
      </c>
    </row>
    <row r="321">
      <c r="A321" s="2" t="inlineStr">
        <is>
          <t>EMP00902</t>
        </is>
      </c>
      <c r="B321" s="2" t="inlineStr">
        <is>
          <t>Engineering</t>
        </is>
      </c>
      <c r="C321" s="2" t="inlineStr">
        <is>
          <t>Software Engineer</t>
        </is>
      </c>
      <c r="D321" s="2" t="n">
        <v>35</v>
      </c>
      <c r="E321" s="2" t="n">
        <v>0.8</v>
      </c>
      <c r="F321" s="2" t="n">
        <v>1073000</v>
      </c>
      <c r="G321" s="2" t="inlineStr">
        <is>
          <t>No</t>
        </is>
      </c>
      <c r="H321" s="2" t="n">
        <v>11</v>
      </c>
      <c r="I321" s="2" t="n">
        <v>1</v>
      </c>
      <c r="J321" s="2" t="n">
        <v>4.2</v>
      </c>
      <c r="K321" s="2" t="n">
        <v>3.6</v>
      </c>
      <c r="L321" s="2" t="inlineStr">
        <is>
          <t>Active</t>
        </is>
      </c>
    </row>
    <row r="322">
      <c r="A322" s="2" t="inlineStr">
        <is>
          <t>EMP01130</t>
        </is>
      </c>
      <c r="B322" s="2" t="inlineStr">
        <is>
          <t>Customer Support</t>
        </is>
      </c>
      <c r="C322" s="2" t="inlineStr">
        <is>
          <t>Support Associate</t>
        </is>
      </c>
      <c r="D322" s="2" t="n">
        <v>27</v>
      </c>
      <c r="E322" s="2" t="n">
        <v>3.2</v>
      </c>
      <c r="F322" s="2" t="n">
        <v>553000</v>
      </c>
      <c r="G322" s="2" t="inlineStr">
        <is>
          <t>No</t>
        </is>
      </c>
      <c r="H322" s="2" t="n">
        <v>17</v>
      </c>
      <c r="I322" s="2" t="n">
        <v>2.6</v>
      </c>
      <c r="J322" s="2" t="n">
        <v>2.4</v>
      </c>
      <c r="K322" s="2" t="n">
        <v>2.1</v>
      </c>
      <c r="L322" s="2" t="inlineStr">
        <is>
          <t>Active</t>
        </is>
      </c>
    </row>
    <row r="323">
      <c r="A323" s="2" t="inlineStr">
        <is>
          <t>EMP00595</t>
        </is>
      </c>
      <c r="B323" s="2" t="inlineStr">
        <is>
          <t>Sales</t>
        </is>
      </c>
      <c r="C323" s="2" t="inlineStr">
        <is>
          <t>Sales Manager</t>
        </is>
      </c>
      <c r="D323" s="2" t="n">
        <v>41</v>
      </c>
      <c r="E323" s="2" t="n">
        <v>3.8</v>
      </c>
      <c r="F323" s="2" t="n">
        <v>781000</v>
      </c>
      <c r="G323" s="2" t="inlineStr">
        <is>
          <t>No</t>
        </is>
      </c>
      <c r="H323" s="2" t="n">
        <v>41</v>
      </c>
      <c r="I323" s="2" t="n">
        <v>3.4</v>
      </c>
      <c r="J323" s="2" t="n">
        <v>2.4</v>
      </c>
      <c r="K323" s="2" t="n">
        <v>4.1</v>
      </c>
      <c r="L323" s="2" t="inlineStr">
        <is>
          <t>Active</t>
        </is>
      </c>
    </row>
    <row r="324">
      <c r="A324" s="2" t="inlineStr">
        <is>
          <t>EMP00062</t>
        </is>
      </c>
      <c r="B324" s="2" t="inlineStr">
        <is>
          <t>Operations</t>
        </is>
      </c>
      <c r="C324" s="2" t="inlineStr">
        <is>
          <t>Ops Analyst</t>
        </is>
      </c>
      <c r="D324" s="2" t="n">
        <v>26</v>
      </c>
      <c r="E324" s="2" t="n">
        <v>3.2</v>
      </c>
      <c r="F324" s="2" t="n">
        <v>612000</v>
      </c>
      <c r="G324" s="2" t="inlineStr">
        <is>
          <t>No</t>
        </is>
      </c>
      <c r="H324" s="2" t="n">
        <v>11</v>
      </c>
      <c r="I324" s="2" t="n">
        <v>3.7</v>
      </c>
      <c r="J324" s="2" t="n">
        <v>3.9</v>
      </c>
      <c r="K324" s="2" t="n">
        <v>3.7</v>
      </c>
      <c r="L324" s="2" t="inlineStr">
        <is>
          <t>Active</t>
        </is>
      </c>
    </row>
    <row r="325">
      <c r="A325" s="2" t="inlineStr">
        <is>
          <t>EMP00723</t>
        </is>
      </c>
      <c r="B325" s="2" t="inlineStr">
        <is>
          <t>Sales</t>
        </is>
      </c>
      <c r="C325" s="2" t="inlineStr">
        <is>
          <t>Account Manager</t>
        </is>
      </c>
      <c r="D325" s="2" t="n">
        <v>37</v>
      </c>
      <c r="E325" s="2" t="n">
        <v>6</v>
      </c>
      <c r="F325" s="2" t="n">
        <v>968000</v>
      </c>
      <c r="G325" s="2" t="inlineStr">
        <is>
          <t>No</t>
        </is>
      </c>
      <c r="H325" s="2" t="n">
        <v>24</v>
      </c>
      <c r="I325" s="2" t="n">
        <v>4</v>
      </c>
      <c r="J325" s="2" t="n">
        <v>3.5</v>
      </c>
      <c r="K325" s="2" t="n">
        <v>3.7</v>
      </c>
      <c r="L325" s="2" t="inlineStr">
        <is>
          <t>Active</t>
        </is>
      </c>
    </row>
    <row r="326">
      <c r="A326" s="2" t="inlineStr">
        <is>
          <t>EMP00267</t>
        </is>
      </c>
      <c r="B326" s="2" t="inlineStr">
        <is>
          <t>Engineering</t>
        </is>
      </c>
      <c r="C326" s="2" t="inlineStr">
        <is>
          <t>Software Engineer</t>
        </is>
      </c>
      <c r="D326" s="2" t="n">
        <v>38</v>
      </c>
      <c r="E326" s="2" t="n">
        <v>10.1</v>
      </c>
      <c r="F326" s="2" t="n">
        <v>1615000</v>
      </c>
      <c r="G326" s="2" t="inlineStr">
        <is>
          <t>No</t>
        </is>
      </c>
      <c r="H326" s="2" t="n">
        <v>54</v>
      </c>
      <c r="I326" s="2" t="n">
        <v>2.5</v>
      </c>
      <c r="J326" s="2" t="n">
        <v>3.8</v>
      </c>
      <c r="K326" s="2" t="n">
        <v>4.3</v>
      </c>
      <c r="L326" s="2" t="inlineStr">
        <is>
          <t>Resigned</t>
        </is>
      </c>
    </row>
    <row r="327">
      <c r="A327" s="2" t="inlineStr">
        <is>
          <t>EMP00983</t>
        </is>
      </c>
      <c r="B327" s="2" t="inlineStr">
        <is>
          <t>HR</t>
        </is>
      </c>
      <c r="C327" s="2" t="inlineStr">
        <is>
          <t>HR Manager</t>
        </is>
      </c>
      <c r="D327" s="2" t="n">
        <v>36</v>
      </c>
      <c r="E327" s="2" t="n">
        <v>1.6</v>
      </c>
      <c r="F327" s="2" t="n">
        <v>666000</v>
      </c>
      <c r="G327" s="2" t="inlineStr">
        <is>
          <t>No</t>
        </is>
      </c>
      <c r="H327" s="2" t="n">
        <v>37</v>
      </c>
      <c r="I327" s="2" t="n">
        <v>3.4</v>
      </c>
      <c r="J327" s="2" t="n">
        <v>2.9</v>
      </c>
      <c r="K327" s="2" t="n">
        <v>3.6</v>
      </c>
      <c r="L327" s="2" t="inlineStr">
        <is>
          <t>Active</t>
        </is>
      </c>
    </row>
    <row r="328">
      <c r="A328" s="2" t="inlineStr">
        <is>
          <t>EMP00682</t>
        </is>
      </c>
      <c r="B328" s="2" t="inlineStr">
        <is>
          <t>Sales</t>
        </is>
      </c>
      <c r="C328" s="2" t="inlineStr">
        <is>
          <t>Sales Manager</t>
        </is>
      </c>
      <c r="D328" s="2" t="n">
        <v>41</v>
      </c>
      <c r="E328" s="2" t="n">
        <v>6.2</v>
      </c>
      <c r="F328" s="2" t="n">
        <v>794000</v>
      </c>
      <c r="G328" s="2" t="inlineStr">
        <is>
          <t>Yes</t>
        </is>
      </c>
      <c r="H328" s="2" t="n">
        <v>24</v>
      </c>
      <c r="I328" s="2" t="n">
        <v>2.5</v>
      </c>
      <c r="J328" s="2" t="n">
        <v>2.6</v>
      </c>
      <c r="K328" s="2" t="n">
        <v>3.9</v>
      </c>
      <c r="L328" s="2" t="inlineStr">
        <is>
          <t>Resigned</t>
        </is>
      </c>
    </row>
    <row r="329">
      <c r="A329" s="2" t="inlineStr">
        <is>
          <t>EMP00638</t>
        </is>
      </c>
      <c r="B329" s="2" t="inlineStr">
        <is>
          <t>Finance</t>
        </is>
      </c>
      <c r="C329" s="2" t="inlineStr">
        <is>
          <t>Financial Analyst</t>
        </is>
      </c>
      <c r="D329" s="2" t="n">
        <v>41</v>
      </c>
      <c r="E329" s="2" t="n">
        <v>7.7</v>
      </c>
      <c r="F329" s="2" t="n">
        <v>1039000</v>
      </c>
      <c r="G329" s="2" t="inlineStr">
        <is>
          <t>No</t>
        </is>
      </c>
      <c r="H329" s="2" t="n">
        <v>57</v>
      </c>
      <c r="I329" s="2" t="n">
        <v>2.6</v>
      </c>
      <c r="J329" s="2" t="n">
        <v>3.4</v>
      </c>
      <c r="K329" s="2" t="n">
        <v>3.5</v>
      </c>
      <c r="L329" s="2" t="inlineStr">
        <is>
          <t>Active</t>
        </is>
      </c>
    </row>
    <row r="330">
      <c r="A330" s="2" t="inlineStr">
        <is>
          <t>EMP00780</t>
        </is>
      </c>
      <c r="B330" s="2" t="inlineStr">
        <is>
          <t>Customer Support</t>
        </is>
      </c>
      <c r="C330" s="2" t="inlineStr">
        <is>
          <t>Support Associate</t>
        </is>
      </c>
      <c r="D330" s="2" t="n">
        <v>29</v>
      </c>
      <c r="E330" s="2" t="n">
        <v>2.2</v>
      </c>
      <c r="F330" s="2" t="n">
        <v>607000</v>
      </c>
      <c r="G330" s="2" t="inlineStr">
        <is>
          <t>Yes</t>
        </is>
      </c>
      <c r="H330" s="2" t="n">
        <v>21</v>
      </c>
      <c r="I330" s="2" t="n">
        <v>2.9</v>
      </c>
      <c r="J330" s="2" t="n">
        <v>3.9</v>
      </c>
      <c r="K330" s="2" t="n">
        <v>2.4</v>
      </c>
      <c r="L330" s="2" t="inlineStr">
        <is>
          <t>Active</t>
        </is>
      </c>
    </row>
    <row r="331">
      <c r="A331" s="2" t="inlineStr">
        <is>
          <t>EMP00598</t>
        </is>
      </c>
      <c r="B331" s="2" t="inlineStr">
        <is>
          <t>Finance</t>
        </is>
      </c>
      <c r="C331" s="2" t="inlineStr">
        <is>
          <t>Accountant</t>
        </is>
      </c>
      <c r="D331" s="2" t="n">
        <v>37</v>
      </c>
      <c r="E331" s="2" t="n">
        <v>10.6</v>
      </c>
      <c r="F331" s="2" t="n">
        <v>1067000</v>
      </c>
      <c r="G331" s="2" t="inlineStr">
        <is>
          <t>Yes</t>
        </is>
      </c>
      <c r="H331" s="2" t="n">
        <v>39</v>
      </c>
      <c r="I331" s="2" t="n">
        <v>3.3</v>
      </c>
      <c r="J331" s="2" t="n">
        <v>3.6</v>
      </c>
      <c r="K331" s="2" t="n">
        <v>2.3</v>
      </c>
      <c r="L331" s="2" t="inlineStr">
        <is>
          <t>Active</t>
        </is>
      </c>
    </row>
    <row r="332">
      <c r="A332" s="2" t="inlineStr">
        <is>
          <t>EMP00574</t>
        </is>
      </c>
      <c r="B332" s="2" t="inlineStr">
        <is>
          <t>HR</t>
        </is>
      </c>
      <c r="C332" s="2" t="inlineStr">
        <is>
          <t>HR Manager</t>
        </is>
      </c>
      <c r="D332" s="2" t="n">
        <v>50</v>
      </c>
      <c r="E332" s="2" t="n">
        <v>5.7</v>
      </c>
      <c r="F332" s="2" t="n">
        <v>646000</v>
      </c>
      <c r="G332" s="2" t="inlineStr">
        <is>
          <t>Yes</t>
        </is>
      </c>
      <c r="H332" s="2" t="n">
        <v>38</v>
      </c>
      <c r="I332" s="2" t="n">
        <v>3</v>
      </c>
      <c r="J332" s="2" t="n">
        <v>1.3</v>
      </c>
      <c r="K332" s="2" t="n">
        <v>3</v>
      </c>
      <c r="L332" s="2" t="inlineStr">
        <is>
          <t>Active</t>
        </is>
      </c>
    </row>
    <row r="333">
      <c r="A333" s="2" t="inlineStr">
        <is>
          <t>EMP00458</t>
        </is>
      </c>
      <c r="B333" s="2" t="inlineStr">
        <is>
          <t>Operations</t>
        </is>
      </c>
      <c r="C333" s="2" t="inlineStr">
        <is>
          <t>Process Lead</t>
        </is>
      </c>
      <c r="D333" s="2" t="n">
        <v>31</v>
      </c>
      <c r="E333" s="2" t="n">
        <v>2.5</v>
      </c>
      <c r="F333" s="2" t="n">
        <v>646000</v>
      </c>
      <c r="G333" s="2" t="inlineStr">
        <is>
          <t>Yes</t>
        </is>
      </c>
      <c r="H333" s="2" t="n">
        <v>47</v>
      </c>
      <c r="I333" s="2" t="n">
        <v>4.7</v>
      </c>
      <c r="J333" s="2" t="n">
        <v>2.6</v>
      </c>
      <c r="K333" s="2" t="n">
        <v>2.1</v>
      </c>
      <c r="L333" s="2" t="inlineStr">
        <is>
          <t>Resigned</t>
        </is>
      </c>
    </row>
    <row r="334">
      <c r="A334" s="2" t="inlineStr">
        <is>
          <t>EMP00926</t>
        </is>
      </c>
      <c r="B334" s="2" t="inlineStr">
        <is>
          <t>Engineering</t>
        </is>
      </c>
      <c r="C334" s="2" t="inlineStr">
        <is>
          <t>Engineering Manager</t>
        </is>
      </c>
      <c r="D334" s="2" t="n">
        <v>41</v>
      </c>
      <c r="E334" s="2" t="n">
        <v>1.3</v>
      </c>
      <c r="F334" s="2" t="n">
        <v>990000</v>
      </c>
      <c r="G334" s="2" t="inlineStr">
        <is>
          <t>Yes</t>
        </is>
      </c>
      <c r="H334" s="2" t="n">
        <v>13</v>
      </c>
      <c r="I334" s="2" t="n">
        <v>5</v>
      </c>
      <c r="J334" s="2" t="n">
        <v>3.6</v>
      </c>
      <c r="K334" s="2" t="n">
        <v>2.2</v>
      </c>
      <c r="L334" s="2" t="inlineStr">
        <is>
          <t>Active</t>
        </is>
      </c>
    </row>
    <row r="335">
      <c r="A335" s="2" t="inlineStr">
        <is>
          <t>EMP00886</t>
        </is>
      </c>
      <c r="B335" s="2" t="inlineStr">
        <is>
          <t>Engineering</t>
        </is>
      </c>
      <c r="C335" s="2" t="inlineStr">
        <is>
          <t>Senior Engineer</t>
        </is>
      </c>
      <c r="D335" s="2" t="n">
        <v>21</v>
      </c>
      <c r="E335" s="2" t="n">
        <v>8.5</v>
      </c>
      <c r="F335" s="2" t="n">
        <v>1546000</v>
      </c>
      <c r="G335" s="2" t="inlineStr">
        <is>
          <t>No</t>
        </is>
      </c>
      <c r="H335" s="2" t="n">
        <v>49</v>
      </c>
      <c r="I335" s="2" t="n">
        <v>2.2</v>
      </c>
      <c r="J335" s="2" t="n">
        <v>3.8</v>
      </c>
      <c r="K335" s="2" t="n">
        <v>3.6</v>
      </c>
      <c r="L335" s="2" t="inlineStr">
        <is>
          <t>Active</t>
        </is>
      </c>
    </row>
    <row r="336">
      <c r="A336" s="2" t="inlineStr">
        <is>
          <t>EMP00009</t>
        </is>
      </c>
      <c r="B336" s="2" t="inlineStr">
        <is>
          <t>Sales</t>
        </is>
      </c>
      <c r="C336" s="2" t="inlineStr">
        <is>
          <t>Account Manager</t>
        </is>
      </c>
      <c r="D336" s="2" t="n">
        <v>52</v>
      </c>
      <c r="E336" s="2" t="n">
        <v>3.2</v>
      </c>
      <c r="F336" s="2" t="n">
        <v>692000</v>
      </c>
      <c r="G336" s="2" t="inlineStr">
        <is>
          <t>No</t>
        </is>
      </c>
      <c r="H336" s="2" t="n">
        <v>56</v>
      </c>
      <c r="I336" s="2" t="n">
        <v>3.8</v>
      </c>
      <c r="J336" s="2" t="n">
        <v>1</v>
      </c>
      <c r="K336" s="2" t="n">
        <v>3.3</v>
      </c>
      <c r="L336" s="2" t="inlineStr">
        <is>
          <t>Active</t>
        </is>
      </c>
    </row>
    <row r="337">
      <c r="A337" s="2" t="inlineStr">
        <is>
          <t>EMP00978</t>
        </is>
      </c>
      <c r="B337" s="2" t="inlineStr">
        <is>
          <t>Engineering</t>
        </is>
      </c>
      <c r="C337" s="2" t="inlineStr">
        <is>
          <t>Senior Engineer</t>
        </is>
      </c>
      <c r="D337" s="2" t="n">
        <v>30</v>
      </c>
      <c r="E337" s="2" t="n">
        <v>4.9</v>
      </c>
      <c r="F337" s="2" t="n">
        <v>1288000</v>
      </c>
      <c r="G337" s="2" t="inlineStr">
        <is>
          <t>No</t>
        </is>
      </c>
      <c r="H337" s="2" t="n">
        <v>59</v>
      </c>
      <c r="I337" s="2" t="n">
        <v>4.7</v>
      </c>
      <c r="J337" s="2" t="n">
        <v>2.4</v>
      </c>
      <c r="K337" s="2" t="n">
        <v>1.9</v>
      </c>
      <c r="L337" s="2" t="inlineStr">
        <is>
          <t>Active</t>
        </is>
      </c>
    </row>
    <row r="338">
      <c r="A338" s="2" t="inlineStr">
        <is>
          <t>EMP01043</t>
        </is>
      </c>
      <c r="B338" s="2" t="inlineStr">
        <is>
          <t>Finance</t>
        </is>
      </c>
      <c r="C338" s="2" t="inlineStr">
        <is>
          <t>Accountant</t>
        </is>
      </c>
      <c r="D338" s="2" t="n">
        <v>37</v>
      </c>
      <c r="E338" s="2" t="n">
        <v>1</v>
      </c>
      <c r="F338" s="2" t="n">
        <v>876000</v>
      </c>
      <c r="G338" s="2" t="inlineStr">
        <is>
          <t>No</t>
        </is>
      </c>
      <c r="H338" s="2" t="n">
        <v>13</v>
      </c>
      <c r="I338" s="2" t="n">
        <v>2.8</v>
      </c>
      <c r="J338" s="2" t="n">
        <v>2.1</v>
      </c>
      <c r="K338" s="2" t="n">
        <v>2.4</v>
      </c>
      <c r="L338" s="2" t="inlineStr">
        <is>
          <t>Resigned</t>
        </is>
      </c>
    </row>
    <row r="339">
      <c r="A339" s="2" t="inlineStr">
        <is>
          <t>EMP00649</t>
        </is>
      </c>
      <c r="B339" s="2" t="inlineStr">
        <is>
          <t>Finance</t>
        </is>
      </c>
      <c r="C339" s="2" t="inlineStr">
        <is>
          <t>Financial Analyst</t>
        </is>
      </c>
      <c r="D339" s="2" t="n">
        <v>21</v>
      </c>
      <c r="E339" s="2" t="n">
        <v>3.5</v>
      </c>
      <c r="F339" s="2" t="n">
        <v>772000</v>
      </c>
      <c r="G339" s="2" t="inlineStr">
        <is>
          <t>Yes</t>
        </is>
      </c>
      <c r="H339" s="2" t="n">
        <v>55</v>
      </c>
      <c r="I339" s="2" t="n">
        <v>1.9</v>
      </c>
      <c r="J339" s="2" t="n">
        <v>3.6</v>
      </c>
      <c r="K339" s="2" t="n">
        <v>3.7</v>
      </c>
      <c r="L339" s="2" t="inlineStr">
        <is>
          <t>Resigned</t>
        </is>
      </c>
    </row>
    <row r="340">
      <c r="A340" s="2" t="inlineStr">
        <is>
          <t>EMP00658</t>
        </is>
      </c>
      <c r="B340" s="2" t="inlineStr">
        <is>
          <t>Engineering</t>
        </is>
      </c>
      <c r="C340" s="2" t="inlineStr">
        <is>
          <t>Software Engineer</t>
        </is>
      </c>
      <c r="D340" s="2" t="n">
        <v>45</v>
      </c>
      <c r="E340" s="2" t="n">
        <v>5.9</v>
      </c>
      <c r="F340" s="2" t="n">
        <v>1271000</v>
      </c>
      <c r="G340" s="2" t="inlineStr">
        <is>
          <t>No</t>
        </is>
      </c>
      <c r="H340" s="2" t="n">
        <v>41</v>
      </c>
      <c r="I340" s="2" t="n">
        <v>5</v>
      </c>
      <c r="J340" s="2" t="n">
        <v>4</v>
      </c>
      <c r="K340" s="2" t="n">
        <v>2.2</v>
      </c>
      <c r="L340" s="2" t="inlineStr">
        <is>
          <t>Active</t>
        </is>
      </c>
    </row>
    <row r="341">
      <c r="A341" s="2" t="inlineStr">
        <is>
          <t>EMP00820</t>
        </is>
      </c>
      <c r="B341" s="2" t="inlineStr">
        <is>
          <t>Engineering</t>
        </is>
      </c>
      <c r="C341" s="2" t="inlineStr">
        <is>
          <t>Senior Engineer</t>
        </is>
      </c>
      <c r="D341" s="2" t="n">
        <v>32</v>
      </c>
      <c r="E341" s="2" t="n">
        <v>0.2</v>
      </c>
      <c r="F341" s="2" t="n">
        <v>889000</v>
      </c>
      <c r="G341" s="2" t="inlineStr">
        <is>
          <t>Yes</t>
        </is>
      </c>
      <c r="H341" s="2" t="n">
        <v>26</v>
      </c>
      <c r="I341" s="2" t="n">
        <v>2.9</v>
      </c>
      <c r="J341" s="2" t="n">
        <v>3.9</v>
      </c>
      <c r="K341" s="2" t="n">
        <v>4.1</v>
      </c>
      <c r="L341" s="2" t="inlineStr">
        <is>
          <t>Resigned</t>
        </is>
      </c>
    </row>
    <row r="342">
      <c r="A342" s="2" t="inlineStr">
        <is>
          <t>EMP01117</t>
        </is>
      </c>
      <c r="B342" s="2" t="inlineStr">
        <is>
          <t>Sales</t>
        </is>
      </c>
      <c r="C342" s="2" t="inlineStr">
        <is>
          <t>Sales Executive</t>
        </is>
      </c>
      <c r="D342" s="2" t="n">
        <v>35</v>
      </c>
      <c r="E342" s="2" t="n">
        <v>3.4</v>
      </c>
      <c r="F342" s="2" t="n">
        <v>816000</v>
      </c>
      <c r="G342" s="2" t="inlineStr">
        <is>
          <t>No</t>
        </is>
      </c>
      <c r="H342" s="2" t="n">
        <v>42</v>
      </c>
      <c r="I342" s="2" t="n">
        <v>4.1</v>
      </c>
      <c r="J342" s="2" t="n">
        <v>4.1</v>
      </c>
      <c r="K342" s="2" t="n">
        <v>4.1</v>
      </c>
      <c r="L342" s="2" t="inlineStr">
        <is>
          <t>Active</t>
        </is>
      </c>
    </row>
    <row r="343">
      <c r="A343" s="2" t="inlineStr">
        <is>
          <t>EMP00075</t>
        </is>
      </c>
      <c r="B343" s="2" t="inlineStr">
        <is>
          <t>Sales</t>
        </is>
      </c>
      <c r="C343" s="2" t="inlineStr">
        <is>
          <t>Sales Executive</t>
        </is>
      </c>
      <c r="D343" s="2" t="n">
        <v>43</v>
      </c>
      <c r="E343" s="2" t="n">
        <v>4.1</v>
      </c>
      <c r="F343" s="2" t="n">
        <v>863000</v>
      </c>
      <c r="G343" s="2" t="inlineStr">
        <is>
          <t>No</t>
        </is>
      </c>
      <c r="H343" s="2" t="n">
        <v>1</v>
      </c>
      <c r="I343" s="2" t="n">
        <v>3.3</v>
      </c>
      <c r="J343" s="2" t="n">
        <v>2.3</v>
      </c>
      <c r="K343" s="2" t="n">
        <v>3.6</v>
      </c>
      <c r="L343" s="2" t="inlineStr">
        <is>
          <t>Active</t>
        </is>
      </c>
    </row>
    <row r="344">
      <c r="A344" s="2" t="inlineStr">
        <is>
          <t>EMP00564</t>
        </is>
      </c>
      <c r="B344" s="2" t="inlineStr">
        <is>
          <t>Finance</t>
        </is>
      </c>
      <c r="C344" s="2" t="inlineStr">
        <is>
          <t>Financial Analyst</t>
        </is>
      </c>
      <c r="D344" s="2" t="n">
        <v>34</v>
      </c>
      <c r="E344" s="2" t="n">
        <v>5.3</v>
      </c>
      <c r="F344" s="2" t="n">
        <v>894000</v>
      </c>
      <c r="G344" s="2" t="inlineStr">
        <is>
          <t>Yes</t>
        </is>
      </c>
      <c r="H344" s="2" t="n">
        <v>52</v>
      </c>
      <c r="I344" s="2" t="n">
        <v>4.7</v>
      </c>
      <c r="J344" s="2" t="n">
        <v>3.4</v>
      </c>
      <c r="K344" s="2" t="n">
        <v>3.7</v>
      </c>
      <c r="L344" s="2" t="inlineStr">
        <is>
          <t>Active</t>
        </is>
      </c>
    </row>
    <row r="345">
      <c r="A345" s="2" t="inlineStr">
        <is>
          <t>EMP01019</t>
        </is>
      </c>
      <c r="B345" s="2" t="inlineStr">
        <is>
          <t>Sales</t>
        </is>
      </c>
      <c r="C345" s="2" t="inlineStr">
        <is>
          <t>Sales Executive</t>
        </is>
      </c>
      <c r="D345" s="2" t="n">
        <v>33</v>
      </c>
      <c r="E345" s="2" t="n">
        <v>2.1</v>
      </c>
      <c r="F345" s="2" t="n">
        <v>735000</v>
      </c>
      <c r="G345" s="2" t="inlineStr">
        <is>
          <t>No</t>
        </is>
      </c>
      <c r="H345" s="2" t="n">
        <v>4</v>
      </c>
      <c r="I345" s="2" t="n">
        <v>4.9</v>
      </c>
      <c r="J345" s="2" t="n">
        <v>3.9</v>
      </c>
      <c r="K345" s="2" t="n">
        <v>1.4</v>
      </c>
      <c r="L345" s="2" t="inlineStr">
        <is>
          <t>Active</t>
        </is>
      </c>
    </row>
    <row r="346">
      <c r="A346" s="2" t="inlineStr">
        <is>
          <t>EMP00058</t>
        </is>
      </c>
      <c r="B346" s="2" t="inlineStr">
        <is>
          <t>Operations</t>
        </is>
      </c>
      <c r="C346" s="2" t="inlineStr">
        <is>
          <t>Process Lead</t>
        </is>
      </c>
      <c r="D346" s="2" t="n">
        <v>33</v>
      </c>
      <c r="E346" s="2" t="n">
        <v>0.4</v>
      </c>
      <c r="F346" s="2" t="n">
        <v>551000</v>
      </c>
      <c r="G346" s="2" t="inlineStr">
        <is>
          <t>No</t>
        </is>
      </c>
      <c r="H346" s="2" t="n">
        <v>13</v>
      </c>
      <c r="I346" s="2" t="n">
        <v>3.6</v>
      </c>
      <c r="J346" s="2" t="n">
        <v>2.2</v>
      </c>
      <c r="K346" s="2" t="n">
        <v>3.6</v>
      </c>
      <c r="L346" s="2" t="inlineStr">
        <is>
          <t>Active</t>
        </is>
      </c>
    </row>
    <row r="347">
      <c r="A347" s="2" t="inlineStr">
        <is>
          <t>EMP01027</t>
        </is>
      </c>
      <c r="B347" s="2" t="inlineStr">
        <is>
          <t>Customer Support</t>
        </is>
      </c>
      <c r="C347" s="2" t="inlineStr">
        <is>
          <t>Support Lead</t>
        </is>
      </c>
      <c r="D347" s="2" t="n">
        <v>26</v>
      </c>
      <c r="E347" s="2" t="n">
        <v>1.3</v>
      </c>
      <c r="F347" s="2" t="n">
        <v>459000</v>
      </c>
      <c r="G347" s="2" t="inlineStr">
        <is>
          <t>No</t>
        </is>
      </c>
      <c r="H347" s="2" t="n">
        <v>40</v>
      </c>
      <c r="I347" s="2" t="n">
        <v>3</v>
      </c>
      <c r="J347" s="2" t="n">
        <v>1.4</v>
      </c>
      <c r="K347" s="2" t="n">
        <v>3.1</v>
      </c>
      <c r="L347" s="2" t="inlineStr">
        <is>
          <t>Active</t>
        </is>
      </c>
    </row>
    <row r="348">
      <c r="A348" s="2" t="inlineStr">
        <is>
          <t>EMP00479</t>
        </is>
      </c>
      <c r="B348" s="2" t="inlineStr">
        <is>
          <t>Finance</t>
        </is>
      </c>
      <c r="C348" s="2" t="inlineStr">
        <is>
          <t>Finance Manager</t>
        </is>
      </c>
      <c r="D348" s="2" t="n">
        <v>26</v>
      </c>
      <c r="E348" s="2" t="n">
        <v>0.9</v>
      </c>
      <c r="F348" s="2" t="n">
        <v>897000</v>
      </c>
      <c r="G348" s="2" t="inlineStr">
        <is>
          <t>Yes</t>
        </is>
      </c>
      <c r="H348" s="2" t="n">
        <v>54</v>
      </c>
      <c r="I348" s="2" t="n">
        <v>3.8</v>
      </c>
      <c r="J348" s="2" t="n">
        <v>3.5</v>
      </c>
      <c r="K348" s="2" t="n">
        <v>3.1</v>
      </c>
      <c r="L348" s="2" t="inlineStr">
        <is>
          <t>Active</t>
        </is>
      </c>
    </row>
    <row r="349">
      <c r="A349" s="2" t="inlineStr">
        <is>
          <t>EMP00298</t>
        </is>
      </c>
      <c r="B349" s="2" t="inlineStr">
        <is>
          <t>HR</t>
        </is>
      </c>
      <c r="C349" s="2" t="inlineStr">
        <is>
          <t>Recruiter</t>
        </is>
      </c>
      <c r="D349" s="2" t="n">
        <v>40</v>
      </c>
      <c r="E349" s="2" t="n">
        <v>1.4</v>
      </c>
      <c r="F349" s="2" t="n">
        <v>655000</v>
      </c>
      <c r="G349" s="2" t="inlineStr">
        <is>
          <t>Yes</t>
        </is>
      </c>
      <c r="H349" s="2" t="n">
        <v>43</v>
      </c>
      <c r="I349" s="2" t="n">
        <v>4.4</v>
      </c>
      <c r="J349" s="2" t="n">
        <v>3</v>
      </c>
      <c r="K349" s="2" t="n">
        <v>3.4</v>
      </c>
      <c r="L349" s="2" t="inlineStr">
        <is>
          <t>Resigned</t>
        </is>
      </c>
    </row>
    <row r="350">
      <c r="A350" s="2" t="inlineStr">
        <is>
          <t>EMP00955</t>
        </is>
      </c>
      <c r="B350" s="2" t="inlineStr">
        <is>
          <t>Customer Support</t>
        </is>
      </c>
      <c r="C350" s="2" t="inlineStr">
        <is>
          <t>Support Manager</t>
        </is>
      </c>
      <c r="D350" s="2" t="n">
        <v>32</v>
      </c>
      <c r="E350" s="2" t="n">
        <v>3.7</v>
      </c>
      <c r="F350" s="2" t="n">
        <v>596000</v>
      </c>
      <c r="G350" s="2" t="inlineStr">
        <is>
          <t>Yes</t>
        </is>
      </c>
      <c r="H350" s="2" t="n">
        <v>19</v>
      </c>
      <c r="I350" s="2" t="n">
        <v>3.4</v>
      </c>
      <c r="J350" s="2" t="n">
        <v>2.2</v>
      </c>
      <c r="K350" s="2" t="n">
        <v>2.7</v>
      </c>
      <c r="L350" s="2" t="inlineStr">
        <is>
          <t>Active</t>
        </is>
      </c>
    </row>
    <row r="351">
      <c r="A351" s="2" t="inlineStr">
        <is>
          <t>EMP00218</t>
        </is>
      </c>
      <c r="B351" s="2" t="inlineStr">
        <is>
          <t>Sales</t>
        </is>
      </c>
      <c r="C351" s="2" t="inlineStr">
        <is>
          <t>Sales Executive</t>
        </is>
      </c>
      <c r="D351" s="2" t="n">
        <v>28</v>
      </c>
      <c r="E351" s="2" t="n">
        <v>6.3</v>
      </c>
      <c r="F351" s="2" t="n">
        <v>848000</v>
      </c>
      <c r="G351" s="2" t="inlineStr">
        <is>
          <t>No</t>
        </is>
      </c>
      <c r="H351" s="2" t="n">
        <v>20</v>
      </c>
      <c r="I351" s="2" t="n">
        <v>4.8</v>
      </c>
      <c r="J351" s="2" t="n">
        <v>2.8</v>
      </c>
      <c r="K351" s="2" t="n">
        <v>4.4</v>
      </c>
      <c r="L351" s="2" t="inlineStr">
        <is>
          <t>Active</t>
        </is>
      </c>
    </row>
    <row r="352">
      <c r="A352" s="2" t="inlineStr">
        <is>
          <t>EMP00713</t>
        </is>
      </c>
      <c r="B352" s="2" t="inlineStr">
        <is>
          <t>HR</t>
        </is>
      </c>
      <c r="C352" s="2" t="inlineStr">
        <is>
          <t>HR Generalist</t>
        </is>
      </c>
      <c r="D352" s="2" t="n">
        <v>28</v>
      </c>
      <c r="E352" s="2" t="n">
        <v>2.1</v>
      </c>
      <c r="F352" s="2" t="n">
        <v>631000</v>
      </c>
      <c r="G352" s="2" t="inlineStr">
        <is>
          <t>Yes</t>
        </is>
      </c>
      <c r="H352" s="2" t="n">
        <v>37</v>
      </c>
      <c r="I352" s="2" t="n">
        <v>2.9</v>
      </c>
      <c r="J352" s="2" t="n">
        <v>2.8</v>
      </c>
      <c r="K352" s="2" t="n">
        <v>4.3</v>
      </c>
      <c r="L352" s="2" t="inlineStr">
        <is>
          <t>Active</t>
        </is>
      </c>
    </row>
    <row r="353">
      <c r="A353" s="2" t="inlineStr">
        <is>
          <t>EMP00669</t>
        </is>
      </c>
      <c r="B353" s="2" t="inlineStr">
        <is>
          <t>Engineering</t>
        </is>
      </c>
      <c r="C353" s="2" t="inlineStr">
        <is>
          <t>Software Engineer</t>
        </is>
      </c>
      <c r="D353" s="2" t="n">
        <v>36</v>
      </c>
      <c r="E353" s="2" t="n">
        <v>6.8</v>
      </c>
      <c r="F353" s="2" t="n">
        <v>1286000</v>
      </c>
      <c r="G353" s="2" t="inlineStr">
        <is>
          <t>No</t>
        </is>
      </c>
      <c r="H353" s="2" t="n">
        <v>2</v>
      </c>
      <c r="I353" s="2" t="n">
        <v>4.9</v>
      </c>
      <c r="J353" s="2" t="n">
        <v>1.4</v>
      </c>
      <c r="K353" s="2" t="n">
        <v>1.7</v>
      </c>
      <c r="L353" s="2" t="inlineStr">
        <is>
          <t>Active</t>
        </is>
      </c>
    </row>
    <row r="354">
      <c r="A354" s="2" t="inlineStr">
        <is>
          <t>EMP00345</t>
        </is>
      </c>
      <c r="B354" s="2" t="inlineStr">
        <is>
          <t>HR</t>
        </is>
      </c>
      <c r="C354" s="2" t="inlineStr">
        <is>
          <t>HR Generalist</t>
        </is>
      </c>
      <c r="D354" s="2" t="n">
        <v>25</v>
      </c>
      <c r="E354" s="2" t="n">
        <v>1.6</v>
      </c>
      <c r="F354" s="2" t="n">
        <v>520000</v>
      </c>
      <c r="G354" s="2" t="inlineStr">
        <is>
          <t>Yes</t>
        </is>
      </c>
      <c r="H354" s="2" t="n">
        <v>19</v>
      </c>
      <c r="I354" s="2" t="n">
        <v>4.7</v>
      </c>
      <c r="J354" s="2" t="n">
        <v>2.4</v>
      </c>
      <c r="K354" s="2" t="n">
        <v>2.8</v>
      </c>
      <c r="L354" s="2" t="inlineStr">
        <is>
          <t>Active</t>
        </is>
      </c>
    </row>
    <row r="355">
      <c r="A355" s="2" t="inlineStr">
        <is>
          <t>EMP00714</t>
        </is>
      </c>
      <c r="B355" s="2" t="inlineStr">
        <is>
          <t>Customer Support</t>
        </is>
      </c>
      <c r="C355" s="2" t="inlineStr">
        <is>
          <t>Support Manager</t>
        </is>
      </c>
      <c r="D355" s="2" t="n">
        <v>29</v>
      </c>
      <c r="E355" s="2" t="n">
        <v>6.6</v>
      </c>
      <c r="F355" s="2" t="n">
        <v>599000</v>
      </c>
      <c r="G355" s="2" t="inlineStr">
        <is>
          <t>Yes</t>
        </is>
      </c>
      <c r="H355" s="2" t="n">
        <v>57</v>
      </c>
      <c r="I355" s="2" t="n">
        <v>3.8</v>
      </c>
      <c r="J355" s="2" t="n">
        <v>5</v>
      </c>
      <c r="K355" s="2" t="n">
        <v>3.6</v>
      </c>
      <c r="L355" s="2" t="inlineStr">
        <is>
          <t>Active</t>
        </is>
      </c>
    </row>
    <row r="356">
      <c r="A356" s="2" t="inlineStr">
        <is>
          <t>EMP00007</t>
        </is>
      </c>
      <c r="B356" s="2" t="inlineStr">
        <is>
          <t>HR</t>
        </is>
      </c>
      <c r="C356" s="2" t="inlineStr">
        <is>
          <t>Recruiter</t>
        </is>
      </c>
      <c r="D356" s="2" t="n">
        <v>37</v>
      </c>
      <c r="E356" s="2" t="n">
        <v>15.4</v>
      </c>
      <c r="F356" s="2" t="n">
        <v>794000</v>
      </c>
      <c r="G356" s="2" t="inlineStr">
        <is>
          <t>No</t>
        </is>
      </c>
      <c r="H356" s="2" t="n">
        <v>26</v>
      </c>
      <c r="I356" s="2" t="n">
        <v>2.7</v>
      </c>
      <c r="J356" s="2" t="n">
        <v>3</v>
      </c>
      <c r="K356" s="2" t="n">
        <v>3.4</v>
      </c>
      <c r="L356" s="2" t="inlineStr">
        <is>
          <t>Active</t>
        </is>
      </c>
    </row>
    <row r="357">
      <c r="A357" s="2" t="inlineStr">
        <is>
          <t>EMP00940</t>
        </is>
      </c>
      <c r="B357" s="2" t="inlineStr">
        <is>
          <t>Sales</t>
        </is>
      </c>
      <c r="C357" s="2" t="inlineStr">
        <is>
          <t>Sales Manager</t>
        </is>
      </c>
      <c r="D357" s="2" t="n">
        <v>36</v>
      </c>
      <c r="E357" s="2" t="n">
        <v>3.9</v>
      </c>
      <c r="F357" s="2" t="n">
        <v>865000</v>
      </c>
      <c r="G357" s="2" t="inlineStr">
        <is>
          <t>No</t>
        </is>
      </c>
      <c r="H357" s="2" t="n">
        <v>26</v>
      </c>
      <c r="I357" s="2" t="n">
        <v>3.2</v>
      </c>
      <c r="J357" s="2" t="n">
        <v>3.1</v>
      </c>
      <c r="K357" s="2" t="n">
        <v>3.2</v>
      </c>
      <c r="L357" s="2" t="inlineStr">
        <is>
          <t>Active</t>
        </is>
      </c>
    </row>
    <row r="358">
      <c r="A358" s="2" t="inlineStr">
        <is>
          <t>EMP00755</t>
        </is>
      </c>
      <c r="B358" s="2" t="inlineStr">
        <is>
          <t>Finance</t>
        </is>
      </c>
      <c r="C358" s="2" t="inlineStr">
        <is>
          <t>Financial Analyst</t>
        </is>
      </c>
      <c r="D358" s="2" t="n">
        <v>30</v>
      </c>
      <c r="E358" s="2" t="n">
        <v>5.2</v>
      </c>
      <c r="F358" s="2" t="n">
        <v>970000</v>
      </c>
      <c r="G358" s="2" t="inlineStr">
        <is>
          <t>Yes</t>
        </is>
      </c>
      <c r="H358" s="2" t="n">
        <v>24</v>
      </c>
      <c r="I358" s="2" t="n">
        <v>3.3</v>
      </c>
      <c r="J358" s="2" t="n">
        <v>3.8</v>
      </c>
      <c r="K358" s="2" t="n">
        <v>4</v>
      </c>
      <c r="L358" s="2" t="inlineStr">
        <is>
          <t>Active</t>
        </is>
      </c>
    </row>
    <row r="359">
      <c r="A359" s="2" t="inlineStr">
        <is>
          <t>EMP01040</t>
        </is>
      </c>
      <c r="B359" s="2" t="inlineStr">
        <is>
          <t>Sales</t>
        </is>
      </c>
      <c r="C359" s="2" t="inlineStr">
        <is>
          <t>Sales Manager</t>
        </is>
      </c>
      <c r="D359" s="2" t="n">
        <v>41</v>
      </c>
      <c r="E359" s="2" t="n">
        <v>1</v>
      </c>
      <c r="F359" s="2" t="n">
        <v>644000</v>
      </c>
      <c r="G359" s="2" t="inlineStr">
        <is>
          <t>No</t>
        </is>
      </c>
      <c r="H359" s="2" t="n">
        <v>36</v>
      </c>
      <c r="I359" s="2" t="n">
        <v>2.7</v>
      </c>
      <c r="J359" s="2" t="n">
        <v>4.2</v>
      </c>
      <c r="K359" s="2" t="n">
        <v>2.1</v>
      </c>
      <c r="L359" s="2" t="inlineStr">
        <is>
          <t>Resigned</t>
        </is>
      </c>
    </row>
    <row r="360">
      <c r="A360" s="2" t="inlineStr">
        <is>
          <t>EMP00703</t>
        </is>
      </c>
      <c r="B360" s="2" t="inlineStr">
        <is>
          <t>Sales</t>
        </is>
      </c>
      <c r="C360" s="2" t="inlineStr">
        <is>
          <t>Sales Executive</t>
        </is>
      </c>
      <c r="D360" s="2" t="n">
        <v>33</v>
      </c>
      <c r="E360" s="2" t="n">
        <v>4</v>
      </c>
      <c r="F360" s="2" t="n">
        <v>777000</v>
      </c>
      <c r="G360" s="2" t="inlineStr">
        <is>
          <t>Yes</t>
        </is>
      </c>
      <c r="H360" s="2" t="n">
        <v>3</v>
      </c>
      <c r="I360" s="2" t="n">
        <v>1.9</v>
      </c>
      <c r="J360" s="2" t="n">
        <v>2.6</v>
      </c>
      <c r="K360" s="2" t="n">
        <v>3.3</v>
      </c>
      <c r="L360" s="2" t="inlineStr">
        <is>
          <t>Resigned</t>
        </is>
      </c>
    </row>
    <row r="361">
      <c r="A361" s="2" t="inlineStr">
        <is>
          <t>EMP00869</t>
        </is>
      </c>
      <c r="B361" s="2" t="inlineStr">
        <is>
          <t>Sales</t>
        </is>
      </c>
      <c r="C361" s="2" t="inlineStr">
        <is>
          <t>Sales Executive</t>
        </is>
      </c>
      <c r="D361" s="2" t="n">
        <v>42</v>
      </c>
      <c r="E361" s="2" t="n">
        <v>1.8</v>
      </c>
      <c r="F361" s="2" t="n">
        <v>675000</v>
      </c>
      <c r="G361" s="2" t="inlineStr">
        <is>
          <t>Yes</t>
        </is>
      </c>
      <c r="H361" s="2" t="n">
        <v>34</v>
      </c>
      <c r="I361" s="2" t="n">
        <v>3.6</v>
      </c>
      <c r="J361" s="2" t="n">
        <v>3.3</v>
      </c>
      <c r="K361" s="2" t="n">
        <v>3.3</v>
      </c>
      <c r="L361" s="2" t="inlineStr">
        <is>
          <t>Active</t>
        </is>
      </c>
    </row>
    <row r="362">
      <c r="A362" s="2" t="inlineStr">
        <is>
          <t>EMP00958</t>
        </is>
      </c>
      <c r="B362" s="2" t="inlineStr">
        <is>
          <t>Operations</t>
        </is>
      </c>
      <c r="C362" s="2" t="inlineStr">
        <is>
          <t>Process Lead</t>
        </is>
      </c>
      <c r="D362" s="2" t="n">
        <v>30</v>
      </c>
      <c r="E362" s="2" t="n">
        <v>2.8</v>
      </c>
      <c r="F362" s="2" t="n">
        <v>750000</v>
      </c>
      <c r="G362" s="2" t="inlineStr">
        <is>
          <t>No</t>
        </is>
      </c>
      <c r="H362" s="2" t="n">
        <v>26</v>
      </c>
      <c r="I362" s="2" t="n">
        <v>5</v>
      </c>
      <c r="J362" s="2" t="n">
        <v>5</v>
      </c>
      <c r="K362" s="2" t="n">
        <v>2.3</v>
      </c>
      <c r="L362" s="2" t="inlineStr">
        <is>
          <t>Active</t>
        </is>
      </c>
    </row>
    <row r="363">
      <c r="A363" s="2" t="inlineStr">
        <is>
          <t>EMP00007</t>
        </is>
      </c>
      <c r="B363" s="2" t="inlineStr">
        <is>
          <t>HR</t>
        </is>
      </c>
      <c r="C363" s="2" t="inlineStr">
        <is>
          <t>Recruiter</t>
        </is>
      </c>
      <c r="D363" s="2" t="n">
        <v>37</v>
      </c>
      <c r="E363" s="2" t="n">
        <v>15.4</v>
      </c>
      <c r="F363" s="2" t="n">
        <v>794000</v>
      </c>
      <c r="G363" s="2" t="inlineStr">
        <is>
          <t>No</t>
        </is>
      </c>
      <c r="H363" s="2" t="n">
        <v>26</v>
      </c>
      <c r="I363" s="2" t="n">
        <v>2.7</v>
      </c>
      <c r="J363" s="2" t="n">
        <v>3</v>
      </c>
      <c r="K363" s="2" t="n">
        <v>3.4</v>
      </c>
      <c r="L363" s="2" t="inlineStr">
        <is>
          <t>Active</t>
        </is>
      </c>
    </row>
    <row r="364">
      <c r="A364" s="2" t="inlineStr">
        <is>
          <t>EMP00410</t>
        </is>
      </c>
      <c r="B364" s="2" t="inlineStr">
        <is>
          <t>Customer Support</t>
        </is>
      </c>
      <c r="C364" s="2" t="inlineStr">
        <is>
          <t>Support Associate</t>
        </is>
      </c>
      <c r="D364" s="2" t="n">
        <v>45</v>
      </c>
      <c r="E364" s="2" t="n">
        <v>11.3</v>
      </c>
      <c r="F364" s="2" t="n">
        <v>720000</v>
      </c>
      <c r="G364" s="2" t="inlineStr">
        <is>
          <t>No</t>
        </is>
      </c>
      <c r="H364" s="2" t="n">
        <v>8</v>
      </c>
      <c r="I364" s="2" t="n">
        <v>2.9</v>
      </c>
      <c r="J364" s="2" t="n">
        <v>1.8</v>
      </c>
      <c r="K364" s="2" t="n">
        <v>3.6</v>
      </c>
      <c r="L364" s="2" t="inlineStr">
        <is>
          <t>Active</t>
        </is>
      </c>
    </row>
    <row r="365">
      <c r="A365" s="2" t="inlineStr">
        <is>
          <t>EMP00123</t>
        </is>
      </c>
      <c r="B365" s="2" t="inlineStr">
        <is>
          <t>Sales</t>
        </is>
      </c>
      <c r="C365" s="2" t="inlineStr">
        <is>
          <t>Sales Executive</t>
        </is>
      </c>
      <c r="D365" s="2" t="n">
        <v>31</v>
      </c>
      <c r="E365" s="2" t="n">
        <v>4.7</v>
      </c>
      <c r="F365" s="2" t="n">
        <v>813000</v>
      </c>
      <c r="G365" s="2" t="inlineStr">
        <is>
          <t>Yes</t>
        </is>
      </c>
      <c r="H365" s="2" t="n">
        <v>13</v>
      </c>
      <c r="I365" s="2" t="n">
        <v>4.5</v>
      </c>
      <c r="J365" s="2" t="n">
        <v>4.4</v>
      </c>
      <c r="K365" s="2" t="n">
        <v>2.8</v>
      </c>
      <c r="L365" s="2" t="inlineStr">
        <is>
          <t>Active</t>
        </is>
      </c>
    </row>
    <row r="366">
      <c r="A366" s="2" t="inlineStr">
        <is>
          <t>EMP01049</t>
        </is>
      </c>
      <c r="B366" s="2" t="inlineStr">
        <is>
          <t>Customer Support</t>
        </is>
      </c>
      <c r="C366" s="2" t="inlineStr">
        <is>
          <t>Support Lead</t>
        </is>
      </c>
      <c r="D366" s="2" t="n">
        <v>32</v>
      </c>
      <c r="E366" s="2" t="n">
        <v>2.2</v>
      </c>
      <c r="F366" s="2" t="n">
        <v>605000</v>
      </c>
      <c r="G366" s="2" t="inlineStr">
        <is>
          <t>No</t>
        </is>
      </c>
      <c r="H366" s="2" t="n">
        <v>52</v>
      </c>
      <c r="I366" s="2" t="n">
        <v>3</v>
      </c>
      <c r="J366" s="2" t="n">
        <v>2.5</v>
      </c>
      <c r="K366" s="2" t="n">
        <v>3.1</v>
      </c>
      <c r="L366" s="2" t="inlineStr">
        <is>
          <t>Active</t>
        </is>
      </c>
    </row>
    <row r="367">
      <c r="A367" s="2" t="inlineStr">
        <is>
          <t>EMP00139</t>
        </is>
      </c>
      <c r="B367" s="2" t="inlineStr">
        <is>
          <t>HR</t>
        </is>
      </c>
      <c r="C367" s="2" t="inlineStr">
        <is>
          <t>Recruiter</t>
        </is>
      </c>
      <c r="D367" s="2" t="n">
        <v>60</v>
      </c>
      <c r="E367" s="2" t="n">
        <v>4.8</v>
      </c>
      <c r="F367" s="2" t="n">
        <v>695000</v>
      </c>
      <c r="G367" s="2" t="inlineStr">
        <is>
          <t>Yes</t>
        </is>
      </c>
      <c r="H367" s="2" t="n">
        <v>24</v>
      </c>
      <c r="I367" s="2" t="n">
        <v>4.1</v>
      </c>
      <c r="J367" s="2" t="n">
        <v>1.7</v>
      </c>
      <c r="K367" s="2" t="n">
        <v>2.4</v>
      </c>
      <c r="L367" s="2" t="inlineStr">
        <is>
          <t>Active</t>
        </is>
      </c>
    </row>
    <row r="368">
      <c r="A368" s="2" t="inlineStr">
        <is>
          <t>EMP00164</t>
        </is>
      </c>
      <c r="B368" s="2" t="inlineStr">
        <is>
          <t>Sales</t>
        </is>
      </c>
      <c r="C368" s="2" t="inlineStr">
        <is>
          <t>Account Manager</t>
        </is>
      </c>
      <c r="D368" s="2" t="n">
        <v>30</v>
      </c>
      <c r="E368" s="2" t="n">
        <v>3.5</v>
      </c>
      <c r="F368" s="2" t="n">
        <v>798000</v>
      </c>
      <c r="G368" s="2" t="inlineStr">
        <is>
          <t>No</t>
        </is>
      </c>
      <c r="H368" s="2" t="n">
        <v>57</v>
      </c>
      <c r="I368" s="2" t="n">
        <v>3.8</v>
      </c>
      <c r="J368" s="2" t="n">
        <v>2.3</v>
      </c>
      <c r="K368" s="2" t="n">
        <v>2.8</v>
      </c>
      <c r="L368" s="2" t="inlineStr">
        <is>
          <t>Active</t>
        </is>
      </c>
    </row>
    <row r="369">
      <c r="A369" s="2" t="inlineStr">
        <is>
          <t>EMP00734</t>
        </is>
      </c>
      <c r="B369" s="2" t="inlineStr">
        <is>
          <t>Engineering</t>
        </is>
      </c>
      <c r="C369" s="2" t="inlineStr">
        <is>
          <t>Software Engineer</t>
        </is>
      </c>
      <c r="D369" s="2" t="n">
        <v>43</v>
      </c>
      <c r="E369" s="2" t="n">
        <v>1</v>
      </c>
      <c r="F369" s="2" t="n">
        <v>1095000</v>
      </c>
      <c r="G369" s="2" t="inlineStr">
        <is>
          <t>Yes</t>
        </is>
      </c>
      <c r="H369" s="2" t="n">
        <v>26</v>
      </c>
      <c r="I369" s="2" t="n">
        <v>3.9</v>
      </c>
      <c r="J369" s="2" t="n">
        <v>2.3</v>
      </c>
      <c r="K369" s="2" t="n">
        <v>3.5</v>
      </c>
      <c r="L369" s="2" t="inlineStr">
        <is>
          <t>Active</t>
        </is>
      </c>
    </row>
    <row r="370">
      <c r="A370" s="2" t="inlineStr">
        <is>
          <t>EMP00549</t>
        </is>
      </c>
      <c r="B370" s="2" t="inlineStr">
        <is>
          <t>HR</t>
        </is>
      </c>
      <c r="C370" s="2" t="inlineStr">
        <is>
          <t>Recruiter</t>
        </is>
      </c>
      <c r="D370" s="2" t="n">
        <v>33</v>
      </c>
      <c r="E370" s="2" t="n">
        <v>4.5</v>
      </c>
      <c r="F370" s="2" t="n">
        <v>763000</v>
      </c>
      <c r="G370" s="2" t="inlineStr">
        <is>
          <t>No</t>
        </is>
      </c>
      <c r="H370" s="2" t="n">
        <v>33</v>
      </c>
      <c r="I370" s="2" t="n">
        <v>2.1</v>
      </c>
      <c r="J370" s="2" t="n">
        <v>3.3</v>
      </c>
      <c r="K370" s="2" t="n">
        <v>3.5</v>
      </c>
      <c r="L370" s="2" t="inlineStr">
        <is>
          <t>Resigned</t>
        </is>
      </c>
    </row>
    <row r="371">
      <c r="A371" s="2" t="inlineStr">
        <is>
          <t>EMP01072</t>
        </is>
      </c>
      <c r="B371" s="2" t="inlineStr">
        <is>
          <t>Finance</t>
        </is>
      </c>
      <c r="C371" s="2" t="inlineStr">
        <is>
          <t>Finance Manager</t>
        </is>
      </c>
      <c r="D371" s="2" t="n">
        <v>49</v>
      </c>
      <c r="E371" s="2" t="n">
        <v>5.6</v>
      </c>
      <c r="F371" s="2" t="n">
        <v>1033000</v>
      </c>
      <c r="G371" s="2" t="inlineStr">
        <is>
          <t>Yes</t>
        </is>
      </c>
      <c r="H371" s="2" t="n">
        <v>2</v>
      </c>
      <c r="I371" s="2" t="n">
        <v>5</v>
      </c>
      <c r="J371" s="2" t="n">
        <v>2.6</v>
      </c>
      <c r="K371" s="2" t="n">
        <v>3.2</v>
      </c>
      <c r="L371" s="2" t="inlineStr">
        <is>
          <t>Active</t>
        </is>
      </c>
    </row>
    <row r="372">
      <c r="A372" s="2" t="inlineStr">
        <is>
          <t>EMP00044</t>
        </is>
      </c>
      <c r="B372" s="2" t="inlineStr">
        <is>
          <t>Engineering</t>
        </is>
      </c>
      <c r="C372" s="2" t="inlineStr">
        <is>
          <t>Software Engineer</t>
        </is>
      </c>
      <c r="D372" s="2" t="n">
        <v>28</v>
      </c>
      <c r="E372" s="2" t="n">
        <v>1.1</v>
      </c>
      <c r="F372" s="2" t="n">
        <v>914000</v>
      </c>
      <c r="G372" s="2" t="inlineStr">
        <is>
          <t>No</t>
        </is>
      </c>
      <c r="H372" s="2" t="n">
        <v>34</v>
      </c>
      <c r="I372" s="2" t="n">
        <v>3.6</v>
      </c>
      <c r="J372" s="2" t="n">
        <v>3.8</v>
      </c>
      <c r="K372" s="2" t="n">
        <v>3</v>
      </c>
      <c r="L372" s="2" t="inlineStr">
        <is>
          <t>Active</t>
        </is>
      </c>
    </row>
    <row r="373">
      <c r="A373" s="2" t="inlineStr">
        <is>
          <t>EMP00779</t>
        </is>
      </c>
      <c r="B373" s="2" t="inlineStr">
        <is>
          <t>HR</t>
        </is>
      </c>
      <c r="C373" s="2" t="inlineStr">
        <is>
          <t>HR Generalist</t>
        </is>
      </c>
      <c r="D373" s="2" t="n">
        <v>27</v>
      </c>
      <c r="E373" s="2" t="n">
        <v>2.9</v>
      </c>
      <c r="F373" s="2" t="n">
        <v>614000</v>
      </c>
      <c r="G373" s="2" t="inlineStr">
        <is>
          <t>Yes</t>
        </is>
      </c>
      <c r="H373" s="2" t="n">
        <v>7</v>
      </c>
      <c r="I373" s="2" t="n">
        <v>3.7</v>
      </c>
      <c r="J373" s="2" t="n">
        <v>2.8</v>
      </c>
      <c r="K373" s="2" t="n">
        <v>2.2</v>
      </c>
      <c r="L373" s="2" t="inlineStr">
        <is>
          <t>Active</t>
        </is>
      </c>
    </row>
    <row r="374">
      <c r="A374" s="2" t="inlineStr">
        <is>
          <t>EMP01056</t>
        </is>
      </c>
      <c r="B374" s="2" t="inlineStr">
        <is>
          <t>Finance</t>
        </is>
      </c>
      <c r="C374" s="2" t="inlineStr">
        <is>
          <t>Finance Manager</t>
        </is>
      </c>
      <c r="D374" s="2" t="n">
        <v>27</v>
      </c>
      <c r="E374" s="2" t="n">
        <v>1.6</v>
      </c>
      <c r="F374" s="2" t="n">
        <v>869000</v>
      </c>
      <c r="G374" s="2" t="inlineStr">
        <is>
          <t>Yes</t>
        </is>
      </c>
      <c r="H374" s="2" t="n">
        <v>48</v>
      </c>
      <c r="I374" s="2" t="n">
        <v>5</v>
      </c>
      <c r="J374" s="2" t="n">
        <v>2.1</v>
      </c>
      <c r="K374" s="2" t="n">
        <v>2.8</v>
      </c>
      <c r="L374" s="2" t="inlineStr">
        <is>
          <t>Active</t>
        </is>
      </c>
    </row>
    <row r="375">
      <c r="A375" s="2" t="inlineStr">
        <is>
          <t>EMP00320</t>
        </is>
      </c>
      <c r="B375" s="2" t="inlineStr">
        <is>
          <t>Customer Support</t>
        </is>
      </c>
      <c r="C375" s="2" t="inlineStr">
        <is>
          <t>Support Associate</t>
        </is>
      </c>
      <c r="D375" s="2" t="n">
        <v>22</v>
      </c>
      <c r="E375" s="2" t="n">
        <v>0.5</v>
      </c>
      <c r="F375" s="2" t="n">
        <v>538000</v>
      </c>
      <c r="G375" s="2" t="inlineStr">
        <is>
          <t>No</t>
        </is>
      </c>
      <c r="H375" s="2" t="n">
        <v>59</v>
      </c>
      <c r="I375" s="2" t="n">
        <v>2.9</v>
      </c>
      <c r="J375" s="2" t="n">
        <v>2.1</v>
      </c>
      <c r="K375" s="2" t="n">
        <v>4.2</v>
      </c>
      <c r="L375" s="2" t="inlineStr">
        <is>
          <t>Active</t>
        </is>
      </c>
    </row>
    <row r="376">
      <c r="A376" s="2" t="inlineStr">
        <is>
          <t>EMP00796</t>
        </is>
      </c>
      <c r="B376" s="2" t="inlineStr">
        <is>
          <t>Engineering</t>
        </is>
      </c>
      <c r="C376" s="2" t="inlineStr">
        <is>
          <t>Software Engineer</t>
        </is>
      </c>
      <c r="D376" s="2" t="n">
        <v>36</v>
      </c>
      <c r="E376" s="2" t="n">
        <v>4.3</v>
      </c>
      <c r="F376" s="2" t="n">
        <v>1048000</v>
      </c>
      <c r="G376" s="2" t="inlineStr">
        <is>
          <t>No</t>
        </is>
      </c>
      <c r="H376" s="2" t="n">
        <v>41</v>
      </c>
      <c r="I376" s="2" t="n">
        <v>2.7</v>
      </c>
      <c r="J376" s="2" t="n">
        <v>2.1</v>
      </c>
      <c r="K376" s="2" t="n">
        <v>3.1</v>
      </c>
      <c r="L376" s="2" t="inlineStr">
        <is>
          <t>Resigned</t>
        </is>
      </c>
    </row>
    <row r="377">
      <c r="A377" s="2" t="inlineStr">
        <is>
          <t>EMP00452</t>
        </is>
      </c>
      <c r="B377" s="2" t="inlineStr">
        <is>
          <t>Customer Support</t>
        </is>
      </c>
      <c r="C377" s="2" t="inlineStr">
        <is>
          <t>Support Lead</t>
        </is>
      </c>
      <c r="D377" s="2" t="n">
        <v>28</v>
      </c>
      <c r="E377" s="2" t="n">
        <v>3.9</v>
      </c>
      <c r="F377" s="2" t="n">
        <v>531000</v>
      </c>
      <c r="G377" s="2" t="inlineStr">
        <is>
          <t>No</t>
        </is>
      </c>
      <c r="H377" s="2" t="n">
        <v>26</v>
      </c>
      <c r="I377" s="2" t="n">
        <v>3.1</v>
      </c>
      <c r="J377" s="2" t="n">
        <v>2.6</v>
      </c>
      <c r="K377" s="2" t="n">
        <v>4.7</v>
      </c>
      <c r="L377" s="2" t="inlineStr">
        <is>
          <t>Active</t>
        </is>
      </c>
    </row>
    <row r="378">
      <c r="A378" s="2" t="inlineStr">
        <is>
          <t>EMP00295</t>
        </is>
      </c>
      <c r="B378" s="2" t="inlineStr">
        <is>
          <t>Customer Support</t>
        </is>
      </c>
      <c r="C378" s="2" t="inlineStr">
        <is>
          <t>Support Manager</t>
        </is>
      </c>
      <c r="D378" s="2" t="n">
        <v>39</v>
      </c>
      <c r="E378" s="2" t="n">
        <v>2.3</v>
      </c>
      <c r="F378" s="2" t="n">
        <v>548000</v>
      </c>
      <c r="G378" s="2" t="inlineStr">
        <is>
          <t>No</t>
        </is>
      </c>
      <c r="H378" s="2" t="n">
        <v>24</v>
      </c>
      <c r="I378" s="2" t="n">
        <v>4.1</v>
      </c>
      <c r="J378" s="2" t="n">
        <v>2.1</v>
      </c>
      <c r="K378" s="2" t="n">
        <v>2.8</v>
      </c>
      <c r="L378" s="2" t="inlineStr">
        <is>
          <t>Active</t>
        </is>
      </c>
    </row>
    <row r="379">
      <c r="A379" s="2" t="inlineStr">
        <is>
          <t>EMP00588</t>
        </is>
      </c>
      <c r="B379" s="2" t="inlineStr">
        <is>
          <t>Engineering</t>
        </is>
      </c>
      <c r="C379" s="2" t="inlineStr">
        <is>
          <t>Engineering Manager</t>
        </is>
      </c>
      <c r="D379" s="2" t="n">
        <v>24</v>
      </c>
      <c r="E379" s="2" t="n">
        <v>6.6</v>
      </c>
      <c r="F379" s="2" t="n">
        <v>1341000</v>
      </c>
      <c r="G379" s="2" t="inlineStr">
        <is>
          <t>Yes</t>
        </is>
      </c>
      <c r="H379" s="2" t="n">
        <v>36</v>
      </c>
      <c r="I379" s="2" t="n">
        <v>3.9</v>
      </c>
      <c r="J379" s="2" t="n">
        <v>3.4</v>
      </c>
      <c r="K379" s="2" t="n">
        <v>4.1</v>
      </c>
      <c r="L379" s="2" t="inlineStr">
        <is>
          <t>Active</t>
        </is>
      </c>
    </row>
    <row r="380">
      <c r="A380" s="2" t="inlineStr">
        <is>
          <t>EMP00559</t>
        </is>
      </c>
      <c r="B380" s="2" t="inlineStr">
        <is>
          <t>Operations</t>
        </is>
      </c>
      <c r="C380" s="2" t="inlineStr">
        <is>
          <t>Ops Manager</t>
        </is>
      </c>
      <c r="D380" s="2" t="n">
        <v>34</v>
      </c>
      <c r="E380" s="2" t="n">
        <v>2.3</v>
      </c>
      <c r="F380" s="2" t="n">
        <v>640000</v>
      </c>
      <c r="G380" s="2" t="inlineStr">
        <is>
          <t>No</t>
        </is>
      </c>
      <c r="H380" s="2" t="n">
        <v>25</v>
      </c>
      <c r="I380" s="2" t="n">
        <v>3.4</v>
      </c>
      <c r="J380" s="2" t="n">
        <v>3.9</v>
      </c>
      <c r="K380" s="2" t="n">
        <v>3.8</v>
      </c>
      <c r="L380" s="2" t="inlineStr">
        <is>
          <t>Active</t>
        </is>
      </c>
    </row>
    <row r="381">
      <c r="A381" s="2" t="inlineStr">
        <is>
          <t>EMP01020</t>
        </is>
      </c>
      <c r="B381" s="2" t="inlineStr">
        <is>
          <t>Operations</t>
        </is>
      </c>
      <c r="C381" s="2" t="inlineStr">
        <is>
          <t>Ops Analyst</t>
        </is>
      </c>
      <c r="D381" s="2" t="n">
        <v>37</v>
      </c>
      <c r="E381" s="2" t="n">
        <v>2.9</v>
      </c>
      <c r="F381" s="2" t="n">
        <v>616000</v>
      </c>
      <c r="G381" s="2" t="inlineStr">
        <is>
          <t>Yes</t>
        </is>
      </c>
      <c r="H381" s="2" t="n">
        <v>6</v>
      </c>
      <c r="I381" s="2" t="n">
        <v>4</v>
      </c>
      <c r="J381" s="2" t="n">
        <v>2.2</v>
      </c>
      <c r="K381" s="2" t="n">
        <v>3</v>
      </c>
      <c r="L381" s="2" t="inlineStr">
        <is>
          <t>Active</t>
        </is>
      </c>
    </row>
    <row r="382">
      <c r="A382" s="2" t="inlineStr">
        <is>
          <t>EMP00507</t>
        </is>
      </c>
      <c r="B382" s="2" t="inlineStr">
        <is>
          <t>Engineering</t>
        </is>
      </c>
      <c r="C382" s="2" t="inlineStr">
        <is>
          <t>Senior Engineer</t>
        </is>
      </c>
      <c r="D382" s="2" t="n">
        <v>23</v>
      </c>
      <c r="E382" s="2" t="n">
        <v>3.2</v>
      </c>
      <c r="F382" s="2" t="n">
        <v>1016000</v>
      </c>
      <c r="G382" s="2" t="inlineStr">
        <is>
          <t>No</t>
        </is>
      </c>
      <c r="H382" s="2" t="n">
        <v>19</v>
      </c>
      <c r="I382" s="2" t="n">
        <v>3.9</v>
      </c>
      <c r="J382" s="2" t="n">
        <v>4</v>
      </c>
      <c r="K382" s="2" t="n">
        <v>3</v>
      </c>
      <c r="L382" s="2" t="inlineStr">
        <is>
          <t>Active</t>
        </is>
      </c>
    </row>
    <row r="383">
      <c r="A383" s="2" t="inlineStr">
        <is>
          <t>EMP00020</t>
        </is>
      </c>
      <c r="B383" s="2" t="inlineStr">
        <is>
          <t>Finance</t>
        </is>
      </c>
      <c r="C383" s="2" t="inlineStr">
        <is>
          <t>Accountant</t>
        </is>
      </c>
      <c r="D383" s="2" t="n">
        <v>28</v>
      </c>
      <c r="E383" s="2" t="n">
        <v>2.4</v>
      </c>
      <c r="F383" s="2" t="n">
        <v>938000</v>
      </c>
      <c r="G383" s="2" t="inlineStr">
        <is>
          <t>No</t>
        </is>
      </c>
      <c r="H383" s="2" t="n">
        <v>26</v>
      </c>
      <c r="I383" s="2" t="n">
        <v>3.2</v>
      </c>
      <c r="J383" s="2" t="n">
        <v>3.2</v>
      </c>
      <c r="K383" s="2" t="n">
        <v>3.3</v>
      </c>
      <c r="L383" s="2" t="inlineStr">
        <is>
          <t>Active</t>
        </is>
      </c>
    </row>
    <row r="384">
      <c r="A384" s="2" t="inlineStr">
        <is>
          <t>EMP00474</t>
        </is>
      </c>
      <c r="B384" s="2" t="inlineStr">
        <is>
          <t>Sales</t>
        </is>
      </c>
      <c r="C384" s="2" t="inlineStr">
        <is>
          <t>Sales Executive</t>
        </is>
      </c>
      <c r="D384" s="2" t="n">
        <v>35</v>
      </c>
      <c r="E384" s="2" t="n">
        <v>1.1</v>
      </c>
      <c r="F384" s="2" t="n">
        <v>659000</v>
      </c>
      <c r="G384" s="2" t="inlineStr">
        <is>
          <t>No</t>
        </is>
      </c>
      <c r="H384" s="2" t="n">
        <v>16</v>
      </c>
      <c r="I384" s="2" t="n">
        <v>3.3</v>
      </c>
      <c r="J384" s="2" t="n">
        <v>2.1</v>
      </c>
      <c r="K384" s="2" t="n">
        <v>3</v>
      </c>
      <c r="L384" s="2" t="inlineStr">
        <is>
          <t>Active</t>
        </is>
      </c>
    </row>
    <row r="385">
      <c r="A385" s="2" t="inlineStr">
        <is>
          <t>EMP00675</t>
        </is>
      </c>
      <c r="B385" s="2" t="inlineStr">
        <is>
          <t>Operations</t>
        </is>
      </c>
      <c r="C385" s="2" t="inlineStr">
        <is>
          <t>Ops Manager</t>
        </is>
      </c>
      <c r="D385" s="2" t="n">
        <v>45</v>
      </c>
      <c r="E385" s="2" t="n">
        <v>4.5</v>
      </c>
      <c r="F385" s="2" t="n">
        <v>693000</v>
      </c>
      <c r="G385" s="2" t="inlineStr">
        <is>
          <t>Yes</t>
        </is>
      </c>
      <c r="H385" s="2" t="n">
        <v>48</v>
      </c>
      <c r="I385" s="2" t="n">
        <v>3.6</v>
      </c>
      <c r="J385" s="2" t="n">
        <v>2.6</v>
      </c>
      <c r="K385" s="2" t="n">
        <v>3.6</v>
      </c>
      <c r="L385" s="2" t="inlineStr">
        <is>
          <t>Active</t>
        </is>
      </c>
    </row>
    <row r="386">
      <c r="A386" s="2" t="inlineStr">
        <is>
          <t>EMP00700</t>
        </is>
      </c>
      <c r="B386" s="2" t="inlineStr">
        <is>
          <t>Engineering</t>
        </is>
      </c>
      <c r="C386" s="2" t="inlineStr">
        <is>
          <t>Software Engineer</t>
        </is>
      </c>
      <c r="D386" s="2" t="n">
        <v>30</v>
      </c>
      <c r="E386" s="2" t="n">
        <v>3.1</v>
      </c>
      <c r="F386" s="2" t="n">
        <v>1244000</v>
      </c>
      <c r="G386" s="2" t="inlineStr">
        <is>
          <t>Yes</t>
        </is>
      </c>
      <c r="H386" s="2" t="n">
        <v>35</v>
      </c>
      <c r="I386" s="2" t="n">
        <v>3.8</v>
      </c>
      <c r="J386" s="2" t="n">
        <v>2.5</v>
      </c>
      <c r="K386" s="2" t="n">
        <v>2</v>
      </c>
      <c r="L386" s="2" t="inlineStr">
        <is>
          <t>Active</t>
        </is>
      </c>
    </row>
    <row r="387">
      <c r="A387" s="2" t="inlineStr">
        <is>
          <t>EMP01055</t>
        </is>
      </c>
      <c r="B387" s="2" t="inlineStr">
        <is>
          <t>Engineering</t>
        </is>
      </c>
      <c r="C387" s="2" t="inlineStr">
        <is>
          <t>Engineering Manager</t>
        </is>
      </c>
      <c r="D387" s="2" t="n">
        <v>32</v>
      </c>
      <c r="E387" s="2" t="n">
        <v>2.1</v>
      </c>
      <c r="F387" s="2" t="n">
        <v>1050000</v>
      </c>
      <c r="G387" s="2" t="inlineStr">
        <is>
          <t>No</t>
        </is>
      </c>
      <c r="H387" s="2" t="n">
        <v>24</v>
      </c>
      <c r="I387" s="2" t="n">
        <v>2.9</v>
      </c>
      <c r="J387" s="2" t="n">
        <v>4.2</v>
      </c>
      <c r="K387" s="2" t="n">
        <v>2.6</v>
      </c>
      <c r="L387" s="2" t="inlineStr">
        <is>
          <t>Resigned</t>
        </is>
      </c>
    </row>
    <row r="388">
      <c r="A388" s="2" t="inlineStr">
        <is>
          <t>EMP01101</t>
        </is>
      </c>
      <c r="B388" s="2" t="inlineStr">
        <is>
          <t>Sales</t>
        </is>
      </c>
      <c r="C388" s="2" t="inlineStr">
        <is>
          <t>Sales Executive</t>
        </is>
      </c>
      <c r="D388" s="2" t="n">
        <v>37</v>
      </c>
      <c r="E388" s="2" t="n">
        <v>2.2</v>
      </c>
      <c r="F388" s="2" t="n">
        <v>783000</v>
      </c>
      <c r="G388" s="2" t="inlineStr">
        <is>
          <t>Yes</t>
        </is>
      </c>
      <c r="H388" s="2" t="n">
        <v>3</v>
      </c>
      <c r="I388" s="2" t="n">
        <v>2</v>
      </c>
      <c r="J388" s="2" t="n">
        <v>4</v>
      </c>
      <c r="K388" s="2" t="n">
        <v>2.1</v>
      </c>
      <c r="L388" s="2" t="inlineStr">
        <is>
          <t>Active</t>
        </is>
      </c>
    </row>
    <row r="389">
      <c r="A389" s="2" t="inlineStr">
        <is>
          <t>EMP00138</t>
        </is>
      </c>
      <c r="B389" s="2" t="inlineStr">
        <is>
          <t>Operations</t>
        </is>
      </c>
      <c r="C389" s="2" t="inlineStr">
        <is>
          <t>Ops Manager</t>
        </is>
      </c>
      <c r="D389" s="2" t="n">
        <v>27</v>
      </c>
      <c r="E389" s="2" t="n">
        <v>3.7</v>
      </c>
      <c r="F389" s="2" t="n">
        <v>641000</v>
      </c>
      <c r="G389" s="2" t="inlineStr">
        <is>
          <t>No</t>
        </is>
      </c>
      <c r="H389" s="2" t="n">
        <v>55</v>
      </c>
      <c r="I389" s="2" t="n">
        <v>4</v>
      </c>
      <c r="J389" s="2" t="n">
        <v>4</v>
      </c>
      <c r="K389" s="2" t="n">
        <v>2.7</v>
      </c>
      <c r="L389" s="2" t="inlineStr">
        <is>
          <t>Resigned</t>
        </is>
      </c>
    </row>
    <row r="390">
      <c r="A390" s="2" t="inlineStr">
        <is>
          <t>EMP01122</t>
        </is>
      </c>
      <c r="B390" s="2" t="inlineStr">
        <is>
          <t>Sales</t>
        </is>
      </c>
      <c r="C390" s="2" t="inlineStr">
        <is>
          <t>Sales Executive</t>
        </is>
      </c>
      <c r="D390" s="2" t="n">
        <v>42</v>
      </c>
      <c r="E390" s="2" t="n">
        <v>1.4</v>
      </c>
      <c r="F390" s="2" t="n">
        <v>612000</v>
      </c>
      <c r="G390" s="2" t="inlineStr">
        <is>
          <t>No</t>
        </is>
      </c>
      <c r="H390" s="2" t="n">
        <v>27</v>
      </c>
      <c r="I390" s="2" t="n">
        <v>2.4</v>
      </c>
      <c r="J390" s="2" t="n">
        <v>2.2</v>
      </c>
      <c r="K390" s="2" t="n">
        <v>3.4</v>
      </c>
      <c r="L390" s="2" t="inlineStr">
        <is>
          <t>Active</t>
        </is>
      </c>
    </row>
    <row r="391">
      <c r="A391" s="2" t="inlineStr">
        <is>
          <t>EMP00527</t>
        </is>
      </c>
      <c r="B391" s="2" t="inlineStr">
        <is>
          <t>Customer Support</t>
        </is>
      </c>
      <c r="C391" s="2" t="inlineStr">
        <is>
          <t>Support Lead</t>
        </is>
      </c>
      <c r="D391" s="2" t="n">
        <v>32</v>
      </c>
      <c r="E391" s="2" t="n">
        <v>2.7</v>
      </c>
      <c r="F391" s="2" t="n">
        <v>627000</v>
      </c>
      <c r="G391" s="2" t="inlineStr">
        <is>
          <t>No</t>
        </is>
      </c>
      <c r="H391" s="2" t="n">
        <v>12</v>
      </c>
      <c r="I391" s="2" t="n">
        <v>4.7</v>
      </c>
      <c r="J391" s="2" t="n">
        <v>5</v>
      </c>
      <c r="K391" s="2" t="n">
        <v>3</v>
      </c>
      <c r="L391" s="2" t="inlineStr">
        <is>
          <t>Active</t>
        </is>
      </c>
    </row>
    <row r="392">
      <c r="A392" s="2" t="inlineStr">
        <is>
          <t>EMP00186</t>
        </is>
      </c>
      <c r="B392" s="2" t="inlineStr">
        <is>
          <t>Finance</t>
        </is>
      </c>
      <c r="C392" s="2" t="inlineStr">
        <is>
          <t>Accountant</t>
        </is>
      </c>
      <c r="D392" s="2" t="n">
        <v>39</v>
      </c>
      <c r="E392" s="2" t="n">
        <v>3.6</v>
      </c>
      <c r="F392" s="2" t="n">
        <v>855000</v>
      </c>
      <c r="G392" s="2" t="inlineStr">
        <is>
          <t>Yes</t>
        </is>
      </c>
      <c r="H392" s="2" t="n">
        <v>17</v>
      </c>
      <c r="I392" s="2" t="n">
        <v>3.8</v>
      </c>
      <c r="J392" s="2" t="n">
        <v>3.3</v>
      </c>
      <c r="K392" s="2" t="n">
        <v>3.3</v>
      </c>
      <c r="L392" s="2" t="inlineStr">
        <is>
          <t>Active</t>
        </is>
      </c>
    </row>
    <row r="393">
      <c r="A393" s="2" t="inlineStr">
        <is>
          <t>EMP00971</t>
        </is>
      </c>
      <c r="B393" s="2" t="inlineStr">
        <is>
          <t>Engineering</t>
        </is>
      </c>
      <c r="C393" s="2" t="inlineStr">
        <is>
          <t>Engineering Manager</t>
        </is>
      </c>
      <c r="D393" s="2" t="n">
        <v>35</v>
      </c>
      <c r="E393" s="2" t="n">
        <v>4.2</v>
      </c>
      <c r="F393" s="2" t="n">
        <v>1281000</v>
      </c>
      <c r="G393" s="2" t="inlineStr">
        <is>
          <t>No</t>
        </is>
      </c>
      <c r="H393" s="2" t="n">
        <v>1</v>
      </c>
      <c r="I393" s="2" t="n">
        <v>2.5</v>
      </c>
      <c r="J393" s="2" t="n">
        <v>4.8</v>
      </c>
      <c r="K393" s="2" t="n">
        <v>3.3</v>
      </c>
      <c r="L393" s="2" t="inlineStr">
        <is>
          <t>Active</t>
        </is>
      </c>
    </row>
    <row r="394">
      <c r="A394" s="2" t="inlineStr">
        <is>
          <t>EMP01140</t>
        </is>
      </c>
      <c r="B394" s="2" t="inlineStr">
        <is>
          <t>Finance</t>
        </is>
      </c>
      <c r="C394" s="2" t="inlineStr">
        <is>
          <t>Finance Manager</t>
        </is>
      </c>
      <c r="D394" s="2" t="n">
        <v>40</v>
      </c>
      <c r="E394" s="2" t="n">
        <v>3.6</v>
      </c>
      <c r="F394" s="2" t="n">
        <v>860000</v>
      </c>
      <c r="G394" s="2" t="inlineStr">
        <is>
          <t>No</t>
        </is>
      </c>
      <c r="H394" s="2" t="n">
        <v>49</v>
      </c>
      <c r="I394" s="2" t="n">
        <v>2.6</v>
      </c>
      <c r="J394" s="2" t="n">
        <v>3.6</v>
      </c>
      <c r="K394" s="2" t="n">
        <v>2.4</v>
      </c>
      <c r="L394" s="2" t="inlineStr">
        <is>
          <t>Active</t>
        </is>
      </c>
    </row>
    <row r="395">
      <c r="A395" s="2" t="inlineStr">
        <is>
          <t>EMP01157</t>
        </is>
      </c>
      <c r="B395" s="2" t="inlineStr">
        <is>
          <t>Sales</t>
        </is>
      </c>
      <c r="C395" s="2" t="inlineStr">
        <is>
          <t>Sales Manager</t>
        </is>
      </c>
      <c r="D395" s="2" t="n">
        <v>42</v>
      </c>
      <c r="E395" s="2" t="n">
        <v>4.5</v>
      </c>
      <c r="F395" s="2" t="n">
        <v>901000</v>
      </c>
      <c r="G395" s="2" t="inlineStr">
        <is>
          <t>Yes</t>
        </is>
      </c>
      <c r="H395" s="2" t="n">
        <v>18</v>
      </c>
      <c r="I395" s="2" t="n">
        <v>5</v>
      </c>
      <c r="J395" s="2" t="n">
        <v>1</v>
      </c>
      <c r="K395" s="2" t="n">
        <v>3.8</v>
      </c>
      <c r="L395" s="2" t="inlineStr">
        <is>
          <t>Active</t>
        </is>
      </c>
    </row>
    <row r="396">
      <c r="A396" s="2" t="inlineStr">
        <is>
          <t>EMP00873</t>
        </is>
      </c>
      <c r="B396" s="2" t="inlineStr">
        <is>
          <t>Customer Support</t>
        </is>
      </c>
      <c r="C396" s="2" t="inlineStr">
        <is>
          <t>Support Lead</t>
        </is>
      </c>
      <c r="D396" s="2" t="n">
        <v>28</v>
      </c>
      <c r="E396" s="2" t="n">
        <v>1.6</v>
      </c>
      <c r="F396" s="2" t="n">
        <v>551000</v>
      </c>
      <c r="G396" s="2" t="inlineStr">
        <is>
          <t>Yes</t>
        </is>
      </c>
      <c r="H396" s="2" t="n">
        <v>19</v>
      </c>
      <c r="I396" s="2" t="n">
        <v>4.3</v>
      </c>
      <c r="J396" s="2" t="n">
        <v>1.5</v>
      </c>
      <c r="K396" s="2" t="n">
        <v>3.2</v>
      </c>
      <c r="L396" s="2" t="inlineStr">
        <is>
          <t>Resigned</t>
        </is>
      </c>
    </row>
    <row r="397">
      <c r="A397" s="2" t="inlineStr">
        <is>
          <t>EMP01147</t>
        </is>
      </c>
      <c r="B397" s="2" t="inlineStr">
        <is>
          <t>HR</t>
        </is>
      </c>
      <c r="C397" s="2" t="inlineStr">
        <is>
          <t>Recruiter</t>
        </is>
      </c>
      <c r="D397" s="2" t="n">
        <v>27</v>
      </c>
      <c r="E397" s="2" t="n">
        <v>1</v>
      </c>
      <c r="F397" s="2" t="n">
        <v>600000</v>
      </c>
      <c r="G397" s="2" t="inlineStr">
        <is>
          <t>Yes</t>
        </is>
      </c>
      <c r="H397" s="2" t="n">
        <v>48</v>
      </c>
      <c r="I397" s="2" t="n">
        <v>4.5</v>
      </c>
      <c r="J397" s="2" t="n">
        <v>2.5</v>
      </c>
      <c r="K397" s="2" t="n">
        <v>3.4</v>
      </c>
      <c r="L397" s="2" t="inlineStr">
        <is>
          <t>Active</t>
        </is>
      </c>
    </row>
    <row r="398">
      <c r="A398" s="2" t="inlineStr">
        <is>
          <t>EMP00508</t>
        </is>
      </c>
      <c r="B398" s="2" t="inlineStr">
        <is>
          <t>HR</t>
        </is>
      </c>
      <c r="C398" s="2" t="inlineStr">
        <is>
          <t>HR Manager</t>
        </is>
      </c>
      <c r="D398" s="2" t="n">
        <v>33</v>
      </c>
      <c r="E398" s="2" t="n">
        <v>2.9</v>
      </c>
      <c r="F398" s="2" t="n">
        <v>708000</v>
      </c>
      <c r="G398" s="2" t="inlineStr">
        <is>
          <t>No</t>
        </is>
      </c>
      <c r="H398" s="2" t="n">
        <v>14</v>
      </c>
      <c r="I398" s="2" t="n">
        <v>5</v>
      </c>
      <c r="J398" s="2" t="n">
        <v>2.6</v>
      </c>
      <c r="K398" s="2" t="n">
        <v>2.5</v>
      </c>
      <c r="L398" s="2" t="inlineStr">
        <is>
          <t>Active</t>
        </is>
      </c>
    </row>
    <row r="399">
      <c r="A399" s="2" t="inlineStr">
        <is>
          <t>EMP00328</t>
        </is>
      </c>
      <c r="B399" s="2" t="inlineStr">
        <is>
          <t>Operations</t>
        </is>
      </c>
      <c r="C399" s="2" t="inlineStr">
        <is>
          <t>Ops Analyst</t>
        </is>
      </c>
      <c r="D399" s="2" t="n">
        <v>26</v>
      </c>
      <c r="E399" s="2" t="n">
        <v>0.7</v>
      </c>
      <c r="F399" s="2" t="n">
        <v>628000</v>
      </c>
      <c r="G399" s="2" t="inlineStr">
        <is>
          <t>No</t>
        </is>
      </c>
      <c r="H399" s="2" t="n">
        <v>27</v>
      </c>
      <c r="I399" s="2" t="n">
        <v>3.4</v>
      </c>
      <c r="J399" s="2" t="n">
        <v>2.9</v>
      </c>
      <c r="K399" s="2" t="n">
        <v>2.7</v>
      </c>
      <c r="L399" s="2" t="inlineStr">
        <is>
          <t>Active</t>
        </is>
      </c>
    </row>
    <row r="400">
      <c r="A400" s="2" t="inlineStr">
        <is>
          <t>EMP00318</t>
        </is>
      </c>
      <c r="B400" s="2" t="inlineStr">
        <is>
          <t>Finance</t>
        </is>
      </c>
      <c r="C400" s="2" t="inlineStr">
        <is>
          <t>Finance Manager</t>
        </is>
      </c>
      <c r="D400" s="2" t="n">
        <v>36</v>
      </c>
      <c r="E400" s="2" t="n">
        <v>0.2</v>
      </c>
      <c r="F400" s="2" t="n">
        <v>702000</v>
      </c>
      <c r="G400" s="2" t="inlineStr">
        <is>
          <t>Yes</t>
        </is>
      </c>
      <c r="H400" s="2" t="n">
        <v>8</v>
      </c>
      <c r="I400" s="2" t="n">
        <v>2.4</v>
      </c>
      <c r="J400" s="2" t="n">
        <v>2.6</v>
      </c>
      <c r="K400" s="2" t="n">
        <v>3.8</v>
      </c>
      <c r="L400" s="2" t="inlineStr">
        <is>
          <t>Active</t>
        </is>
      </c>
    </row>
    <row r="401">
      <c r="A401" s="2" t="inlineStr">
        <is>
          <t>EMP00838</t>
        </is>
      </c>
      <c r="B401" s="2" t="inlineStr">
        <is>
          <t>Customer Support</t>
        </is>
      </c>
      <c r="C401" s="2" t="inlineStr">
        <is>
          <t>Support Manager</t>
        </is>
      </c>
      <c r="D401" s="2" t="n">
        <v>24</v>
      </c>
      <c r="E401" s="2" t="n">
        <v>0.6</v>
      </c>
      <c r="F401" s="2" t="n">
        <v>531000</v>
      </c>
      <c r="G401" s="2" t="inlineStr">
        <is>
          <t>Yes</t>
        </is>
      </c>
      <c r="H401" s="2" t="n">
        <v>49</v>
      </c>
      <c r="I401" s="2" t="n">
        <v>4.4</v>
      </c>
      <c r="J401" s="2" t="n">
        <v>2.5</v>
      </c>
      <c r="K401" s="2" t="n">
        <v>3.6</v>
      </c>
      <c r="L401" s="2" t="inlineStr">
        <is>
          <t>Active</t>
        </is>
      </c>
    </row>
    <row r="402">
      <c r="A402" s="2" t="inlineStr">
        <is>
          <t>EMP01143</t>
        </is>
      </c>
      <c r="B402" s="2" t="inlineStr">
        <is>
          <t>HR</t>
        </is>
      </c>
      <c r="C402" s="2" t="inlineStr">
        <is>
          <t>HR Generalist</t>
        </is>
      </c>
      <c r="D402" s="2" t="n">
        <v>27</v>
      </c>
      <c r="E402" s="2" t="n">
        <v>1.5</v>
      </c>
      <c r="F402" s="2" t="n">
        <v>630000</v>
      </c>
      <c r="G402" s="2" t="inlineStr">
        <is>
          <t>No</t>
        </is>
      </c>
      <c r="H402" s="2" t="n">
        <v>50</v>
      </c>
      <c r="I402" s="2" t="n">
        <v>2.6</v>
      </c>
      <c r="J402" s="2" t="n">
        <v>1.8</v>
      </c>
      <c r="K402" s="2" t="n">
        <v>2.7</v>
      </c>
      <c r="L402" s="2" t="inlineStr">
        <is>
          <t>Active</t>
        </is>
      </c>
    </row>
    <row r="403">
      <c r="A403" s="2" t="inlineStr">
        <is>
          <t>EMP00722</t>
        </is>
      </c>
      <c r="B403" s="2" t="inlineStr">
        <is>
          <t>Operations</t>
        </is>
      </c>
      <c r="C403" s="2" t="inlineStr">
        <is>
          <t>Process Lead</t>
        </is>
      </c>
      <c r="D403" s="2" t="n">
        <v>36</v>
      </c>
      <c r="E403" s="2" t="n">
        <v>6.8</v>
      </c>
      <c r="F403" s="2" t="n">
        <v>842000</v>
      </c>
      <c r="G403" s="2" t="inlineStr">
        <is>
          <t>No</t>
        </is>
      </c>
      <c r="H403" s="2" t="n">
        <v>30</v>
      </c>
      <c r="I403" s="2" t="n">
        <v>3.8</v>
      </c>
      <c r="J403" s="2" t="n">
        <v>1.8</v>
      </c>
      <c r="K403" s="2" t="n">
        <v>2.8</v>
      </c>
      <c r="L403" s="2" t="inlineStr">
        <is>
          <t>Active</t>
        </is>
      </c>
    </row>
    <row r="404">
      <c r="A404" s="2" t="inlineStr">
        <is>
          <t>EMP00732</t>
        </is>
      </c>
      <c r="B404" s="2" t="inlineStr">
        <is>
          <t>Sales</t>
        </is>
      </c>
      <c r="C404" s="2" t="inlineStr">
        <is>
          <t>Account Manager</t>
        </is>
      </c>
      <c r="D404" s="2" t="n">
        <v>38</v>
      </c>
      <c r="E404" s="2" t="n">
        <v>4.5</v>
      </c>
      <c r="F404" s="2" t="n">
        <v>746000</v>
      </c>
      <c r="G404" s="2" t="inlineStr">
        <is>
          <t>No</t>
        </is>
      </c>
      <c r="H404" s="2" t="n">
        <v>23</v>
      </c>
      <c r="I404" s="2" t="n">
        <v>2.5</v>
      </c>
      <c r="J404" s="2" t="n">
        <v>3.8</v>
      </c>
      <c r="K404" s="2" t="n">
        <v>3.8</v>
      </c>
      <c r="L404" s="2" t="inlineStr">
        <is>
          <t>Active</t>
        </is>
      </c>
    </row>
    <row r="405">
      <c r="A405" s="2" t="inlineStr">
        <is>
          <t>EMP00800</t>
        </is>
      </c>
      <c r="B405" s="2" t="inlineStr">
        <is>
          <t>Finance</t>
        </is>
      </c>
      <c r="C405" s="2" t="inlineStr">
        <is>
          <t>Financial Analyst</t>
        </is>
      </c>
      <c r="D405" s="2" t="n">
        <v>38</v>
      </c>
      <c r="E405" s="2" t="n">
        <v>0.7</v>
      </c>
      <c r="F405" s="2" t="n">
        <v>831000</v>
      </c>
      <c r="G405" s="2" t="inlineStr">
        <is>
          <t>No</t>
        </is>
      </c>
      <c r="H405" s="2" t="n">
        <v>59</v>
      </c>
      <c r="I405" s="2" t="n">
        <v>3.9</v>
      </c>
      <c r="J405" s="2" t="n">
        <v>2.8</v>
      </c>
      <c r="K405" s="2" t="n">
        <v>4.5</v>
      </c>
      <c r="L405" s="2" t="inlineStr">
        <is>
          <t>Active</t>
        </is>
      </c>
    </row>
    <row r="406">
      <c r="A406" s="2" t="inlineStr">
        <is>
          <t>EMP00472</t>
        </is>
      </c>
      <c r="B406" s="2" t="inlineStr">
        <is>
          <t>Operations</t>
        </is>
      </c>
      <c r="C406" s="2" t="inlineStr">
        <is>
          <t>Process Lead</t>
        </is>
      </c>
      <c r="D406" s="2" t="n">
        <v>38</v>
      </c>
      <c r="E406" s="2" t="n">
        <v>3.2</v>
      </c>
      <c r="F406" s="2" t="n">
        <v>724000</v>
      </c>
      <c r="G406" s="2" t="inlineStr">
        <is>
          <t>No</t>
        </is>
      </c>
      <c r="H406" s="2" t="n">
        <v>36</v>
      </c>
      <c r="I406" s="2" t="n">
        <v>3.7</v>
      </c>
      <c r="J406" s="2" t="n">
        <v>3.3</v>
      </c>
      <c r="K406" s="2" t="n">
        <v>4.2</v>
      </c>
      <c r="L406" s="2" t="inlineStr">
        <is>
          <t>Active</t>
        </is>
      </c>
    </row>
    <row r="407">
      <c r="A407" s="2" t="inlineStr">
        <is>
          <t>EMP00484</t>
        </is>
      </c>
      <c r="B407" s="2" t="inlineStr">
        <is>
          <t>Engineering</t>
        </is>
      </c>
      <c r="C407" s="2" t="inlineStr">
        <is>
          <t>Software Engineer</t>
        </is>
      </c>
      <c r="D407" s="2" t="n">
        <v>57</v>
      </c>
      <c r="E407" s="2" t="n">
        <v>7.5</v>
      </c>
      <c r="F407" s="2" t="n">
        <v>1546000</v>
      </c>
      <c r="G407" s="2" t="inlineStr">
        <is>
          <t>No</t>
        </is>
      </c>
      <c r="H407" s="2" t="n">
        <v>32</v>
      </c>
      <c r="I407" s="2" t="n">
        <v>2</v>
      </c>
      <c r="J407" s="2" t="n">
        <v>3.7</v>
      </c>
      <c r="K407" s="2" t="n">
        <v>1.1</v>
      </c>
      <c r="L407" s="2" t="inlineStr">
        <is>
          <t>Active</t>
        </is>
      </c>
    </row>
    <row r="408">
      <c r="A408" s="2" t="inlineStr">
        <is>
          <t>EMP00786</t>
        </is>
      </c>
      <c r="B408" s="2" t="inlineStr">
        <is>
          <t>Engineering</t>
        </is>
      </c>
      <c r="C408" s="2" t="inlineStr">
        <is>
          <t>Engineering Manager</t>
        </is>
      </c>
      <c r="D408" s="2" t="n">
        <v>31</v>
      </c>
      <c r="E408" s="2" t="n">
        <v>2.5</v>
      </c>
      <c r="F408" s="2" t="n">
        <v>1190000</v>
      </c>
      <c r="G408" s="2" t="inlineStr">
        <is>
          <t>No</t>
        </is>
      </c>
      <c r="H408" s="2" t="n">
        <v>14</v>
      </c>
      <c r="I408" s="2" t="n">
        <v>4.4</v>
      </c>
      <c r="J408" s="2" t="n">
        <v>4.2</v>
      </c>
      <c r="K408" s="2" t="n">
        <v>3.3</v>
      </c>
      <c r="L408" s="2" t="inlineStr">
        <is>
          <t>Active</t>
        </is>
      </c>
    </row>
    <row r="409">
      <c r="A409" s="2" t="inlineStr">
        <is>
          <t>EMP00149</t>
        </is>
      </c>
      <c r="B409" s="2" t="inlineStr">
        <is>
          <t>Operations</t>
        </is>
      </c>
      <c r="C409" s="2" t="inlineStr">
        <is>
          <t>Ops Manager</t>
        </is>
      </c>
      <c r="D409" s="2" t="n">
        <v>21</v>
      </c>
      <c r="E409" s="2" t="n">
        <v>0.7</v>
      </c>
      <c r="F409" s="2" t="n">
        <v>556000</v>
      </c>
      <c r="G409" s="2" t="inlineStr">
        <is>
          <t>Yes</t>
        </is>
      </c>
      <c r="H409" s="2" t="n">
        <v>37</v>
      </c>
      <c r="I409" s="2" t="n">
        <v>3.7</v>
      </c>
      <c r="J409" s="2" t="n">
        <v>1</v>
      </c>
      <c r="K409" s="2" t="n">
        <v>3.7</v>
      </c>
      <c r="L409" s="2" t="inlineStr">
        <is>
          <t>Active</t>
        </is>
      </c>
    </row>
    <row r="410">
      <c r="A410" s="2" t="inlineStr">
        <is>
          <t>EMP00489</t>
        </is>
      </c>
      <c r="B410" s="2" t="inlineStr">
        <is>
          <t>Operations</t>
        </is>
      </c>
      <c r="C410" s="2" t="inlineStr">
        <is>
          <t>Ops Analyst</t>
        </is>
      </c>
      <c r="D410" s="2" t="n">
        <v>29</v>
      </c>
      <c r="E410" s="2" t="n">
        <v>5.1</v>
      </c>
      <c r="F410" s="2" t="n">
        <v>869000</v>
      </c>
      <c r="G410" s="2" t="inlineStr">
        <is>
          <t>No</t>
        </is>
      </c>
      <c r="H410" s="2" t="n">
        <v>14</v>
      </c>
      <c r="I410" s="2" t="n">
        <v>4.6</v>
      </c>
      <c r="J410" s="2" t="n">
        <v>4.8</v>
      </c>
      <c r="K410" s="2" t="n">
        <v>2.8</v>
      </c>
      <c r="L410" s="2" t="inlineStr">
        <is>
          <t>Active</t>
        </is>
      </c>
    </row>
    <row r="411">
      <c r="A411" s="2" t="inlineStr">
        <is>
          <t>EMP00999</t>
        </is>
      </c>
      <c r="B411" s="2" t="inlineStr">
        <is>
          <t>Customer Support</t>
        </is>
      </c>
      <c r="C411" s="2" t="inlineStr">
        <is>
          <t>Support Associate</t>
        </is>
      </c>
      <c r="D411" s="2" t="n">
        <v>30</v>
      </c>
      <c r="E411" s="2" t="n">
        <v>4.1</v>
      </c>
      <c r="F411" s="2" t="n">
        <v>614000</v>
      </c>
      <c r="G411" s="2" t="inlineStr">
        <is>
          <t>No</t>
        </is>
      </c>
      <c r="H411" s="2" t="n">
        <v>42</v>
      </c>
      <c r="I411" s="2" t="n">
        <v>3.4</v>
      </c>
      <c r="J411" s="2" t="n">
        <v>4</v>
      </c>
      <c r="K411" s="2" t="n">
        <v>2.1</v>
      </c>
      <c r="L411" s="2" t="inlineStr">
        <is>
          <t>Active</t>
        </is>
      </c>
    </row>
    <row r="412">
      <c r="A412" s="2" t="inlineStr">
        <is>
          <t>EMP00709</t>
        </is>
      </c>
      <c r="B412" s="2" t="inlineStr">
        <is>
          <t>Operations</t>
        </is>
      </c>
      <c r="C412" s="2" t="inlineStr">
        <is>
          <t>Process Lead</t>
        </is>
      </c>
      <c r="D412" s="2" t="n">
        <v>44</v>
      </c>
      <c r="E412" s="2" t="n">
        <v>1.5</v>
      </c>
      <c r="F412" s="2" t="n">
        <v>594000</v>
      </c>
      <c r="G412" s="2" t="inlineStr">
        <is>
          <t>No</t>
        </is>
      </c>
      <c r="H412" s="2" t="n">
        <v>56</v>
      </c>
      <c r="I412" s="2" t="n">
        <v>3.2</v>
      </c>
      <c r="J412" s="2" t="n">
        <v>2.9</v>
      </c>
      <c r="K412" s="2" t="n">
        <v>3.9</v>
      </c>
      <c r="L412" s="2" t="inlineStr">
        <is>
          <t>Active</t>
        </is>
      </c>
    </row>
    <row r="413">
      <c r="A413" s="2" t="inlineStr">
        <is>
          <t>EMP01184</t>
        </is>
      </c>
      <c r="B413" s="2" t="inlineStr">
        <is>
          <t>Sales</t>
        </is>
      </c>
      <c r="C413" s="2" t="inlineStr">
        <is>
          <t>Sales Executive</t>
        </is>
      </c>
      <c r="D413" s="2" t="n">
        <v>40</v>
      </c>
      <c r="E413" s="2" t="n">
        <v>10.4</v>
      </c>
      <c r="F413" s="2" t="n">
        <v>1139000</v>
      </c>
      <c r="G413" s="2" t="inlineStr">
        <is>
          <t>Yes</t>
        </is>
      </c>
      <c r="H413" s="2" t="n">
        <v>47</v>
      </c>
      <c r="I413" s="2" t="n">
        <v>4.1</v>
      </c>
      <c r="J413" s="2" t="n">
        <v>3.8</v>
      </c>
      <c r="K413" s="2" t="n">
        <v>3</v>
      </c>
      <c r="L413" s="2" t="inlineStr">
        <is>
          <t>Active</t>
        </is>
      </c>
    </row>
    <row r="414">
      <c r="A414" s="2" t="inlineStr">
        <is>
          <t>EMP01111</t>
        </is>
      </c>
      <c r="B414" s="2" t="inlineStr">
        <is>
          <t>Sales</t>
        </is>
      </c>
      <c r="C414" s="2" t="inlineStr">
        <is>
          <t>Sales Manager</t>
        </is>
      </c>
      <c r="D414" s="2" t="n">
        <v>28</v>
      </c>
      <c r="E414" s="2" t="n">
        <v>3.7</v>
      </c>
      <c r="F414" s="2" t="n">
        <v>868000</v>
      </c>
      <c r="G414" s="2" t="inlineStr">
        <is>
          <t>No</t>
        </is>
      </c>
      <c r="H414" s="2" t="n">
        <v>35</v>
      </c>
      <c r="I414" s="2" t="n">
        <v>3.2</v>
      </c>
      <c r="J414" s="2" t="n">
        <v>2.5</v>
      </c>
      <c r="K414" s="2" t="n">
        <v>4.3</v>
      </c>
      <c r="L414" s="2" t="inlineStr">
        <is>
          <t>Active</t>
        </is>
      </c>
    </row>
    <row r="415">
      <c r="A415" s="2" t="inlineStr">
        <is>
          <t>EMP00366</t>
        </is>
      </c>
      <c r="B415" s="2" t="inlineStr">
        <is>
          <t>Engineering</t>
        </is>
      </c>
      <c r="C415" s="2" t="inlineStr">
        <is>
          <t>Senior Engineer</t>
        </is>
      </c>
      <c r="D415" s="2" t="n">
        <v>21</v>
      </c>
      <c r="E415" s="2" t="n">
        <v>6.8</v>
      </c>
      <c r="F415" s="2" t="n">
        <v>1329000</v>
      </c>
      <c r="G415" s="2" t="inlineStr">
        <is>
          <t>No</t>
        </is>
      </c>
      <c r="H415" s="2" t="n">
        <v>16</v>
      </c>
      <c r="I415" s="2" t="n">
        <v>4.8</v>
      </c>
      <c r="J415" s="2" t="n">
        <v>3.9</v>
      </c>
      <c r="K415" s="2" t="n">
        <v>3</v>
      </c>
      <c r="L415" s="2" t="inlineStr">
        <is>
          <t>Active</t>
        </is>
      </c>
    </row>
    <row r="416">
      <c r="A416" s="2" t="inlineStr">
        <is>
          <t>EMP00913</t>
        </is>
      </c>
      <c r="B416" s="2" t="inlineStr">
        <is>
          <t>Customer Support</t>
        </is>
      </c>
      <c r="C416" s="2" t="inlineStr">
        <is>
          <t>Support Manager</t>
        </is>
      </c>
      <c r="D416" s="2" t="n">
        <v>37</v>
      </c>
      <c r="E416" s="2" t="n">
        <v>7.8</v>
      </c>
      <c r="F416" s="2" t="n">
        <v>740000</v>
      </c>
      <c r="G416" s="2" t="inlineStr">
        <is>
          <t>Yes</t>
        </is>
      </c>
      <c r="H416" s="2" t="n">
        <v>52</v>
      </c>
      <c r="I416" s="2" t="n">
        <v>2.9</v>
      </c>
      <c r="J416" s="2" t="n">
        <v>4.3</v>
      </c>
      <c r="K416" s="2" t="n">
        <v>3.2</v>
      </c>
      <c r="L416" s="2" t="inlineStr">
        <is>
          <t>Active</t>
        </is>
      </c>
    </row>
    <row r="417">
      <c r="A417" s="2" t="inlineStr">
        <is>
          <t>EMP00531</t>
        </is>
      </c>
      <c r="B417" s="2" t="inlineStr">
        <is>
          <t>Finance</t>
        </is>
      </c>
      <c r="C417" s="2" t="inlineStr">
        <is>
          <t>Financial Analyst</t>
        </is>
      </c>
      <c r="D417" s="2" t="n">
        <v>29</v>
      </c>
      <c r="E417" s="2" t="n">
        <v>1.2</v>
      </c>
      <c r="F417" s="2" t="n">
        <v>793000</v>
      </c>
      <c r="G417" s="2" t="inlineStr">
        <is>
          <t>No</t>
        </is>
      </c>
      <c r="H417" s="2" t="n">
        <v>59</v>
      </c>
      <c r="I417" s="2" t="n">
        <v>3</v>
      </c>
      <c r="J417" s="2" t="n">
        <v>2.7</v>
      </c>
      <c r="K417" s="2" t="n">
        <v>2.5</v>
      </c>
      <c r="L417" s="2" t="inlineStr">
        <is>
          <t>Active</t>
        </is>
      </c>
    </row>
    <row r="418">
      <c r="A418" s="2" t="inlineStr">
        <is>
          <t>EMP00821</t>
        </is>
      </c>
      <c r="B418" s="2" t="inlineStr">
        <is>
          <t>Sales</t>
        </is>
      </c>
      <c r="C418" s="2" t="inlineStr">
        <is>
          <t>Sales Manager</t>
        </is>
      </c>
      <c r="D418" s="2" t="n">
        <v>32</v>
      </c>
      <c r="E418" s="2" t="n">
        <v>3.3</v>
      </c>
      <c r="F418" s="2" t="n">
        <v>764000</v>
      </c>
      <c r="G418" s="2" t="inlineStr">
        <is>
          <t>Yes</t>
        </is>
      </c>
      <c r="H418" s="2" t="n">
        <v>59</v>
      </c>
      <c r="I418" s="2" t="n">
        <v>3.4</v>
      </c>
      <c r="J418" s="2" t="n">
        <v>2.4</v>
      </c>
      <c r="K418" s="2" t="n">
        <v>3.5</v>
      </c>
      <c r="L418" s="2" t="inlineStr">
        <is>
          <t>Active</t>
        </is>
      </c>
    </row>
    <row r="419">
      <c r="A419" s="2" t="inlineStr">
        <is>
          <t>EMP00816</t>
        </is>
      </c>
      <c r="B419" s="2" t="inlineStr">
        <is>
          <t>Customer Support</t>
        </is>
      </c>
      <c r="C419" s="2" t="inlineStr">
        <is>
          <t>Support Associate</t>
        </is>
      </c>
      <c r="D419" s="2" t="n">
        <v>33</v>
      </c>
      <c r="E419" s="2" t="n">
        <v>5</v>
      </c>
      <c r="F419" s="2" t="n">
        <v>565000</v>
      </c>
      <c r="G419" s="2" t="inlineStr">
        <is>
          <t>Yes</t>
        </is>
      </c>
      <c r="H419" s="2" t="n">
        <v>53</v>
      </c>
      <c r="I419" s="2" t="n">
        <v>2.8</v>
      </c>
      <c r="J419" s="2" t="n">
        <v>3.4</v>
      </c>
      <c r="K419" s="2" t="n">
        <v>3.8</v>
      </c>
      <c r="L419" s="2" t="inlineStr">
        <is>
          <t>Resigned</t>
        </is>
      </c>
    </row>
    <row r="420">
      <c r="A420" s="2" t="inlineStr">
        <is>
          <t>EMP00953</t>
        </is>
      </c>
      <c r="B420" s="2" t="inlineStr">
        <is>
          <t>Engineering</t>
        </is>
      </c>
      <c r="C420" s="2" t="inlineStr">
        <is>
          <t>Software Engineer</t>
        </is>
      </c>
      <c r="D420" s="2" t="n">
        <v>24</v>
      </c>
      <c r="E420" s="2" t="n">
        <v>4.5</v>
      </c>
      <c r="F420" s="2" t="n">
        <v>1284000</v>
      </c>
      <c r="G420" s="2" t="inlineStr">
        <is>
          <t>No</t>
        </is>
      </c>
      <c r="H420" s="2" t="n">
        <v>9</v>
      </c>
      <c r="I420" s="2" t="n">
        <v>2.8</v>
      </c>
      <c r="J420" s="2" t="n">
        <v>4.5</v>
      </c>
      <c r="K420" s="2" t="n">
        <v>3.1</v>
      </c>
      <c r="L420" s="2" t="inlineStr">
        <is>
          <t>Active</t>
        </is>
      </c>
    </row>
    <row r="421">
      <c r="A421" s="2" t="inlineStr">
        <is>
          <t>EMP00570</t>
        </is>
      </c>
      <c r="B421" s="2" t="inlineStr">
        <is>
          <t>Operations</t>
        </is>
      </c>
      <c r="C421" s="2" t="inlineStr">
        <is>
          <t>Ops Manager</t>
        </is>
      </c>
      <c r="D421" s="2" t="n">
        <v>44</v>
      </c>
      <c r="E421" s="2" t="n">
        <v>9.9</v>
      </c>
      <c r="F421" s="2" t="n">
        <v>1059000</v>
      </c>
      <c r="G421" s="2" t="inlineStr">
        <is>
          <t>No</t>
        </is>
      </c>
      <c r="H421" s="2" t="n">
        <v>55</v>
      </c>
      <c r="I421" s="2" t="n">
        <v>3.6</v>
      </c>
      <c r="J421" s="2" t="n">
        <v>4.9</v>
      </c>
      <c r="K421" s="2" t="n">
        <v>4.4</v>
      </c>
      <c r="L421" s="2" t="inlineStr">
        <is>
          <t>Active</t>
        </is>
      </c>
    </row>
    <row r="422">
      <c r="A422" s="2" t="inlineStr">
        <is>
          <t>EMP00233</t>
        </is>
      </c>
      <c r="B422" s="2" t="inlineStr">
        <is>
          <t>Customer Support</t>
        </is>
      </c>
      <c r="C422" s="2" t="inlineStr">
        <is>
          <t>Support Manager</t>
        </is>
      </c>
      <c r="D422" s="2" t="n">
        <v>28</v>
      </c>
      <c r="E422" s="2" t="n">
        <v>1.3</v>
      </c>
      <c r="F422" s="2" t="n">
        <v>562000</v>
      </c>
      <c r="G422" s="2" t="inlineStr">
        <is>
          <t>No</t>
        </is>
      </c>
      <c r="H422" s="2" t="n">
        <v>44</v>
      </c>
      <c r="I422" s="2" t="n">
        <v>3.3</v>
      </c>
      <c r="J422" s="2" t="n">
        <v>4.2</v>
      </c>
      <c r="K422" s="2" t="n">
        <v>4.6</v>
      </c>
      <c r="L422" s="2" t="inlineStr">
        <is>
          <t>Active</t>
        </is>
      </c>
    </row>
    <row r="423">
      <c r="A423" s="2" t="inlineStr">
        <is>
          <t>EMP00957</t>
        </is>
      </c>
      <c r="B423" s="2" t="inlineStr">
        <is>
          <t>HR</t>
        </is>
      </c>
      <c r="C423" s="2" t="inlineStr">
        <is>
          <t>HR Generalist</t>
        </is>
      </c>
      <c r="D423" s="2" t="n">
        <v>40</v>
      </c>
      <c r="E423" s="2" t="n">
        <v>7.4</v>
      </c>
      <c r="F423" s="2" t="n">
        <v>735000</v>
      </c>
      <c r="G423" s="2" t="inlineStr">
        <is>
          <t>No</t>
        </is>
      </c>
      <c r="H423" s="2" t="n">
        <v>34</v>
      </c>
      <c r="I423" s="2" t="n">
        <v>2.1</v>
      </c>
      <c r="J423" s="2" t="n">
        <v>3.7</v>
      </c>
      <c r="K423" s="2" t="n">
        <v>4.6</v>
      </c>
      <c r="L423" s="2" t="inlineStr">
        <is>
          <t>Active</t>
        </is>
      </c>
    </row>
    <row r="424">
      <c r="A424" s="2" t="inlineStr">
        <is>
          <t>EMP01185</t>
        </is>
      </c>
      <c r="B424" s="2" t="inlineStr">
        <is>
          <t>Sales</t>
        </is>
      </c>
      <c r="C424" s="2" t="inlineStr">
        <is>
          <t>Sales Manager</t>
        </is>
      </c>
      <c r="D424" s="2" t="n">
        <v>50</v>
      </c>
      <c r="E424" s="2" t="n">
        <v>0.5</v>
      </c>
      <c r="F424" s="2" t="n">
        <v>661000</v>
      </c>
      <c r="G424" s="2" t="inlineStr">
        <is>
          <t>No</t>
        </is>
      </c>
      <c r="H424" s="2" t="n">
        <v>48</v>
      </c>
      <c r="I424" s="2" t="n">
        <v>3.4</v>
      </c>
      <c r="J424" s="2" t="n">
        <v>2.7</v>
      </c>
      <c r="K424" s="2" t="n">
        <v>2.9</v>
      </c>
      <c r="L424" s="2" t="inlineStr">
        <is>
          <t>Active</t>
        </is>
      </c>
    </row>
    <row r="425">
      <c r="A425" s="2" t="inlineStr">
        <is>
          <t>EMP00813</t>
        </is>
      </c>
      <c r="B425" s="2" t="inlineStr">
        <is>
          <t>Customer Support</t>
        </is>
      </c>
      <c r="C425" s="2" t="inlineStr">
        <is>
          <t>Support Lead</t>
        </is>
      </c>
      <c r="D425" s="2" t="n">
        <v>30</v>
      </c>
      <c r="E425" s="2" t="n">
        <v>4</v>
      </c>
      <c r="F425" s="2" t="n">
        <v>660000</v>
      </c>
      <c r="G425" s="2" t="inlineStr">
        <is>
          <t>No</t>
        </is>
      </c>
      <c r="H425" s="2" t="n">
        <v>22</v>
      </c>
      <c r="I425" s="2" t="n">
        <v>2.7</v>
      </c>
      <c r="J425" s="2" t="n">
        <v>3.7</v>
      </c>
      <c r="K425" s="2" t="n">
        <v>4.1</v>
      </c>
      <c r="L425" s="2" t="inlineStr">
        <is>
          <t>Active</t>
        </is>
      </c>
    </row>
    <row r="426">
      <c r="A426" s="2" t="inlineStr">
        <is>
          <t>EMP00591</t>
        </is>
      </c>
      <c r="B426" s="2" t="inlineStr">
        <is>
          <t>Customer Support</t>
        </is>
      </c>
      <c r="C426" s="2" t="inlineStr">
        <is>
          <t>Support Lead</t>
        </is>
      </c>
      <c r="D426" s="2" t="n">
        <v>21</v>
      </c>
      <c r="E426" s="2" t="n">
        <v>0.3</v>
      </c>
      <c r="F426" s="2" t="n">
        <v>496000</v>
      </c>
      <c r="G426" s="2" t="inlineStr">
        <is>
          <t>No</t>
        </is>
      </c>
      <c r="H426" s="2" t="n">
        <v>60</v>
      </c>
      <c r="I426" s="2" t="n">
        <v>4.6</v>
      </c>
      <c r="J426" s="2" t="n">
        <v>3</v>
      </c>
      <c r="K426" s="2" t="n">
        <v>2.6</v>
      </c>
      <c r="L426" s="2" t="inlineStr">
        <is>
          <t>Active</t>
        </is>
      </c>
    </row>
    <row r="427">
      <c r="A427" s="2" t="inlineStr">
        <is>
          <t>EMP00159</t>
        </is>
      </c>
      <c r="B427" s="2" t="inlineStr">
        <is>
          <t>Finance</t>
        </is>
      </c>
      <c r="C427" s="2" t="inlineStr">
        <is>
          <t>Financial Analyst</t>
        </is>
      </c>
      <c r="D427" s="2" t="n">
        <v>33</v>
      </c>
      <c r="E427" s="2" t="n">
        <v>4</v>
      </c>
      <c r="F427" s="2" t="n">
        <v>974000</v>
      </c>
      <c r="G427" s="2" t="inlineStr">
        <is>
          <t>Yes</t>
        </is>
      </c>
      <c r="H427" s="2" t="n">
        <v>29</v>
      </c>
      <c r="I427" s="2" t="n">
        <v>3.9</v>
      </c>
      <c r="J427" s="2" t="n">
        <v>3.5</v>
      </c>
      <c r="K427" s="2" t="n">
        <v>2.4</v>
      </c>
      <c r="L427" s="2" t="inlineStr">
        <is>
          <t>Active</t>
        </is>
      </c>
    </row>
    <row r="428">
      <c r="A428" s="2" t="inlineStr">
        <is>
          <t>EMP00316</t>
        </is>
      </c>
      <c r="B428" s="2" t="inlineStr">
        <is>
          <t>Engineering</t>
        </is>
      </c>
      <c r="C428" s="2" t="inlineStr">
        <is>
          <t>Senior Engineer</t>
        </is>
      </c>
      <c r="D428" s="2" t="n">
        <v>30</v>
      </c>
      <c r="E428" s="2" t="n">
        <v>1.4</v>
      </c>
      <c r="F428" s="2" t="n">
        <v>924000</v>
      </c>
      <c r="G428" s="2" t="inlineStr">
        <is>
          <t>No</t>
        </is>
      </c>
      <c r="H428" s="2" t="n">
        <v>25</v>
      </c>
      <c r="I428" s="2" t="n">
        <v>3.2</v>
      </c>
      <c r="J428" s="2" t="n">
        <v>2.5</v>
      </c>
      <c r="K428" s="2" t="n">
        <v>2.6</v>
      </c>
      <c r="L428" s="2" t="inlineStr">
        <is>
          <t>Active</t>
        </is>
      </c>
    </row>
    <row r="429">
      <c r="A429" s="2" t="inlineStr">
        <is>
          <t>EMP00257</t>
        </is>
      </c>
      <c r="B429" s="2" t="inlineStr">
        <is>
          <t>HR</t>
        </is>
      </c>
      <c r="C429" s="2" t="inlineStr">
        <is>
          <t>HR Generalist</t>
        </is>
      </c>
      <c r="D429" s="2" t="n">
        <v>42</v>
      </c>
      <c r="E429" s="2" t="n">
        <v>4.2</v>
      </c>
      <c r="F429" s="2" t="n">
        <v>659000</v>
      </c>
      <c r="G429" s="2" t="inlineStr">
        <is>
          <t>No</t>
        </is>
      </c>
      <c r="H429" s="2" t="n">
        <v>57</v>
      </c>
      <c r="I429" s="2" t="n">
        <v>3.6</v>
      </c>
      <c r="J429" s="2" t="n">
        <v>4.3</v>
      </c>
      <c r="K429" s="2" t="n">
        <v>4.3</v>
      </c>
      <c r="L429" s="2" t="inlineStr">
        <is>
          <t>Active</t>
        </is>
      </c>
    </row>
    <row r="430">
      <c r="A430" s="2" t="inlineStr">
        <is>
          <t>EMP01029</t>
        </is>
      </c>
      <c r="B430" s="2" t="inlineStr">
        <is>
          <t>Finance</t>
        </is>
      </c>
      <c r="C430" s="2" t="inlineStr">
        <is>
          <t>Finance Manager</t>
        </is>
      </c>
      <c r="D430" s="2" t="n">
        <v>26</v>
      </c>
      <c r="E430" s="2" t="n">
        <v>7.7</v>
      </c>
      <c r="F430" s="2" t="n">
        <v>1098000</v>
      </c>
      <c r="G430" s="2" t="inlineStr">
        <is>
          <t>Yes</t>
        </is>
      </c>
      <c r="H430" s="2" t="n">
        <v>9</v>
      </c>
      <c r="I430" s="2" t="n">
        <v>1.7</v>
      </c>
      <c r="J430" s="2" t="n">
        <v>4</v>
      </c>
      <c r="K430" s="2" t="n">
        <v>4.9</v>
      </c>
      <c r="L430" s="2" t="inlineStr">
        <is>
          <t>Resigned</t>
        </is>
      </c>
    </row>
    <row r="431">
      <c r="A431" s="2" t="inlineStr">
        <is>
          <t>EMP00097</t>
        </is>
      </c>
      <c r="B431" s="2" t="inlineStr">
        <is>
          <t>Engineering</t>
        </is>
      </c>
      <c r="C431" s="2" t="inlineStr">
        <is>
          <t>Engineering Manager</t>
        </is>
      </c>
      <c r="D431" s="2" t="n">
        <v>32</v>
      </c>
      <c r="E431" s="2" t="n">
        <v>1</v>
      </c>
      <c r="F431" s="2" t="n">
        <v>873000</v>
      </c>
      <c r="G431" s="2" t="inlineStr">
        <is>
          <t>No</t>
        </is>
      </c>
      <c r="H431" s="2" t="n">
        <v>26</v>
      </c>
      <c r="I431" s="2" t="n">
        <v>4</v>
      </c>
      <c r="J431" s="2" t="n">
        <v>3.4</v>
      </c>
      <c r="K431" s="2" t="n">
        <v>2.8</v>
      </c>
      <c r="L431" s="2" t="inlineStr">
        <is>
          <t>Active</t>
        </is>
      </c>
    </row>
    <row r="432">
      <c r="A432" s="2" t="inlineStr">
        <is>
          <t>EMP01183</t>
        </is>
      </c>
      <c r="B432" s="2" t="inlineStr">
        <is>
          <t>Sales</t>
        </is>
      </c>
      <c r="C432" s="2" t="inlineStr">
        <is>
          <t>Sales Executive</t>
        </is>
      </c>
      <c r="D432" s="2" t="n">
        <v>31</v>
      </c>
      <c r="E432" s="2" t="n">
        <v>0.4</v>
      </c>
      <c r="F432" s="2" t="n">
        <v>744000</v>
      </c>
      <c r="G432" s="2" t="inlineStr">
        <is>
          <t>Yes</t>
        </is>
      </c>
      <c r="H432" s="2" t="n">
        <v>52</v>
      </c>
      <c r="I432" s="2" t="n">
        <v>2.3</v>
      </c>
      <c r="J432" s="2" t="n">
        <v>2.2</v>
      </c>
      <c r="K432" s="2" t="n">
        <v>4.7</v>
      </c>
      <c r="L432" s="2" t="inlineStr">
        <is>
          <t>Resigned</t>
        </is>
      </c>
    </row>
    <row r="433">
      <c r="A433" s="2" t="inlineStr">
        <is>
          <t>EMP00463</t>
        </is>
      </c>
      <c r="B433" s="2" t="inlineStr">
        <is>
          <t>Customer Support</t>
        </is>
      </c>
      <c r="C433" s="2" t="inlineStr">
        <is>
          <t>Support Manager</t>
        </is>
      </c>
      <c r="D433" s="2" t="n">
        <v>35</v>
      </c>
      <c r="E433" s="2" t="n">
        <v>3.4</v>
      </c>
      <c r="F433" s="2" t="n">
        <v>584000</v>
      </c>
      <c r="G433" s="2" t="inlineStr">
        <is>
          <t>No</t>
        </is>
      </c>
      <c r="H433" s="2" t="n">
        <v>18</v>
      </c>
      <c r="I433" s="2" t="n">
        <v>3.4</v>
      </c>
      <c r="J433" s="2" t="n">
        <v>4.2</v>
      </c>
      <c r="K433" s="2" t="n">
        <v>3</v>
      </c>
      <c r="L433" s="2" t="inlineStr">
        <is>
          <t>Active</t>
        </is>
      </c>
    </row>
    <row r="434">
      <c r="A434" s="2" t="inlineStr">
        <is>
          <t>EMP00385</t>
        </is>
      </c>
      <c r="B434" s="2" t="inlineStr">
        <is>
          <t>Engineering</t>
        </is>
      </c>
      <c r="C434" s="2" t="inlineStr">
        <is>
          <t>Engineering Manager</t>
        </is>
      </c>
      <c r="D434" s="2" t="n">
        <v>36</v>
      </c>
      <c r="E434" s="2" t="n">
        <v>4.1</v>
      </c>
      <c r="F434" s="2" t="n">
        <v>1016000</v>
      </c>
      <c r="G434" s="2" t="inlineStr">
        <is>
          <t>No</t>
        </is>
      </c>
      <c r="H434" s="2" t="n">
        <v>28</v>
      </c>
      <c r="I434" s="2" t="n">
        <v>3.1</v>
      </c>
      <c r="J434" s="2" t="n">
        <v>3.6</v>
      </c>
      <c r="K434" s="2" t="n">
        <v>2.9</v>
      </c>
      <c r="L434" s="2" t="inlineStr">
        <is>
          <t>Active</t>
        </is>
      </c>
    </row>
    <row r="435">
      <c r="A435" s="2" t="inlineStr">
        <is>
          <t>EMP01164</t>
        </is>
      </c>
      <c r="B435" s="2" t="inlineStr">
        <is>
          <t>Sales</t>
        </is>
      </c>
      <c r="C435" s="2" t="inlineStr">
        <is>
          <t>Sales Manager</t>
        </is>
      </c>
      <c r="D435" s="2" t="n">
        <v>36</v>
      </c>
      <c r="E435" s="2" t="n">
        <v>7.9</v>
      </c>
      <c r="F435" s="2" t="n">
        <v>939000</v>
      </c>
      <c r="G435" s="2" t="inlineStr">
        <is>
          <t>Yes</t>
        </is>
      </c>
      <c r="H435" s="2" t="n">
        <v>56</v>
      </c>
      <c r="I435" s="2" t="n">
        <v>4</v>
      </c>
      <c r="J435" s="2" t="n">
        <v>2.1</v>
      </c>
      <c r="K435" s="2" t="n">
        <v>3.5</v>
      </c>
      <c r="L435" s="2" t="inlineStr">
        <is>
          <t>Active</t>
        </is>
      </c>
    </row>
    <row r="436">
      <c r="A436" s="2" t="inlineStr">
        <is>
          <t>EMP00178</t>
        </is>
      </c>
      <c r="B436" s="2" t="inlineStr">
        <is>
          <t>Customer Support</t>
        </is>
      </c>
      <c r="C436" s="2" t="inlineStr">
        <is>
          <t>Support Lead</t>
        </is>
      </c>
      <c r="D436" s="2" t="n">
        <v>32</v>
      </c>
      <c r="E436" s="2" t="n">
        <v>4.5</v>
      </c>
      <c r="F436" s="2" t="n">
        <v>554000</v>
      </c>
      <c r="G436" s="2" t="inlineStr">
        <is>
          <t>No</t>
        </is>
      </c>
      <c r="H436" s="2" t="n">
        <v>14</v>
      </c>
      <c r="I436" s="2" t="n">
        <v>3.5</v>
      </c>
      <c r="J436" s="2" t="n">
        <v>2</v>
      </c>
      <c r="K436" s="2" t="n">
        <v>3</v>
      </c>
      <c r="L436" s="2" t="inlineStr">
        <is>
          <t>Resigned</t>
        </is>
      </c>
    </row>
    <row r="437">
      <c r="A437" s="2" t="inlineStr">
        <is>
          <t>EMP00475</t>
        </is>
      </c>
      <c r="B437" s="2" t="inlineStr">
        <is>
          <t>Engineering</t>
        </is>
      </c>
      <c r="C437" s="2" t="inlineStr">
        <is>
          <t>Senior Engineer</t>
        </is>
      </c>
      <c r="D437" s="2" t="n">
        <v>36</v>
      </c>
      <c r="E437" s="2" t="n">
        <v>7.1</v>
      </c>
      <c r="F437" s="2" t="n">
        <v>1423000</v>
      </c>
      <c r="G437" s="2" t="inlineStr">
        <is>
          <t>Yes</t>
        </is>
      </c>
      <c r="H437" s="2" t="n">
        <v>59</v>
      </c>
      <c r="I437" s="2" t="n">
        <v>3.8</v>
      </c>
      <c r="J437" s="2" t="n">
        <v>3.8</v>
      </c>
      <c r="K437" s="2" t="n">
        <v>2.6</v>
      </c>
      <c r="L437" s="2" t="inlineStr">
        <is>
          <t>Active</t>
        </is>
      </c>
    </row>
    <row r="438">
      <c r="A438" s="2" t="inlineStr">
        <is>
          <t>EMP00329</t>
        </is>
      </c>
      <c r="B438" s="2" t="inlineStr">
        <is>
          <t>Finance</t>
        </is>
      </c>
      <c r="C438" s="2" t="inlineStr">
        <is>
          <t>Accountant</t>
        </is>
      </c>
      <c r="D438" s="2" t="n">
        <v>39</v>
      </c>
      <c r="E438" s="2" t="n">
        <v>1.2</v>
      </c>
      <c r="F438" s="2" t="n">
        <v>798000</v>
      </c>
      <c r="G438" s="2" t="inlineStr">
        <is>
          <t>No</t>
        </is>
      </c>
      <c r="H438" s="2" t="n">
        <v>48</v>
      </c>
      <c r="I438" s="2" t="n">
        <v>3.6</v>
      </c>
      <c r="J438" s="2" t="n">
        <v>2</v>
      </c>
      <c r="K438" s="2" t="n">
        <v>4.2</v>
      </c>
      <c r="L438" s="2" t="inlineStr">
        <is>
          <t>Active</t>
        </is>
      </c>
    </row>
    <row r="439">
      <c r="A439" s="2" t="inlineStr">
        <is>
          <t>EMP00315</t>
        </is>
      </c>
      <c r="B439" s="2" t="inlineStr">
        <is>
          <t>Engineering</t>
        </is>
      </c>
      <c r="C439" s="2" t="inlineStr">
        <is>
          <t>Senior Engineer</t>
        </is>
      </c>
      <c r="D439" s="2" t="n">
        <v>24</v>
      </c>
      <c r="E439" s="2" t="n">
        <v>3.7</v>
      </c>
      <c r="F439" s="2" t="n">
        <v>1114000</v>
      </c>
      <c r="G439" s="2" t="inlineStr">
        <is>
          <t>Yes</t>
        </is>
      </c>
      <c r="H439" s="2" t="n">
        <v>27</v>
      </c>
      <c r="I439" s="2" t="n">
        <v>4.6</v>
      </c>
      <c r="J439" s="2" t="n">
        <v>1.5</v>
      </c>
      <c r="K439" s="2" t="n">
        <v>3.2</v>
      </c>
      <c r="L439" s="2" t="inlineStr">
        <is>
          <t>Active</t>
        </is>
      </c>
    </row>
    <row r="440">
      <c r="A440" s="2" t="inlineStr">
        <is>
          <t>EMP00416</t>
        </is>
      </c>
      <c r="B440" s="2" t="inlineStr">
        <is>
          <t>Engineering</t>
        </is>
      </c>
      <c r="C440" s="2" t="inlineStr">
        <is>
          <t>Software Engineer</t>
        </is>
      </c>
      <c r="D440" s="2" t="n">
        <v>32</v>
      </c>
      <c r="E440" s="2" t="n">
        <v>3.5</v>
      </c>
      <c r="F440" s="2" t="n">
        <v>1035000</v>
      </c>
      <c r="G440" s="2" t="inlineStr">
        <is>
          <t>No</t>
        </is>
      </c>
      <c r="H440" s="2" t="n">
        <v>21</v>
      </c>
      <c r="I440" s="2" t="n">
        <v>3.7</v>
      </c>
      <c r="J440" s="2" t="n">
        <v>2.5</v>
      </c>
      <c r="K440" s="2" t="n">
        <v>3</v>
      </c>
      <c r="L440" s="2" t="inlineStr">
        <is>
          <t>Active</t>
        </is>
      </c>
    </row>
    <row r="441">
      <c r="A441" s="2" t="inlineStr">
        <is>
          <t>EMP00358</t>
        </is>
      </c>
      <c r="B441" s="2" t="inlineStr">
        <is>
          <t>HR</t>
        </is>
      </c>
      <c r="C441" s="2" t="inlineStr">
        <is>
          <t>Recruiter</t>
        </is>
      </c>
      <c r="D441" s="2" t="n">
        <v>26</v>
      </c>
      <c r="E441" s="2" t="n">
        <v>3.6</v>
      </c>
      <c r="F441" s="2" t="n">
        <v>712000</v>
      </c>
      <c r="G441" s="2" t="inlineStr">
        <is>
          <t>No</t>
        </is>
      </c>
      <c r="H441" s="2" t="n">
        <v>28</v>
      </c>
      <c r="I441" s="2" t="n">
        <v>3.9</v>
      </c>
      <c r="J441" s="2" t="n">
        <v>3.9</v>
      </c>
      <c r="K441" s="2" t="n">
        <v>2.6</v>
      </c>
      <c r="L441" s="2" t="inlineStr">
        <is>
          <t>Active</t>
        </is>
      </c>
    </row>
    <row r="442">
      <c r="A442" s="2" t="inlineStr">
        <is>
          <t>EMP00348</t>
        </is>
      </c>
      <c r="B442" s="2" t="inlineStr">
        <is>
          <t>Engineering</t>
        </is>
      </c>
      <c r="C442" s="2" t="inlineStr">
        <is>
          <t>Engineering Manager</t>
        </is>
      </c>
      <c r="D442" s="2" t="n">
        <v>29</v>
      </c>
      <c r="E442" s="2" t="n">
        <v>2.1</v>
      </c>
      <c r="F442" s="2" t="n">
        <v>1074000</v>
      </c>
      <c r="G442" s="2" t="inlineStr">
        <is>
          <t>Yes</t>
        </is>
      </c>
      <c r="H442" s="2" t="n">
        <v>35</v>
      </c>
      <c r="I442" s="2" t="n">
        <v>2.3</v>
      </c>
      <c r="J442" s="2" t="n">
        <v>3.1</v>
      </c>
      <c r="K442" s="2" t="n">
        <v>4.1</v>
      </c>
      <c r="L442" s="2" t="inlineStr">
        <is>
          <t>Active</t>
        </is>
      </c>
    </row>
    <row r="443">
      <c r="A443" s="2" t="inlineStr">
        <is>
          <t>EMP00505</t>
        </is>
      </c>
      <c r="B443" s="2" t="inlineStr">
        <is>
          <t>Operations</t>
        </is>
      </c>
      <c r="C443" s="2" t="inlineStr">
        <is>
          <t>Ops Manager</t>
        </is>
      </c>
      <c r="D443" s="2" t="n">
        <v>29</v>
      </c>
      <c r="E443" s="2" t="n">
        <v>1.7</v>
      </c>
      <c r="F443" s="2" t="n">
        <v>586000</v>
      </c>
      <c r="G443" s="2" t="inlineStr">
        <is>
          <t>No</t>
        </is>
      </c>
      <c r="H443" s="2" t="n">
        <v>12</v>
      </c>
      <c r="I443" s="2" t="n">
        <v>5</v>
      </c>
      <c r="J443" s="2" t="n">
        <v>3.1</v>
      </c>
      <c r="K443" s="2" t="n">
        <v>3.6</v>
      </c>
      <c r="L443" s="2" t="inlineStr">
        <is>
          <t>Active</t>
        </is>
      </c>
    </row>
    <row r="444">
      <c r="A444" s="2" t="inlineStr">
        <is>
          <t>EMP00299</t>
        </is>
      </c>
      <c r="B444" s="2" t="inlineStr">
        <is>
          <t>HR</t>
        </is>
      </c>
      <c r="C444" s="2" t="inlineStr">
        <is>
          <t>HR Generalist</t>
        </is>
      </c>
      <c r="D444" s="2" t="n">
        <v>37</v>
      </c>
      <c r="E444" s="2" t="n">
        <v>1.1</v>
      </c>
      <c r="F444" s="2" t="n">
        <v>509000</v>
      </c>
      <c r="G444" s="2" t="inlineStr">
        <is>
          <t>Yes</t>
        </is>
      </c>
      <c r="H444" s="2" t="n">
        <v>35</v>
      </c>
      <c r="I444" s="2" t="n">
        <v>3.4</v>
      </c>
      <c r="J444" s="2" t="n">
        <v>1.4</v>
      </c>
      <c r="K444" s="2" t="n">
        <v>2.6</v>
      </c>
      <c r="L444" s="2" t="inlineStr">
        <is>
          <t>Active</t>
        </is>
      </c>
    </row>
    <row r="445">
      <c r="A445" s="2" t="inlineStr">
        <is>
          <t>EMP01144</t>
        </is>
      </c>
      <c r="B445" s="2" t="inlineStr">
        <is>
          <t>HR</t>
        </is>
      </c>
      <c r="C445" s="2" t="inlineStr">
        <is>
          <t>HR Manager</t>
        </is>
      </c>
      <c r="D445" s="2" t="n">
        <v>35</v>
      </c>
      <c r="E445" s="2" t="n">
        <v>2.8</v>
      </c>
      <c r="F445" s="2" t="n">
        <v>647000</v>
      </c>
      <c r="G445" s="2" t="inlineStr">
        <is>
          <t>No</t>
        </is>
      </c>
      <c r="H445" s="2" t="n">
        <v>11</v>
      </c>
      <c r="I445" s="2" t="n">
        <v>3.8</v>
      </c>
      <c r="J445" s="2" t="n">
        <v>1.2</v>
      </c>
      <c r="K445" s="2" t="n">
        <v>4</v>
      </c>
      <c r="L445" s="2" t="inlineStr">
        <is>
          <t>Active</t>
        </is>
      </c>
    </row>
    <row r="446">
      <c r="A446" s="2" t="inlineStr">
        <is>
          <t>EMP00789</t>
        </is>
      </c>
      <c r="B446" s="2" t="inlineStr">
        <is>
          <t>HR</t>
        </is>
      </c>
      <c r="C446" s="2" t="inlineStr">
        <is>
          <t>HR Generalist</t>
        </is>
      </c>
      <c r="D446" s="2" t="n">
        <v>38</v>
      </c>
      <c r="E446" s="2" t="n">
        <v>4.1</v>
      </c>
      <c r="F446" s="2" t="n">
        <v>640000</v>
      </c>
      <c r="G446" s="2" t="inlineStr">
        <is>
          <t>No</t>
        </is>
      </c>
      <c r="H446" s="2" t="n">
        <v>46</v>
      </c>
      <c r="I446" s="2" t="n">
        <v>2.2</v>
      </c>
      <c r="J446" s="2" t="n">
        <v>3.8</v>
      </c>
      <c r="K446" s="2" t="n">
        <v>3.9</v>
      </c>
      <c r="L446" s="2" t="inlineStr">
        <is>
          <t>Resigned</t>
        </is>
      </c>
    </row>
    <row r="447">
      <c r="A447" s="2" t="inlineStr">
        <is>
          <t>EMP00706</t>
        </is>
      </c>
      <c r="B447" s="2" t="inlineStr">
        <is>
          <t>Operations</t>
        </is>
      </c>
      <c r="C447" s="2" t="inlineStr">
        <is>
          <t>Ops Analyst</t>
        </is>
      </c>
      <c r="D447" s="2" t="n">
        <v>36</v>
      </c>
      <c r="E447" s="2" t="n">
        <v>0.8</v>
      </c>
      <c r="F447" s="2" t="n">
        <v>564000</v>
      </c>
      <c r="G447" s="2" t="inlineStr">
        <is>
          <t>No</t>
        </is>
      </c>
      <c r="H447" s="2" t="n">
        <v>50</v>
      </c>
      <c r="I447" s="2" t="n">
        <v>3.1</v>
      </c>
      <c r="J447" s="2" t="n">
        <v>3.2</v>
      </c>
      <c r="K447" s="2" t="n">
        <v>2.8</v>
      </c>
      <c r="L447" s="2" t="inlineStr">
        <is>
          <t>Active</t>
        </is>
      </c>
    </row>
    <row r="448">
      <c r="A448" s="2" t="inlineStr">
        <is>
          <t>EMP00961</t>
        </is>
      </c>
      <c r="B448" s="2" t="inlineStr">
        <is>
          <t>Operations</t>
        </is>
      </c>
      <c r="C448" s="2" t="inlineStr">
        <is>
          <t>Process Lead</t>
        </is>
      </c>
      <c r="D448" s="2" t="n">
        <v>21</v>
      </c>
      <c r="E448" s="2" t="n">
        <v>2.6</v>
      </c>
      <c r="F448" s="2" t="n">
        <v>673000</v>
      </c>
      <c r="G448" s="2" t="inlineStr">
        <is>
          <t>No</t>
        </is>
      </c>
      <c r="H448" s="2" t="n">
        <v>5</v>
      </c>
      <c r="I448" s="2" t="n">
        <v>3.3</v>
      </c>
      <c r="J448" s="2" t="n">
        <v>3.6</v>
      </c>
      <c r="K448" s="2" t="n">
        <v>3</v>
      </c>
      <c r="L448" s="2" t="inlineStr">
        <is>
          <t>Resigned</t>
        </is>
      </c>
    </row>
    <row r="449">
      <c r="A449" s="2" t="inlineStr">
        <is>
          <t>EMP00659</t>
        </is>
      </c>
      <c r="B449" s="2" t="inlineStr">
        <is>
          <t>Operations</t>
        </is>
      </c>
      <c r="C449" s="2" t="inlineStr">
        <is>
          <t>Ops Manager</t>
        </is>
      </c>
      <c r="D449" s="2" t="n">
        <v>37</v>
      </c>
      <c r="E449" s="2" t="n">
        <v>1.7</v>
      </c>
      <c r="F449" s="2" t="n">
        <v>631000</v>
      </c>
      <c r="G449" s="2" t="inlineStr">
        <is>
          <t>No</t>
        </is>
      </c>
      <c r="H449" s="2" t="n">
        <v>46</v>
      </c>
      <c r="I449" s="2" t="n">
        <v>4.3</v>
      </c>
      <c r="J449" s="2" t="n">
        <v>2.4</v>
      </c>
      <c r="K449" s="2" t="n">
        <v>3</v>
      </c>
      <c r="L449" s="2" t="inlineStr">
        <is>
          <t>Active</t>
        </is>
      </c>
    </row>
    <row r="450">
      <c r="A450" s="2" t="inlineStr">
        <is>
          <t>EMP00250</t>
        </is>
      </c>
      <c r="B450" s="2" t="inlineStr">
        <is>
          <t>Operations</t>
        </is>
      </c>
      <c r="C450" s="2" t="inlineStr">
        <is>
          <t>Ops Analyst</t>
        </is>
      </c>
      <c r="D450" s="2" t="n">
        <v>35</v>
      </c>
      <c r="E450" s="2" t="n">
        <v>4.1</v>
      </c>
      <c r="F450" s="2" t="n">
        <v>647000</v>
      </c>
      <c r="G450" s="2" t="inlineStr">
        <is>
          <t>No</t>
        </is>
      </c>
      <c r="H450" s="2" t="n">
        <v>1</v>
      </c>
      <c r="I450" s="2" t="n">
        <v>3.1</v>
      </c>
      <c r="J450" s="2" t="n">
        <v>2.6</v>
      </c>
      <c r="K450" s="2" t="n">
        <v>3.2</v>
      </c>
      <c r="L450" s="2" t="inlineStr">
        <is>
          <t>Active</t>
        </is>
      </c>
    </row>
    <row r="451">
      <c r="A451" s="2" t="inlineStr">
        <is>
          <t>EMP00844</t>
        </is>
      </c>
      <c r="B451" s="2" t="inlineStr">
        <is>
          <t>Engineering</t>
        </is>
      </c>
      <c r="C451" s="2" t="inlineStr">
        <is>
          <t>Senior Engineer</t>
        </is>
      </c>
      <c r="D451" s="2" t="n">
        <v>30</v>
      </c>
      <c r="E451" s="2" t="n">
        <v>0.9</v>
      </c>
      <c r="F451" s="2" t="n">
        <v>981000</v>
      </c>
      <c r="G451" s="2" t="inlineStr">
        <is>
          <t>Yes</t>
        </is>
      </c>
      <c r="H451" s="2" t="n">
        <v>39</v>
      </c>
      <c r="I451" s="2" t="n">
        <v>3.5</v>
      </c>
      <c r="J451" s="2" t="n">
        <v>2</v>
      </c>
      <c r="K451" s="2" t="n">
        <v>4.2</v>
      </c>
      <c r="L451" s="2" t="inlineStr">
        <is>
          <t>Active</t>
        </is>
      </c>
    </row>
    <row r="452">
      <c r="A452" s="2" t="inlineStr">
        <is>
          <t>EMP00016</t>
        </is>
      </c>
      <c r="B452" s="2" t="inlineStr">
        <is>
          <t>Engineering</t>
        </is>
      </c>
      <c r="C452" s="2" t="inlineStr">
        <is>
          <t>Senior Engineer</t>
        </is>
      </c>
      <c r="D452" s="2" t="n">
        <v>38</v>
      </c>
      <c r="E452" s="2" t="n">
        <v>6.8</v>
      </c>
      <c r="F452" s="2" t="n">
        <v>1504000</v>
      </c>
      <c r="G452" s="2" t="inlineStr">
        <is>
          <t>No</t>
        </is>
      </c>
      <c r="H452" s="2" t="n">
        <v>4</v>
      </c>
      <c r="I452" s="2" t="n">
        <v>1.7</v>
      </c>
      <c r="J452" s="2" t="n">
        <v>3.7</v>
      </c>
      <c r="K452" s="2" t="n">
        <v>3.5</v>
      </c>
      <c r="L452" s="2" t="inlineStr">
        <is>
          <t>Active</t>
        </is>
      </c>
    </row>
    <row r="453">
      <c r="A453" s="2" t="inlineStr">
        <is>
          <t>EMP01068</t>
        </is>
      </c>
      <c r="B453" s="2" t="inlineStr">
        <is>
          <t>Finance</t>
        </is>
      </c>
      <c r="C453" s="2" t="inlineStr">
        <is>
          <t>Financial Analyst</t>
        </is>
      </c>
      <c r="D453" s="2" t="n">
        <v>37</v>
      </c>
      <c r="E453" s="2" t="n">
        <v>1.7</v>
      </c>
      <c r="F453" s="2" t="n">
        <v>890000</v>
      </c>
      <c r="G453" s="2" t="inlineStr">
        <is>
          <t>No</t>
        </is>
      </c>
      <c r="H453" s="2" t="n">
        <v>25</v>
      </c>
      <c r="I453" s="2" t="n">
        <v>4.2</v>
      </c>
      <c r="J453" s="2" t="n">
        <v>2</v>
      </c>
      <c r="K453" s="2" t="n">
        <v>2.6</v>
      </c>
      <c r="L453" s="2" t="inlineStr">
        <is>
          <t>Active</t>
        </is>
      </c>
    </row>
    <row r="454">
      <c r="A454" s="2" t="inlineStr">
        <is>
          <t>EMP00160</t>
        </is>
      </c>
      <c r="B454" s="2" t="inlineStr">
        <is>
          <t>HR</t>
        </is>
      </c>
      <c r="C454" s="2" t="inlineStr">
        <is>
          <t>Recruiter</t>
        </is>
      </c>
      <c r="D454" s="2" t="n">
        <v>21</v>
      </c>
      <c r="E454" s="2" t="n">
        <v>1</v>
      </c>
      <c r="F454" s="2" t="n">
        <v>641000</v>
      </c>
      <c r="G454" s="2" t="inlineStr">
        <is>
          <t>No</t>
        </is>
      </c>
      <c r="H454" s="2" t="n">
        <v>52</v>
      </c>
      <c r="I454" s="2" t="n">
        <v>2.7</v>
      </c>
      <c r="J454" s="2" t="n">
        <v>2.6</v>
      </c>
      <c r="K454" s="2" t="n">
        <v>3.7</v>
      </c>
      <c r="L454" s="2" t="inlineStr">
        <is>
          <t>Active</t>
        </is>
      </c>
    </row>
    <row r="455">
      <c r="A455" s="2" t="inlineStr">
        <is>
          <t>EMP01094</t>
        </is>
      </c>
      <c r="B455" s="2" t="inlineStr">
        <is>
          <t>Engineering</t>
        </is>
      </c>
      <c r="C455" s="2" t="inlineStr">
        <is>
          <t>Engineering Manager</t>
        </is>
      </c>
      <c r="D455" s="2" t="n">
        <v>29</v>
      </c>
      <c r="E455" s="2" t="n">
        <v>1.8</v>
      </c>
      <c r="F455" s="2" t="n">
        <v>945000</v>
      </c>
      <c r="G455" s="2" t="inlineStr">
        <is>
          <t>No</t>
        </is>
      </c>
      <c r="H455" s="2" t="n">
        <v>58</v>
      </c>
      <c r="I455" s="2" t="n">
        <v>2.6</v>
      </c>
      <c r="J455" s="2" t="n">
        <v>4.3</v>
      </c>
      <c r="K455" s="2" t="n">
        <v>3.2</v>
      </c>
      <c r="L455" s="2" t="inlineStr">
        <is>
          <t>Resigned</t>
        </is>
      </c>
    </row>
    <row r="456">
      <c r="A456" s="2" t="inlineStr">
        <is>
          <t>EMP00611</t>
        </is>
      </c>
      <c r="B456" s="2" t="inlineStr">
        <is>
          <t>Operations</t>
        </is>
      </c>
      <c r="C456" s="2" t="inlineStr">
        <is>
          <t>Ops Manager</t>
        </is>
      </c>
      <c r="D456" s="2" t="n">
        <v>21</v>
      </c>
      <c r="E456" s="2" t="n">
        <v>12.7</v>
      </c>
      <c r="F456" s="2" t="n">
        <v>832000</v>
      </c>
      <c r="G456" s="2" t="inlineStr">
        <is>
          <t>Yes</t>
        </is>
      </c>
      <c r="H456" s="2" t="n">
        <v>5</v>
      </c>
      <c r="I456" s="2" t="n">
        <v>3.9</v>
      </c>
      <c r="J456" s="2" t="n">
        <v>2.3</v>
      </c>
      <c r="K456" s="2" t="n">
        <v>2.1</v>
      </c>
      <c r="L456" s="2" t="inlineStr">
        <is>
          <t>Active</t>
        </is>
      </c>
    </row>
    <row r="457">
      <c r="A457" s="2" t="inlineStr">
        <is>
          <t>EMP00361</t>
        </is>
      </c>
      <c r="B457" s="2" t="inlineStr">
        <is>
          <t>Customer Support</t>
        </is>
      </c>
      <c r="C457" s="2" t="inlineStr">
        <is>
          <t>Support Associate</t>
        </is>
      </c>
      <c r="D457" s="2" t="n">
        <v>38</v>
      </c>
      <c r="E457" s="2" t="n">
        <v>6.3</v>
      </c>
      <c r="F457" s="2" t="n">
        <v>689000</v>
      </c>
      <c r="G457" s="2" t="inlineStr">
        <is>
          <t>No</t>
        </is>
      </c>
      <c r="H457" s="2" t="n">
        <v>9</v>
      </c>
      <c r="I457" s="2" t="n">
        <v>3.9</v>
      </c>
      <c r="J457" s="2" t="n">
        <v>4.4</v>
      </c>
      <c r="K457" s="2" t="n">
        <v>2.5</v>
      </c>
      <c r="L457" s="2" t="inlineStr">
        <is>
          <t>Active</t>
        </is>
      </c>
    </row>
    <row r="458">
      <c r="A458" s="2" t="inlineStr">
        <is>
          <t>EMP00049</t>
        </is>
      </c>
      <c r="B458" s="2" t="inlineStr">
        <is>
          <t>Finance</t>
        </is>
      </c>
      <c r="C458" s="2" t="inlineStr">
        <is>
          <t>Finance Manager</t>
        </is>
      </c>
      <c r="D458" s="2" t="n">
        <v>43</v>
      </c>
      <c r="E458" s="2" t="n">
        <v>6.1</v>
      </c>
      <c r="F458" s="2" t="n">
        <v>1077000</v>
      </c>
      <c r="G458" s="2" t="inlineStr">
        <is>
          <t>No</t>
        </is>
      </c>
      <c r="H458" s="2" t="n">
        <v>16</v>
      </c>
      <c r="I458" s="2" t="n">
        <v>1.3</v>
      </c>
      <c r="J458" s="2" t="n">
        <v>3.8</v>
      </c>
      <c r="K458" s="2" t="n">
        <v>2.8</v>
      </c>
      <c r="L458" s="2" t="inlineStr">
        <is>
          <t>Active</t>
        </is>
      </c>
    </row>
    <row r="459">
      <c r="A459" s="2" t="inlineStr">
        <is>
          <t>EMP00203</t>
        </is>
      </c>
      <c r="B459" s="2" t="inlineStr">
        <is>
          <t>Operations</t>
        </is>
      </c>
      <c r="C459" s="2" t="inlineStr">
        <is>
          <t>Process Lead</t>
        </is>
      </c>
      <c r="D459" s="2" t="n">
        <v>29</v>
      </c>
      <c r="E459" s="2" t="n">
        <v>2.4</v>
      </c>
      <c r="F459" s="2" t="n">
        <v>786000</v>
      </c>
      <c r="G459" s="2" t="inlineStr">
        <is>
          <t>No</t>
        </is>
      </c>
      <c r="H459" s="2" t="n">
        <v>34</v>
      </c>
      <c r="I459" s="2" t="n">
        <v>3.1</v>
      </c>
      <c r="J459" s="2" t="n">
        <v>3</v>
      </c>
      <c r="K459" s="2" t="n">
        <v>1.8</v>
      </c>
      <c r="L459" s="2" t="inlineStr">
        <is>
          <t>Active</t>
        </is>
      </c>
    </row>
    <row r="460">
      <c r="A460" s="2" t="inlineStr">
        <is>
          <t>EMP00331</t>
        </is>
      </c>
      <c r="B460" s="2" t="inlineStr">
        <is>
          <t>Finance</t>
        </is>
      </c>
      <c r="C460" s="2" t="inlineStr">
        <is>
          <t>Finance Manager</t>
        </is>
      </c>
      <c r="D460" s="2" t="n">
        <v>33</v>
      </c>
      <c r="E460" s="2" t="n">
        <v>1.2</v>
      </c>
      <c r="F460" s="2" t="n">
        <v>774000</v>
      </c>
      <c r="G460" s="2" t="inlineStr">
        <is>
          <t>No</t>
        </is>
      </c>
      <c r="H460" s="2" t="n">
        <v>6</v>
      </c>
      <c r="I460" s="2" t="n">
        <v>4</v>
      </c>
      <c r="J460" s="2" t="n">
        <v>3</v>
      </c>
      <c r="K460" s="2" t="n">
        <v>2.3</v>
      </c>
      <c r="L460" s="2" t="inlineStr">
        <is>
          <t>Active</t>
        </is>
      </c>
    </row>
    <row r="461">
      <c r="A461" s="2" t="inlineStr">
        <is>
          <t>EMP00599</t>
        </is>
      </c>
      <c r="B461" s="2" t="inlineStr">
        <is>
          <t>Customer Support</t>
        </is>
      </c>
      <c r="C461" s="2" t="inlineStr">
        <is>
          <t>Support Lead</t>
        </is>
      </c>
      <c r="D461" s="2" t="n">
        <v>36</v>
      </c>
      <c r="E461" s="2" t="n">
        <v>6.1</v>
      </c>
      <c r="F461" s="2" t="n">
        <v>630000</v>
      </c>
      <c r="G461" s="2" t="inlineStr">
        <is>
          <t>Yes</t>
        </is>
      </c>
      <c r="H461" s="2" t="n">
        <v>18</v>
      </c>
      <c r="I461" s="2" t="n">
        <v>3.6</v>
      </c>
      <c r="J461" s="2" t="n">
        <v>1</v>
      </c>
      <c r="K461" s="2" t="n">
        <v>3.5</v>
      </c>
      <c r="L461" s="2" t="inlineStr">
        <is>
          <t>Active</t>
        </is>
      </c>
    </row>
    <row r="462">
      <c r="A462" s="2" t="inlineStr">
        <is>
          <t>EMP00511</t>
        </is>
      </c>
      <c r="B462" s="2" t="inlineStr">
        <is>
          <t>Sales</t>
        </is>
      </c>
      <c r="C462" s="2" t="inlineStr">
        <is>
          <t>Sales Executive</t>
        </is>
      </c>
      <c r="D462" s="2" t="n">
        <v>37</v>
      </c>
      <c r="E462" s="2" t="n">
        <v>2</v>
      </c>
      <c r="F462" s="2" t="n">
        <v>833000</v>
      </c>
      <c r="G462" s="2" t="inlineStr">
        <is>
          <t>Yes</t>
        </is>
      </c>
      <c r="H462" s="2" t="n">
        <v>25</v>
      </c>
      <c r="I462" s="2" t="n">
        <v>2.3</v>
      </c>
      <c r="J462" s="2" t="n">
        <v>3.5</v>
      </c>
      <c r="K462" s="2" t="n">
        <v>4.4</v>
      </c>
      <c r="L462" s="2" t="inlineStr">
        <is>
          <t>Active</t>
        </is>
      </c>
    </row>
    <row r="463">
      <c r="A463" s="2" t="inlineStr">
        <is>
          <t>EMP00113</t>
        </is>
      </c>
      <c r="B463" s="2" t="inlineStr">
        <is>
          <t>Engineering</t>
        </is>
      </c>
      <c r="C463" s="2" t="inlineStr">
        <is>
          <t>Engineering Manager</t>
        </is>
      </c>
      <c r="D463" s="2" t="n">
        <v>44</v>
      </c>
      <c r="E463" s="2" t="n">
        <v>0.8</v>
      </c>
      <c r="F463" s="2" t="n">
        <v>1038000</v>
      </c>
      <c r="G463" s="2" t="inlineStr">
        <is>
          <t>No</t>
        </is>
      </c>
      <c r="H463" s="2" t="n">
        <v>41</v>
      </c>
      <c r="I463" s="2" t="n">
        <v>3.8</v>
      </c>
      <c r="J463" s="2" t="n">
        <v>3.6</v>
      </c>
      <c r="K463" s="2" t="n">
        <v>2.9</v>
      </c>
      <c r="L463" s="2" t="inlineStr">
        <is>
          <t>Active</t>
        </is>
      </c>
    </row>
    <row r="464">
      <c r="A464" s="2" t="inlineStr">
        <is>
          <t>EMP00308</t>
        </is>
      </c>
      <c r="B464" s="2" t="inlineStr">
        <is>
          <t>Finance</t>
        </is>
      </c>
      <c r="C464" s="2" t="inlineStr">
        <is>
          <t>Financial Analyst</t>
        </is>
      </c>
      <c r="D464" s="2" t="n">
        <v>39</v>
      </c>
      <c r="E464" s="2" t="n">
        <v>6.4</v>
      </c>
      <c r="F464" s="2" t="n">
        <v>945000</v>
      </c>
      <c r="G464" s="2" t="inlineStr">
        <is>
          <t>Yes</t>
        </is>
      </c>
      <c r="H464" s="2" t="n">
        <v>46</v>
      </c>
      <c r="I464" s="2" t="n">
        <v>3.5</v>
      </c>
      <c r="J464" s="2" t="n">
        <v>3.2</v>
      </c>
      <c r="K464" s="2" t="n">
        <v>4.3</v>
      </c>
      <c r="L464" s="2" t="inlineStr">
        <is>
          <t>Active</t>
        </is>
      </c>
    </row>
    <row r="465">
      <c r="A465" s="2" t="inlineStr">
        <is>
          <t>EMP00790</t>
        </is>
      </c>
      <c r="B465" s="2" t="inlineStr">
        <is>
          <t>Finance</t>
        </is>
      </c>
      <c r="C465" s="2" t="inlineStr">
        <is>
          <t>Finance Manager</t>
        </is>
      </c>
      <c r="D465" s="2" t="n">
        <v>33</v>
      </c>
      <c r="E465" s="2" t="n">
        <v>1.5</v>
      </c>
      <c r="F465" s="2" t="n">
        <v>932000</v>
      </c>
      <c r="G465" s="2" t="inlineStr">
        <is>
          <t>Yes</t>
        </is>
      </c>
      <c r="H465" s="2" t="n">
        <v>46</v>
      </c>
      <c r="I465" s="2" t="n">
        <v>3.2</v>
      </c>
      <c r="J465" s="2" t="n">
        <v>2.4</v>
      </c>
      <c r="K465" s="2" t="n">
        <v>3.2</v>
      </c>
      <c r="L465" s="2" t="inlineStr">
        <is>
          <t>Active</t>
        </is>
      </c>
    </row>
    <row r="466">
      <c r="A466" s="2" t="inlineStr">
        <is>
          <t>EMP00423</t>
        </is>
      </c>
      <c r="B466" s="2" t="inlineStr">
        <is>
          <t>Sales</t>
        </is>
      </c>
      <c r="C466" s="2" t="inlineStr">
        <is>
          <t>Sales Executive</t>
        </is>
      </c>
      <c r="D466" s="2" t="n">
        <v>40</v>
      </c>
      <c r="E466" s="2" t="n">
        <v>5.7</v>
      </c>
      <c r="F466" s="2" t="n">
        <v>822000</v>
      </c>
      <c r="G466" s="2" t="inlineStr">
        <is>
          <t>Yes</t>
        </is>
      </c>
      <c r="H466" s="2" t="n">
        <v>57</v>
      </c>
      <c r="I466" s="2" t="n">
        <v>2.3</v>
      </c>
      <c r="J466" s="2" t="n">
        <v>2.8</v>
      </c>
      <c r="K466" s="2" t="n">
        <v>2.7</v>
      </c>
      <c r="L466" s="2" t="inlineStr">
        <is>
          <t>Active</t>
        </is>
      </c>
    </row>
    <row r="467">
      <c r="A467" s="2" t="inlineStr">
        <is>
          <t>EMP00417</t>
        </is>
      </c>
      <c r="B467" s="2" t="inlineStr">
        <is>
          <t>Sales</t>
        </is>
      </c>
      <c r="C467" s="2" t="inlineStr">
        <is>
          <t>Sales Manager</t>
        </is>
      </c>
      <c r="D467" s="2" t="n">
        <v>37</v>
      </c>
      <c r="E467" s="2" t="n">
        <v>1.4</v>
      </c>
      <c r="F467" s="2" t="n">
        <v>772000</v>
      </c>
      <c r="G467" s="2" t="inlineStr">
        <is>
          <t>Yes</t>
        </is>
      </c>
      <c r="H467" s="2" t="n">
        <v>15</v>
      </c>
      <c r="I467" s="2" t="n">
        <v>3.1</v>
      </c>
      <c r="J467" s="2" t="n">
        <v>3.2</v>
      </c>
      <c r="K467" s="2" t="n">
        <v>2.7</v>
      </c>
      <c r="L467" s="2" t="inlineStr">
        <is>
          <t>Resigned</t>
        </is>
      </c>
    </row>
    <row r="468">
      <c r="A468" s="2" t="inlineStr">
        <is>
          <t>EMP00411</t>
        </is>
      </c>
      <c r="B468" s="2" t="inlineStr">
        <is>
          <t>Finance</t>
        </is>
      </c>
      <c r="C468" s="2" t="inlineStr">
        <is>
          <t>Accountant</t>
        </is>
      </c>
      <c r="D468" s="2" t="n">
        <v>48</v>
      </c>
      <c r="E468" s="2" t="n">
        <v>5</v>
      </c>
      <c r="F468" s="2" t="n">
        <v>965000</v>
      </c>
      <c r="G468" s="2" t="inlineStr">
        <is>
          <t>No</t>
        </is>
      </c>
      <c r="H468" s="2" t="n">
        <v>45</v>
      </c>
      <c r="I468" s="2" t="n">
        <v>4.7</v>
      </c>
      <c r="J468" s="2" t="n">
        <v>3.5</v>
      </c>
      <c r="K468" s="2" t="n">
        <v>2.2</v>
      </c>
      <c r="L468" s="2" t="inlineStr">
        <is>
          <t>Active</t>
        </is>
      </c>
    </row>
    <row r="469">
      <c r="A469" s="2" t="inlineStr">
        <is>
          <t>EMP01080</t>
        </is>
      </c>
      <c r="B469" s="2" t="inlineStr">
        <is>
          <t>Engineering</t>
        </is>
      </c>
      <c r="C469" s="2" t="inlineStr">
        <is>
          <t>Engineering Manager</t>
        </is>
      </c>
      <c r="D469" s="2" t="n">
        <v>39</v>
      </c>
      <c r="E469" s="2" t="n">
        <v>2.3</v>
      </c>
      <c r="F469" s="2" t="n">
        <v>1086000</v>
      </c>
      <c r="G469" s="2" t="inlineStr">
        <is>
          <t>Yes</t>
        </is>
      </c>
      <c r="H469" s="2" t="n">
        <v>48</v>
      </c>
      <c r="I469" s="2" t="n">
        <v>3.6</v>
      </c>
      <c r="J469" s="2" t="n">
        <v>1.9</v>
      </c>
      <c r="K469" s="2" t="n">
        <v>2</v>
      </c>
      <c r="L469" s="2" t="inlineStr">
        <is>
          <t>Active</t>
        </is>
      </c>
    </row>
    <row r="470">
      <c r="A470" s="2" t="inlineStr">
        <is>
          <t>EMP00792</t>
        </is>
      </c>
      <c r="B470" s="2" t="inlineStr">
        <is>
          <t>Engineering</t>
        </is>
      </c>
      <c r="C470" s="2" t="inlineStr">
        <is>
          <t>Engineering Manager</t>
        </is>
      </c>
      <c r="D470" s="2" t="n">
        <v>44</v>
      </c>
      <c r="E470" s="2" t="n">
        <v>7</v>
      </c>
      <c r="F470" s="2" t="n">
        <v>1349000</v>
      </c>
      <c r="G470" s="2" t="inlineStr">
        <is>
          <t>No</t>
        </is>
      </c>
      <c r="H470" s="2" t="n">
        <v>8</v>
      </c>
      <c r="I470" s="2" t="n">
        <v>3</v>
      </c>
      <c r="J470" s="2" t="n">
        <v>2.6</v>
      </c>
      <c r="K470" s="2" t="n">
        <v>4.3</v>
      </c>
      <c r="L470" s="2" t="inlineStr">
        <is>
          <t>Active</t>
        </is>
      </c>
    </row>
    <row r="471">
      <c r="A471" s="2" t="inlineStr">
        <is>
          <t>EMP00856</t>
        </is>
      </c>
      <c r="B471" s="2" t="inlineStr">
        <is>
          <t>Operations</t>
        </is>
      </c>
      <c r="C471" s="2" t="inlineStr">
        <is>
          <t>Ops Analyst</t>
        </is>
      </c>
      <c r="D471" s="2" t="n">
        <v>41</v>
      </c>
      <c r="E471" s="2" t="n">
        <v>5</v>
      </c>
      <c r="F471" s="2" t="n">
        <v>747000</v>
      </c>
      <c r="G471" s="2" t="inlineStr">
        <is>
          <t>No</t>
        </is>
      </c>
      <c r="H471" s="2" t="n">
        <v>7</v>
      </c>
      <c r="I471" s="2" t="n">
        <v>4.5</v>
      </c>
      <c r="J471" s="2" t="n">
        <v>2.5</v>
      </c>
      <c r="K471" s="2" t="n">
        <v>3</v>
      </c>
      <c r="L471" s="2" t="inlineStr">
        <is>
          <t>Active</t>
        </is>
      </c>
    </row>
    <row r="472">
      <c r="A472" s="2" t="inlineStr">
        <is>
          <t>EMP00645</t>
        </is>
      </c>
      <c r="B472" s="2" t="inlineStr">
        <is>
          <t>Finance</t>
        </is>
      </c>
      <c r="C472" s="2" t="inlineStr">
        <is>
          <t>Financial Analyst</t>
        </is>
      </c>
      <c r="D472" s="2" t="n">
        <v>30</v>
      </c>
      <c r="E472" s="2" t="n">
        <v>3.4</v>
      </c>
      <c r="F472" s="2" t="n">
        <v>882000</v>
      </c>
      <c r="G472" s="2" t="inlineStr">
        <is>
          <t>No</t>
        </is>
      </c>
      <c r="H472" s="2" t="n">
        <v>37</v>
      </c>
      <c r="I472" s="2" t="n">
        <v>4.3</v>
      </c>
      <c r="J472" s="2" t="n">
        <v>4.2</v>
      </c>
      <c r="K472" s="2" t="n">
        <v>4.5</v>
      </c>
      <c r="L472" s="2" t="inlineStr">
        <is>
          <t>Active</t>
        </is>
      </c>
    </row>
    <row r="473">
      <c r="A473" s="2" t="inlineStr">
        <is>
          <t>EMP00396</t>
        </is>
      </c>
      <c r="B473" s="2" t="inlineStr">
        <is>
          <t>Operations</t>
        </is>
      </c>
      <c r="C473" s="2" t="inlineStr">
        <is>
          <t>Process Lead</t>
        </is>
      </c>
      <c r="D473" s="2" t="n">
        <v>30</v>
      </c>
      <c r="E473" s="2" t="n">
        <v>8.9</v>
      </c>
      <c r="F473" s="2" t="n">
        <v>1026000</v>
      </c>
      <c r="G473" s="2" t="inlineStr">
        <is>
          <t>Yes</t>
        </is>
      </c>
      <c r="H473" s="2" t="n">
        <v>51</v>
      </c>
      <c r="I473" s="2" t="n">
        <v>3.4</v>
      </c>
      <c r="J473" s="2" t="n">
        <v>3.7</v>
      </c>
      <c r="K473" s="2" t="n">
        <v>2.8</v>
      </c>
      <c r="L473" s="2" t="inlineStr">
        <is>
          <t>Active</t>
        </is>
      </c>
    </row>
    <row r="474">
      <c r="A474" s="2" t="inlineStr">
        <is>
          <t>EMP00668</t>
        </is>
      </c>
      <c r="B474" s="2" t="inlineStr">
        <is>
          <t>Customer Support</t>
        </is>
      </c>
      <c r="C474" s="2" t="inlineStr">
        <is>
          <t>Support Manager</t>
        </is>
      </c>
      <c r="D474" s="2" t="n">
        <v>28</v>
      </c>
      <c r="E474" s="2" t="n">
        <v>1.5</v>
      </c>
      <c r="F474" s="2" t="n">
        <v>501000</v>
      </c>
      <c r="G474" s="2" t="inlineStr">
        <is>
          <t>No</t>
        </is>
      </c>
      <c r="H474" s="2" t="n">
        <v>22</v>
      </c>
      <c r="I474" s="2" t="n">
        <v>2.4</v>
      </c>
      <c r="J474" s="2" t="n">
        <v>4.3</v>
      </c>
      <c r="K474" s="2" t="n">
        <v>2.9</v>
      </c>
      <c r="L474" s="2" t="inlineStr">
        <is>
          <t>Active</t>
        </is>
      </c>
    </row>
    <row r="475">
      <c r="A475" s="2" t="inlineStr">
        <is>
          <t>EMP00460</t>
        </is>
      </c>
      <c r="B475" s="2" t="inlineStr">
        <is>
          <t>Finance</t>
        </is>
      </c>
      <c r="C475" s="2" t="inlineStr">
        <is>
          <t>Accountant</t>
        </is>
      </c>
      <c r="D475" s="2" t="n">
        <v>46</v>
      </c>
      <c r="E475" s="2" t="n">
        <v>1.2</v>
      </c>
      <c r="F475" s="2" t="n">
        <v>876000</v>
      </c>
      <c r="G475" s="2" t="inlineStr">
        <is>
          <t>Yes</t>
        </is>
      </c>
      <c r="H475" s="2" t="n">
        <v>20</v>
      </c>
      <c r="I475" s="2" t="n">
        <v>3.8</v>
      </c>
      <c r="J475" s="2" t="n">
        <v>3.2</v>
      </c>
      <c r="K475" s="2" t="n">
        <v>2.3</v>
      </c>
      <c r="L475" s="2" t="inlineStr">
        <is>
          <t>Active</t>
        </is>
      </c>
    </row>
    <row r="476">
      <c r="A476" s="2" t="inlineStr">
        <is>
          <t>EMP00656</t>
        </is>
      </c>
      <c r="B476" s="2" t="inlineStr">
        <is>
          <t>Engineering</t>
        </is>
      </c>
      <c r="C476" s="2" t="inlineStr">
        <is>
          <t>Senior Engineer</t>
        </is>
      </c>
      <c r="D476" s="2" t="n">
        <v>21</v>
      </c>
      <c r="E476" s="2" t="n">
        <v>5.1</v>
      </c>
      <c r="F476" s="2" t="n">
        <v>1297000</v>
      </c>
      <c r="G476" s="2" t="inlineStr">
        <is>
          <t>Yes</t>
        </is>
      </c>
      <c r="H476" s="2" t="n">
        <v>32</v>
      </c>
      <c r="I476" s="2" t="n">
        <v>3.3</v>
      </c>
      <c r="J476" s="2" t="n">
        <v>2.7</v>
      </c>
      <c r="K476" s="2" t="n">
        <v>2.4</v>
      </c>
      <c r="L476" s="2" t="inlineStr">
        <is>
          <t>Active</t>
        </is>
      </c>
    </row>
    <row r="477">
      <c r="A477" s="2" t="inlineStr">
        <is>
          <t>EMP00128</t>
        </is>
      </c>
      <c r="B477" s="2" t="inlineStr">
        <is>
          <t>Sales</t>
        </is>
      </c>
      <c r="C477" s="2" t="inlineStr">
        <is>
          <t>Sales Manager</t>
        </is>
      </c>
      <c r="D477" s="2" t="n">
        <v>38</v>
      </c>
      <c r="E477" s="2" t="n">
        <v>4.2</v>
      </c>
      <c r="F477" s="2" t="n">
        <v>865000</v>
      </c>
      <c r="G477" s="2" t="inlineStr">
        <is>
          <t>No</t>
        </is>
      </c>
      <c r="H477" s="2" t="n">
        <v>1</v>
      </c>
      <c r="I477" s="2" t="n">
        <v>3.7</v>
      </c>
      <c r="J477" s="2" t="n">
        <v>3.8</v>
      </c>
      <c r="K477" s="2" t="n">
        <v>1.5</v>
      </c>
      <c r="L477" s="2" t="inlineStr">
        <is>
          <t>Active</t>
        </is>
      </c>
    </row>
    <row r="478">
      <c r="A478" s="2" t="inlineStr">
        <is>
          <t>EMP01057</t>
        </is>
      </c>
      <c r="B478" s="2" t="inlineStr">
        <is>
          <t>Customer Support</t>
        </is>
      </c>
      <c r="C478" s="2" t="inlineStr">
        <is>
          <t>Support Manager</t>
        </is>
      </c>
      <c r="D478" s="2" t="n">
        <v>37</v>
      </c>
      <c r="E478" s="2" t="n">
        <v>0.8</v>
      </c>
      <c r="F478" s="2" t="n">
        <v>514000</v>
      </c>
      <c r="G478" s="2" t="inlineStr">
        <is>
          <t>No</t>
        </is>
      </c>
      <c r="H478" s="2" t="n">
        <v>25</v>
      </c>
      <c r="I478" s="2" t="n">
        <v>2.8</v>
      </c>
      <c r="J478" s="2" t="n">
        <v>4</v>
      </c>
      <c r="K478" s="2" t="n">
        <v>2.5</v>
      </c>
      <c r="L478" s="2" t="inlineStr">
        <is>
          <t>Active</t>
        </is>
      </c>
    </row>
    <row r="479">
      <c r="A479" s="2" t="inlineStr">
        <is>
          <t>EMP01189</t>
        </is>
      </c>
      <c r="B479" s="2" t="inlineStr">
        <is>
          <t>Sales</t>
        </is>
      </c>
      <c r="C479" s="2" t="inlineStr">
        <is>
          <t>Account Manager</t>
        </is>
      </c>
      <c r="D479" s="2" t="n">
        <v>51</v>
      </c>
      <c r="E479" s="2" t="n">
        <v>7.3</v>
      </c>
      <c r="F479" s="2" t="n">
        <v>997000</v>
      </c>
      <c r="G479" s="2" t="inlineStr">
        <is>
          <t>No</t>
        </is>
      </c>
      <c r="H479" s="2" t="n">
        <v>25</v>
      </c>
      <c r="I479" s="2" t="n">
        <v>4</v>
      </c>
      <c r="J479" s="2" t="n">
        <v>4.2</v>
      </c>
      <c r="K479" s="2" t="n">
        <v>3</v>
      </c>
      <c r="L479" s="2" t="inlineStr">
        <is>
          <t>Active</t>
        </is>
      </c>
    </row>
    <row r="480">
      <c r="A480" s="2" t="inlineStr">
        <is>
          <t>EMP00774</t>
        </is>
      </c>
      <c r="B480" s="2" t="inlineStr">
        <is>
          <t>Customer Support</t>
        </is>
      </c>
      <c r="C480" s="2" t="inlineStr">
        <is>
          <t>Support Lead</t>
        </is>
      </c>
      <c r="D480" s="2" t="n">
        <v>43</v>
      </c>
      <c r="E480" s="2" t="n">
        <v>2.3</v>
      </c>
      <c r="F480" s="2" t="n">
        <v>479000</v>
      </c>
      <c r="G480" s="2" t="inlineStr">
        <is>
          <t>No</t>
        </is>
      </c>
      <c r="H480" s="2" t="n">
        <v>41</v>
      </c>
      <c r="I480" s="2" t="n">
        <v>2.7</v>
      </c>
      <c r="J480" s="2" t="n">
        <v>3</v>
      </c>
      <c r="K480" s="2" t="n">
        <v>3.8</v>
      </c>
      <c r="L480" s="2" t="inlineStr">
        <is>
          <t>Active</t>
        </is>
      </c>
    </row>
    <row r="481">
      <c r="A481" s="2" t="inlineStr">
        <is>
          <t>EMP00450</t>
        </is>
      </c>
      <c r="B481" s="2" t="inlineStr">
        <is>
          <t>Finance</t>
        </is>
      </c>
      <c r="C481" s="2" t="inlineStr">
        <is>
          <t>Accountant</t>
        </is>
      </c>
      <c r="D481" s="2" t="n">
        <v>23</v>
      </c>
      <c r="E481" s="2" t="n">
        <v>7.7</v>
      </c>
      <c r="F481" s="2" t="n">
        <v>1034000</v>
      </c>
      <c r="G481" s="2" t="inlineStr">
        <is>
          <t>Yes</t>
        </is>
      </c>
      <c r="H481" s="2" t="n">
        <v>16</v>
      </c>
      <c r="I481" s="2" t="n">
        <v>3.4</v>
      </c>
      <c r="J481" s="2" t="n">
        <v>3.3</v>
      </c>
      <c r="K481" s="2" t="n">
        <v>2.4</v>
      </c>
      <c r="L481" s="2" t="inlineStr">
        <is>
          <t>Active</t>
        </is>
      </c>
    </row>
    <row r="482">
      <c r="A482" s="2" t="inlineStr">
        <is>
          <t>EMP00238</t>
        </is>
      </c>
      <c r="B482" s="2" t="inlineStr">
        <is>
          <t>HR</t>
        </is>
      </c>
      <c r="C482" s="2" t="inlineStr">
        <is>
          <t>HR Manager</t>
        </is>
      </c>
      <c r="D482" s="2" t="n">
        <v>38</v>
      </c>
      <c r="E482" s="2" t="n">
        <v>4.3</v>
      </c>
      <c r="F482" s="2" t="n">
        <v>786000</v>
      </c>
      <c r="G482" s="2" t="inlineStr">
        <is>
          <t>No</t>
        </is>
      </c>
      <c r="H482" s="2" t="n">
        <v>58</v>
      </c>
      <c r="I482" s="2" t="n">
        <v>4.7</v>
      </c>
      <c r="J482" s="2" t="n">
        <v>1.6</v>
      </c>
      <c r="K482" s="2" t="n">
        <v>2.2</v>
      </c>
      <c r="L482" s="2" t="inlineStr">
        <is>
          <t>Active</t>
        </is>
      </c>
    </row>
    <row r="483">
      <c r="A483" s="2" t="inlineStr">
        <is>
          <t>EMP00168</t>
        </is>
      </c>
      <c r="B483" s="2" t="inlineStr">
        <is>
          <t>HR</t>
        </is>
      </c>
      <c r="C483" s="2" t="inlineStr">
        <is>
          <t>Recruiter</t>
        </is>
      </c>
      <c r="D483" s="2" t="n">
        <v>38</v>
      </c>
      <c r="E483" s="2" t="n">
        <v>3.6</v>
      </c>
      <c r="F483" s="2" t="n">
        <v>684000</v>
      </c>
      <c r="G483" s="2" t="inlineStr">
        <is>
          <t>No</t>
        </is>
      </c>
      <c r="H483" s="2" t="n">
        <v>52</v>
      </c>
      <c r="I483" s="2" t="n">
        <v>3.6</v>
      </c>
      <c r="J483" s="2" t="n">
        <v>4.4</v>
      </c>
      <c r="K483" s="2" t="n">
        <v>1.9</v>
      </c>
      <c r="L483" s="2" t="inlineStr">
        <is>
          <t>Active</t>
        </is>
      </c>
    </row>
    <row r="484">
      <c r="A484" s="2" t="inlineStr">
        <is>
          <t>EMP00783</t>
        </is>
      </c>
      <c r="B484" s="2" t="inlineStr">
        <is>
          <t>Operations</t>
        </is>
      </c>
      <c r="C484" s="2" t="inlineStr">
        <is>
          <t>Process Lead</t>
        </is>
      </c>
      <c r="D484" s="2" t="n">
        <v>30</v>
      </c>
      <c r="E484" s="2" t="n">
        <v>0.6</v>
      </c>
      <c r="F484" s="2" t="n">
        <v>698000</v>
      </c>
      <c r="G484" s="2" t="inlineStr">
        <is>
          <t>No</t>
        </is>
      </c>
      <c r="H484" s="2" t="n">
        <v>9</v>
      </c>
      <c r="I484" s="2" t="n">
        <v>2</v>
      </c>
      <c r="J484" s="2" t="n">
        <v>2.9</v>
      </c>
      <c r="K484" s="2" t="n">
        <v>3.6</v>
      </c>
      <c r="L484" s="2" t="inlineStr">
        <is>
          <t>Active</t>
        </is>
      </c>
    </row>
    <row r="485">
      <c r="A485" s="2" t="inlineStr">
        <is>
          <t>EMP00636</t>
        </is>
      </c>
      <c r="B485" s="2" t="inlineStr">
        <is>
          <t>Sales</t>
        </is>
      </c>
      <c r="C485" s="2" t="inlineStr">
        <is>
          <t>Sales Manager</t>
        </is>
      </c>
      <c r="D485" s="2" t="n">
        <v>49</v>
      </c>
      <c r="E485" s="2" t="n">
        <v>2.2</v>
      </c>
      <c r="F485" s="2" t="n">
        <v>769000</v>
      </c>
      <c r="G485" s="2" t="inlineStr">
        <is>
          <t>No</t>
        </is>
      </c>
      <c r="H485" s="2" t="n">
        <v>10</v>
      </c>
      <c r="I485" s="2" t="n">
        <v>4.4</v>
      </c>
      <c r="J485" s="2" t="n">
        <v>3.5</v>
      </c>
      <c r="K485" s="2" t="n">
        <v>2.2</v>
      </c>
      <c r="L485" s="2" t="inlineStr">
        <is>
          <t>Resigned</t>
        </is>
      </c>
    </row>
    <row r="486">
      <c r="A486" s="2" t="inlineStr">
        <is>
          <t>EMP00081</t>
        </is>
      </c>
      <c r="B486" s="2" t="inlineStr">
        <is>
          <t>Finance</t>
        </is>
      </c>
      <c r="C486" s="2" t="inlineStr">
        <is>
          <t>Accountant</t>
        </is>
      </c>
      <c r="D486" s="2" t="n">
        <v>43</v>
      </c>
      <c r="E486" s="2" t="n">
        <v>1</v>
      </c>
      <c r="F486" s="2" t="n">
        <v>778000</v>
      </c>
      <c r="G486" s="2" t="inlineStr">
        <is>
          <t>No</t>
        </is>
      </c>
      <c r="H486" s="2" t="n">
        <v>59</v>
      </c>
      <c r="I486" s="2" t="n">
        <v>4.8</v>
      </c>
      <c r="J486" s="2" t="n">
        <v>3.2</v>
      </c>
      <c r="K486" s="2" t="n">
        <v>4.5</v>
      </c>
      <c r="L486" s="2" t="inlineStr">
        <is>
          <t>Active</t>
        </is>
      </c>
    </row>
    <row r="487">
      <c r="A487" s="2" t="inlineStr">
        <is>
          <t>EMP00415</t>
        </is>
      </c>
      <c r="B487" s="2" t="inlineStr">
        <is>
          <t>Sales</t>
        </is>
      </c>
      <c r="C487" s="2" t="inlineStr">
        <is>
          <t>Sales Executive</t>
        </is>
      </c>
      <c r="D487" s="2" t="n">
        <v>43</v>
      </c>
      <c r="E487" s="2" t="n">
        <v>7.6</v>
      </c>
      <c r="F487" s="2" t="n">
        <v>964000</v>
      </c>
      <c r="G487" s="2" t="inlineStr">
        <is>
          <t>Yes</t>
        </is>
      </c>
      <c r="H487" s="2" t="n">
        <v>48</v>
      </c>
      <c r="I487" s="2" t="n">
        <v>5</v>
      </c>
      <c r="J487" s="2" t="n">
        <v>4.5</v>
      </c>
      <c r="K487" s="2" t="n">
        <v>3.5</v>
      </c>
      <c r="L487" s="2" t="inlineStr">
        <is>
          <t>Active</t>
        </is>
      </c>
    </row>
    <row r="488">
      <c r="A488" s="2" t="inlineStr">
        <is>
          <t>EMP00670</t>
        </is>
      </c>
      <c r="B488" s="2" t="inlineStr">
        <is>
          <t>Engineering</t>
        </is>
      </c>
      <c r="C488" s="2" t="inlineStr">
        <is>
          <t>Software Engineer</t>
        </is>
      </c>
      <c r="D488" s="2" t="n">
        <v>33</v>
      </c>
      <c r="E488" s="2" t="n">
        <v>5.2</v>
      </c>
      <c r="F488" s="2" t="n">
        <v>1221000</v>
      </c>
      <c r="G488" s="2" t="inlineStr">
        <is>
          <t>No</t>
        </is>
      </c>
      <c r="H488" s="2" t="n">
        <v>57</v>
      </c>
      <c r="I488" s="2" t="n">
        <v>3.5</v>
      </c>
      <c r="J488" s="2" t="n">
        <v>3.1</v>
      </c>
      <c r="K488" s="2" t="n">
        <v>2.8</v>
      </c>
      <c r="L488" s="2" t="inlineStr">
        <is>
          <t>Active</t>
        </is>
      </c>
    </row>
    <row r="489">
      <c r="A489" s="2" t="inlineStr">
        <is>
          <t>EMP00301</t>
        </is>
      </c>
      <c r="B489" s="2" t="inlineStr">
        <is>
          <t>HR</t>
        </is>
      </c>
      <c r="C489" s="2" t="inlineStr">
        <is>
          <t>HR Manager</t>
        </is>
      </c>
      <c r="D489" s="2" t="n">
        <v>34</v>
      </c>
      <c r="E489" s="2" t="n">
        <v>2.2</v>
      </c>
      <c r="F489" s="2" t="n">
        <v>625000</v>
      </c>
      <c r="G489" s="2" t="inlineStr">
        <is>
          <t>No</t>
        </is>
      </c>
      <c r="H489" s="2" t="n">
        <v>6</v>
      </c>
      <c r="I489" s="2" t="n">
        <v>2.2</v>
      </c>
      <c r="J489" s="2" t="n">
        <v>3.5</v>
      </c>
      <c r="K489" s="2" t="n">
        <v>2.9</v>
      </c>
      <c r="L489" s="2" t="inlineStr">
        <is>
          <t>Active</t>
        </is>
      </c>
    </row>
    <row r="490">
      <c r="A490" s="2" t="inlineStr">
        <is>
          <t>EMP00643</t>
        </is>
      </c>
      <c r="B490" s="2" t="inlineStr">
        <is>
          <t>Sales</t>
        </is>
      </c>
      <c r="C490" s="2" t="inlineStr">
        <is>
          <t>Sales Executive</t>
        </is>
      </c>
      <c r="D490" s="2" t="n">
        <v>30</v>
      </c>
      <c r="E490" s="2" t="n">
        <v>2.3</v>
      </c>
      <c r="F490" s="2" t="n">
        <v>708000</v>
      </c>
      <c r="G490" s="2" t="inlineStr">
        <is>
          <t>No</t>
        </is>
      </c>
      <c r="H490" s="2" t="n">
        <v>33</v>
      </c>
      <c r="I490" s="2" t="n">
        <v>4.4</v>
      </c>
      <c r="J490" s="2" t="n">
        <v>3.7</v>
      </c>
      <c r="K490" s="2" t="n">
        <v>3.1</v>
      </c>
      <c r="L490" s="2" t="inlineStr">
        <is>
          <t>Active</t>
        </is>
      </c>
    </row>
    <row r="491">
      <c r="A491" s="2" t="inlineStr">
        <is>
          <t>EMP00325</t>
        </is>
      </c>
      <c r="B491" s="2" t="inlineStr">
        <is>
          <t>Customer Support</t>
        </is>
      </c>
      <c r="C491" s="2" t="inlineStr">
        <is>
          <t>Support Manager</t>
        </is>
      </c>
      <c r="D491" s="2" t="n">
        <v>50</v>
      </c>
      <c r="E491" s="2" t="n">
        <v>8.199999999999999</v>
      </c>
      <c r="F491" s="2" t="n">
        <v>727000</v>
      </c>
      <c r="G491" s="2" t="inlineStr">
        <is>
          <t>Yes</t>
        </is>
      </c>
      <c r="H491" s="2" t="n">
        <v>59</v>
      </c>
      <c r="I491" s="2" t="n">
        <v>4.7</v>
      </c>
      <c r="J491" s="2" t="n">
        <v>3.5</v>
      </c>
      <c r="K491" s="2" t="n">
        <v>3.6</v>
      </c>
      <c r="L491" s="2" t="inlineStr">
        <is>
          <t>Resigned</t>
        </is>
      </c>
    </row>
    <row r="492">
      <c r="A492" s="2" t="inlineStr">
        <is>
          <t>EMP00936</t>
        </is>
      </c>
      <c r="B492" s="2" t="inlineStr">
        <is>
          <t>Sales</t>
        </is>
      </c>
      <c r="C492" s="2" t="inlineStr">
        <is>
          <t>Sales Executive</t>
        </is>
      </c>
      <c r="D492" s="2" t="n">
        <v>41</v>
      </c>
      <c r="E492" s="2" t="n">
        <v>2.2</v>
      </c>
      <c r="F492" s="2" t="n">
        <v>659000</v>
      </c>
      <c r="G492" s="2" t="inlineStr">
        <is>
          <t>Yes</t>
        </is>
      </c>
      <c r="H492" s="2" t="n">
        <v>51</v>
      </c>
      <c r="I492" s="2" t="n">
        <v>1.7</v>
      </c>
      <c r="J492" s="2" t="n">
        <v>1.1</v>
      </c>
      <c r="K492" s="2" t="n">
        <v>2.6</v>
      </c>
      <c r="L492" s="2" t="inlineStr">
        <is>
          <t>Resigned</t>
        </is>
      </c>
    </row>
    <row r="493">
      <c r="A493" s="2" t="inlineStr">
        <is>
          <t>EMP00216</t>
        </is>
      </c>
      <c r="B493" s="2" t="inlineStr">
        <is>
          <t>Finance</t>
        </is>
      </c>
      <c r="C493" s="2" t="inlineStr">
        <is>
          <t>Finance Manager</t>
        </is>
      </c>
      <c r="D493" s="2" t="n">
        <v>35</v>
      </c>
      <c r="E493" s="2" t="n">
        <v>1.9</v>
      </c>
      <c r="F493" s="2" t="n">
        <v>931000</v>
      </c>
      <c r="G493" s="2" t="inlineStr">
        <is>
          <t>Yes</t>
        </is>
      </c>
      <c r="H493" s="2" t="n">
        <v>43</v>
      </c>
      <c r="I493" s="2" t="n">
        <v>3.4</v>
      </c>
      <c r="J493" s="2" t="n">
        <v>1</v>
      </c>
      <c r="K493" s="2" t="n">
        <v>3</v>
      </c>
      <c r="L493" s="2" t="inlineStr">
        <is>
          <t>Resigned</t>
        </is>
      </c>
    </row>
    <row r="494">
      <c r="A494" s="2" t="inlineStr">
        <is>
          <t>EMP00622</t>
        </is>
      </c>
      <c r="B494" s="2" t="inlineStr">
        <is>
          <t>Operations</t>
        </is>
      </c>
      <c r="C494" s="2" t="inlineStr">
        <is>
          <t>Ops Analyst</t>
        </is>
      </c>
      <c r="D494" s="2" t="n">
        <v>34</v>
      </c>
      <c r="E494" s="2" t="n">
        <v>1.9</v>
      </c>
      <c r="F494" s="2" t="n">
        <v>697000</v>
      </c>
      <c r="G494" s="2" t="inlineStr">
        <is>
          <t>No</t>
        </is>
      </c>
      <c r="H494" s="2" t="n">
        <v>19</v>
      </c>
      <c r="I494" s="2" t="n">
        <v>3.1</v>
      </c>
      <c r="J494" s="2" t="n">
        <v>4.4</v>
      </c>
      <c r="K494" s="2" t="n">
        <v>3.3</v>
      </c>
      <c r="L494" s="2" t="inlineStr">
        <is>
          <t>Active</t>
        </is>
      </c>
    </row>
    <row r="495">
      <c r="A495" s="2" t="inlineStr">
        <is>
          <t>EMP00031</t>
        </is>
      </c>
      <c r="B495" s="2" t="inlineStr">
        <is>
          <t>HR</t>
        </is>
      </c>
      <c r="C495" s="2" t="inlineStr">
        <is>
          <t>HR Generalist</t>
        </is>
      </c>
      <c r="D495" s="2" t="n">
        <v>37</v>
      </c>
      <c r="E495" s="2" t="n">
        <v>2.4</v>
      </c>
      <c r="F495" s="2" t="n">
        <v>716000</v>
      </c>
      <c r="G495" s="2" t="inlineStr">
        <is>
          <t>No</t>
        </is>
      </c>
      <c r="H495" s="2" t="n">
        <v>5</v>
      </c>
      <c r="I495" s="2" t="n">
        <v>3.3</v>
      </c>
      <c r="J495" s="2" t="n">
        <v>3.9</v>
      </c>
      <c r="K495" s="2" t="n">
        <v>2.2</v>
      </c>
      <c r="L495" s="2" t="inlineStr">
        <is>
          <t>Active</t>
        </is>
      </c>
    </row>
    <row r="496">
      <c r="A496" s="2" t="inlineStr">
        <is>
          <t>EMP00753</t>
        </is>
      </c>
      <c r="B496" s="2" t="inlineStr">
        <is>
          <t>Engineering</t>
        </is>
      </c>
      <c r="C496" s="2" t="inlineStr">
        <is>
          <t>Software Engineer</t>
        </is>
      </c>
      <c r="D496" s="2" t="n">
        <v>38</v>
      </c>
      <c r="E496" s="2" t="n">
        <v>0.3</v>
      </c>
      <c r="F496" s="2" t="n">
        <v>838000</v>
      </c>
      <c r="G496" s="2" t="inlineStr">
        <is>
          <t>Yes</t>
        </is>
      </c>
      <c r="H496" s="2" t="n">
        <v>9</v>
      </c>
      <c r="I496" s="2" t="n">
        <v>3.4</v>
      </c>
      <c r="J496" s="2" t="n">
        <v>2</v>
      </c>
      <c r="K496" s="2" t="n">
        <v>2.6</v>
      </c>
      <c r="L496" s="2" t="inlineStr">
        <is>
          <t>Active</t>
        </is>
      </c>
    </row>
    <row r="497">
      <c r="A497" s="2" t="inlineStr">
        <is>
          <t>EMP00243</t>
        </is>
      </c>
      <c r="B497" s="2" t="inlineStr">
        <is>
          <t>Engineering</t>
        </is>
      </c>
      <c r="C497" s="2" t="inlineStr">
        <is>
          <t>Software Engineer</t>
        </is>
      </c>
      <c r="D497" s="2" t="n">
        <v>30</v>
      </c>
      <c r="E497" s="2" t="n">
        <v>6.1</v>
      </c>
      <c r="F497" s="2" t="n">
        <v>1399000</v>
      </c>
      <c r="G497" s="2" t="inlineStr">
        <is>
          <t>Yes</t>
        </is>
      </c>
      <c r="H497" s="2" t="n">
        <v>42</v>
      </c>
      <c r="I497" s="2" t="n">
        <v>5</v>
      </c>
      <c r="J497" s="2" t="n">
        <v>3.1</v>
      </c>
      <c r="K497" s="2" t="n">
        <v>3.3</v>
      </c>
      <c r="L497" s="2" t="inlineStr">
        <is>
          <t>Active</t>
        </is>
      </c>
    </row>
    <row r="498">
      <c r="A498" s="2" t="inlineStr">
        <is>
          <t>EMP00730</t>
        </is>
      </c>
      <c r="B498" s="2" t="inlineStr">
        <is>
          <t>Operations</t>
        </is>
      </c>
      <c r="C498" s="2" t="inlineStr">
        <is>
          <t>Process Lead</t>
        </is>
      </c>
      <c r="D498" s="2" t="n">
        <v>31</v>
      </c>
      <c r="E498" s="2" t="n">
        <v>8.1</v>
      </c>
      <c r="F498" s="2" t="n">
        <v>909000</v>
      </c>
      <c r="G498" s="2" t="inlineStr">
        <is>
          <t>No</t>
        </is>
      </c>
      <c r="H498" s="2" t="n">
        <v>17</v>
      </c>
      <c r="I498" s="2" t="n">
        <v>2.1</v>
      </c>
      <c r="J498" s="2" t="n">
        <v>3.5</v>
      </c>
      <c r="K498" s="2" t="n">
        <v>3.6</v>
      </c>
      <c r="L498" s="2" t="inlineStr">
        <is>
          <t>Active</t>
        </is>
      </c>
    </row>
    <row r="499">
      <c r="A499" s="2" t="inlineStr">
        <is>
          <t>EMP00641</t>
        </is>
      </c>
      <c r="B499" s="2" t="inlineStr">
        <is>
          <t>Finance</t>
        </is>
      </c>
      <c r="C499" s="2" t="inlineStr">
        <is>
          <t>Accountant</t>
        </is>
      </c>
      <c r="D499" s="2" t="n">
        <v>29</v>
      </c>
      <c r="E499" s="2" t="n">
        <v>1.1</v>
      </c>
      <c r="F499" s="2" t="n">
        <v>873000</v>
      </c>
      <c r="G499" s="2" t="inlineStr">
        <is>
          <t>Yes</t>
        </is>
      </c>
      <c r="H499" s="2" t="n">
        <v>9</v>
      </c>
      <c r="I499" s="2" t="n">
        <v>3.1</v>
      </c>
      <c r="J499" s="2" t="n">
        <v>5</v>
      </c>
      <c r="K499" s="2" t="n">
        <v>3</v>
      </c>
      <c r="L499" s="2" t="inlineStr">
        <is>
          <t>Active</t>
        </is>
      </c>
    </row>
    <row r="500">
      <c r="A500" s="2" t="inlineStr">
        <is>
          <t>EMP00979</t>
        </is>
      </c>
      <c r="B500" s="2" t="inlineStr">
        <is>
          <t>Operations</t>
        </is>
      </c>
      <c r="C500" s="2" t="inlineStr">
        <is>
          <t>Process Lead</t>
        </is>
      </c>
      <c r="D500" s="2" t="n">
        <v>21</v>
      </c>
      <c r="E500" s="2" t="n">
        <v>2.2</v>
      </c>
      <c r="F500" s="2" t="n">
        <v>582000</v>
      </c>
      <c r="G500" s="2" t="inlineStr">
        <is>
          <t>No</t>
        </is>
      </c>
      <c r="H500" s="2" t="n">
        <v>54</v>
      </c>
      <c r="I500" s="2" t="n">
        <v>3.5</v>
      </c>
      <c r="J500" s="2" t="n">
        <v>4.9</v>
      </c>
      <c r="K500" s="2" t="n">
        <v>2.8</v>
      </c>
      <c r="L500" s="2" t="inlineStr">
        <is>
          <t>Active</t>
        </is>
      </c>
    </row>
    <row r="501">
      <c r="A501" s="2" t="inlineStr">
        <is>
          <t>EMP01054</t>
        </is>
      </c>
      <c r="B501" s="2" t="inlineStr">
        <is>
          <t>Sales</t>
        </is>
      </c>
      <c r="C501" s="2" t="inlineStr">
        <is>
          <t>Account Manager</t>
        </is>
      </c>
      <c r="D501" s="2" t="n">
        <v>30</v>
      </c>
      <c r="E501" s="2" t="n">
        <v>3.1</v>
      </c>
      <c r="F501" s="2" t="n">
        <v>874000</v>
      </c>
      <c r="G501" s="2" t="inlineStr">
        <is>
          <t>Yes</t>
        </is>
      </c>
      <c r="H501" s="2" t="n">
        <v>26</v>
      </c>
      <c r="I501" s="2" t="n">
        <v>3.1</v>
      </c>
      <c r="J501" s="2" t="n">
        <v>2.2</v>
      </c>
      <c r="K501" s="2" t="n">
        <v>3.9</v>
      </c>
      <c r="L501" s="2" t="inlineStr">
        <is>
          <t>Active</t>
        </is>
      </c>
    </row>
    <row r="502">
      <c r="A502" s="2" t="inlineStr">
        <is>
          <t>EMP00210</t>
        </is>
      </c>
      <c r="B502" s="2" t="inlineStr">
        <is>
          <t>Operations</t>
        </is>
      </c>
      <c r="C502" s="2" t="inlineStr">
        <is>
          <t>Process Lead</t>
        </is>
      </c>
      <c r="D502" s="2" t="n">
        <v>39</v>
      </c>
      <c r="E502" s="2" t="n">
        <v>10.5</v>
      </c>
      <c r="F502" s="2" t="n">
        <v>845000</v>
      </c>
      <c r="G502" s="2" t="inlineStr">
        <is>
          <t>No</t>
        </is>
      </c>
      <c r="H502" s="2" t="n">
        <v>1</v>
      </c>
      <c r="I502" s="2" t="n">
        <v>1.6</v>
      </c>
      <c r="J502" s="2" t="n">
        <v>1.7</v>
      </c>
      <c r="K502" s="2" t="n">
        <v>3.1</v>
      </c>
      <c r="L502" s="2" t="inlineStr">
        <is>
          <t>Active</t>
        </is>
      </c>
    </row>
    <row r="503">
      <c r="A503" s="2" t="inlineStr">
        <is>
          <t>EMP00548</t>
        </is>
      </c>
      <c r="B503" s="2" t="inlineStr">
        <is>
          <t>Sales</t>
        </is>
      </c>
      <c r="C503" s="2" t="inlineStr">
        <is>
          <t>Account Manager</t>
        </is>
      </c>
      <c r="D503" s="2" t="n">
        <v>39</v>
      </c>
      <c r="E503" s="2" t="n">
        <v>8.1</v>
      </c>
      <c r="F503" s="2" t="n">
        <v>986000</v>
      </c>
      <c r="G503" s="2" t="inlineStr">
        <is>
          <t>No</t>
        </is>
      </c>
      <c r="H503" s="2" t="n">
        <v>3</v>
      </c>
      <c r="I503" s="2" t="n">
        <v>5</v>
      </c>
      <c r="J503" s="2" t="n">
        <v>4.2</v>
      </c>
      <c r="K503" s="2" t="n">
        <v>3.4</v>
      </c>
      <c r="L503" s="2" t="inlineStr">
        <is>
          <t>Active</t>
        </is>
      </c>
    </row>
    <row r="504">
      <c r="A504" s="2" t="inlineStr">
        <is>
          <t>EMP00436</t>
        </is>
      </c>
      <c r="B504" s="2" t="inlineStr">
        <is>
          <t>Sales</t>
        </is>
      </c>
      <c r="C504" s="2" t="inlineStr">
        <is>
          <t>Account Manager</t>
        </is>
      </c>
      <c r="D504" s="2" t="n">
        <v>21</v>
      </c>
      <c r="E504" s="2" t="n">
        <v>1.3</v>
      </c>
      <c r="F504" s="2" t="n">
        <v>651000</v>
      </c>
      <c r="G504" s="2" t="inlineStr">
        <is>
          <t>No</t>
        </is>
      </c>
      <c r="H504" s="2" t="n">
        <v>42</v>
      </c>
      <c r="I504" s="2" t="n">
        <v>2</v>
      </c>
      <c r="J504" s="2" t="n">
        <v>2.1</v>
      </c>
      <c r="K504" s="2" t="n">
        <v>3.5</v>
      </c>
      <c r="L504" s="2" t="inlineStr">
        <is>
          <t>Active</t>
        </is>
      </c>
    </row>
    <row r="505">
      <c r="A505" s="2" t="inlineStr">
        <is>
          <t>EMP01141</t>
        </is>
      </c>
      <c r="B505" s="2" t="inlineStr">
        <is>
          <t>Engineering</t>
        </is>
      </c>
      <c r="C505" s="2" t="inlineStr">
        <is>
          <t>Engineering Manager</t>
        </is>
      </c>
      <c r="D505" s="2" t="n">
        <v>22</v>
      </c>
      <c r="E505" s="2" t="n">
        <v>1.7</v>
      </c>
      <c r="F505" s="2" t="n">
        <v>1097000</v>
      </c>
      <c r="G505" s="2" t="inlineStr">
        <is>
          <t>No</t>
        </is>
      </c>
      <c r="H505" s="2" t="n">
        <v>7</v>
      </c>
      <c r="I505" s="2" t="n">
        <v>2.9</v>
      </c>
      <c r="J505" s="2" t="n">
        <v>2.7</v>
      </c>
      <c r="K505" s="2" t="n">
        <v>2.2</v>
      </c>
      <c r="L505" s="2" t="inlineStr">
        <is>
          <t>Active</t>
        </is>
      </c>
    </row>
    <row r="506">
      <c r="A506" s="2" t="inlineStr">
        <is>
          <t>EMP01109</t>
        </is>
      </c>
      <c r="B506" s="2" t="inlineStr">
        <is>
          <t>Customer Support</t>
        </is>
      </c>
      <c r="C506" s="2" t="inlineStr">
        <is>
          <t>Support Associate</t>
        </is>
      </c>
      <c r="D506" s="2" t="n">
        <v>48</v>
      </c>
      <c r="E506" s="2" t="n">
        <v>1.7</v>
      </c>
      <c r="F506" s="2" t="n">
        <v>488000</v>
      </c>
      <c r="G506" s="2" t="inlineStr">
        <is>
          <t>No</t>
        </is>
      </c>
      <c r="H506" s="2" t="n">
        <v>14</v>
      </c>
      <c r="I506" s="2" t="n">
        <v>2.5</v>
      </c>
      <c r="J506" s="2" t="n">
        <v>3.9</v>
      </c>
      <c r="K506" s="2" t="n">
        <v>3.2</v>
      </c>
      <c r="L506" s="2" t="inlineStr">
        <is>
          <t>Active</t>
        </is>
      </c>
    </row>
    <row r="507">
      <c r="A507" s="2" t="inlineStr">
        <is>
          <t>EMP00569</t>
        </is>
      </c>
      <c r="B507" s="2" t="inlineStr">
        <is>
          <t>Engineering</t>
        </is>
      </c>
      <c r="C507" s="2" t="inlineStr">
        <is>
          <t>Engineering Manager</t>
        </is>
      </c>
      <c r="D507" s="2" t="n">
        <v>21</v>
      </c>
      <c r="E507" s="2" t="n">
        <v>4.4</v>
      </c>
      <c r="F507" s="2" t="n">
        <v>1045000</v>
      </c>
      <c r="G507" s="2" t="inlineStr">
        <is>
          <t>No</t>
        </is>
      </c>
      <c r="H507" s="2" t="n">
        <v>51</v>
      </c>
      <c r="I507" s="2" t="n">
        <v>2.5</v>
      </c>
      <c r="J507" s="2" t="n">
        <v>1</v>
      </c>
      <c r="K507" s="2" t="n">
        <v>4.2</v>
      </c>
      <c r="L507" s="2" t="inlineStr">
        <is>
          <t>Active</t>
        </is>
      </c>
    </row>
    <row r="508">
      <c r="A508" s="2" t="inlineStr">
        <is>
          <t>EMP00404</t>
        </is>
      </c>
      <c r="B508" s="2" t="inlineStr">
        <is>
          <t>Sales</t>
        </is>
      </c>
      <c r="C508" s="2" t="inlineStr">
        <is>
          <t>Sales Executive</t>
        </is>
      </c>
      <c r="D508" s="2" t="n">
        <v>34</v>
      </c>
      <c r="E508" s="2" t="n">
        <v>7.5</v>
      </c>
      <c r="F508" s="2" t="n">
        <v>878000</v>
      </c>
      <c r="G508" s="2" t="inlineStr">
        <is>
          <t>No</t>
        </is>
      </c>
      <c r="H508" s="2" t="n">
        <v>16</v>
      </c>
      <c r="I508" s="2" t="n">
        <v>2.2</v>
      </c>
      <c r="J508" s="2" t="n">
        <v>3</v>
      </c>
      <c r="K508" s="2" t="n">
        <v>3.8</v>
      </c>
      <c r="L508" s="2" t="inlineStr">
        <is>
          <t>Active</t>
        </is>
      </c>
    </row>
    <row r="509">
      <c r="A509" s="2" t="inlineStr">
        <is>
          <t>EMP01113</t>
        </is>
      </c>
      <c r="B509" s="2" t="inlineStr">
        <is>
          <t>Finance</t>
        </is>
      </c>
      <c r="C509" s="2" t="inlineStr">
        <is>
          <t>Financial Analyst</t>
        </is>
      </c>
      <c r="D509" s="2" t="n">
        <v>54</v>
      </c>
      <c r="E509" s="2" t="n">
        <v>2.3</v>
      </c>
      <c r="F509" s="2" t="n">
        <v>726000</v>
      </c>
      <c r="G509" s="2" t="inlineStr">
        <is>
          <t>Yes</t>
        </is>
      </c>
      <c r="H509" s="2" t="n">
        <v>2</v>
      </c>
      <c r="I509" s="2" t="n">
        <v>3.8</v>
      </c>
      <c r="J509" s="2" t="n">
        <v>3</v>
      </c>
      <c r="K509" s="2" t="n">
        <v>3.5</v>
      </c>
      <c r="L509" s="2" t="inlineStr">
        <is>
          <t>Active</t>
        </is>
      </c>
    </row>
    <row r="510">
      <c r="A510" s="2" t="inlineStr">
        <is>
          <t>EMP00363</t>
        </is>
      </c>
      <c r="B510" s="2" t="inlineStr">
        <is>
          <t>Sales</t>
        </is>
      </c>
      <c r="C510" s="2" t="inlineStr">
        <is>
          <t>Account Manager</t>
        </is>
      </c>
      <c r="D510" s="2" t="n">
        <v>27</v>
      </c>
      <c r="E510" s="2" t="n">
        <v>1.9</v>
      </c>
      <c r="F510" s="2" t="n">
        <v>641000</v>
      </c>
      <c r="G510" s="2" t="inlineStr">
        <is>
          <t>Yes</t>
        </is>
      </c>
      <c r="H510" s="2" t="n">
        <v>45</v>
      </c>
      <c r="I510" s="2" t="n">
        <v>3.4</v>
      </c>
      <c r="J510" s="2" t="n">
        <v>1.6</v>
      </c>
      <c r="K510" s="2" t="n">
        <v>3.9</v>
      </c>
      <c r="L510" s="2" t="inlineStr">
        <is>
          <t>Active</t>
        </is>
      </c>
    </row>
    <row r="511">
      <c r="A511" s="2" t="inlineStr">
        <is>
          <t>EMP00272</t>
        </is>
      </c>
      <c r="B511" s="2" t="inlineStr">
        <is>
          <t>Sales</t>
        </is>
      </c>
      <c r="C511" s="2" t="inlineStr">
        <is>
          <t>Sales Manager</t>
        </is>
      </c>
      <c r="D511" s="2" t="n">
        <v>24</v>
      </c>
      <c r="E511" s="2" t="n">
        <v>2.4</v>
      </c>
      <c r="F511" s="2" t="n">
        <v>854000</v>
      </c>
      <c r="G511" s="2" t="inlineStr">
        <is>
          <t>No</t>
        </is>
      </c>
      <c r="H511" s="2" t="n">
        <v>13</v>
      </c>
      <c r="I511" s="2" t="n">
        <v>4.9</v>
      </c>
      <c r="J511" s="2" t="n">
        <v>1.8</v>
      </c>
      <c r="K511" s="2" t="n">
        <v>1.7</v>
      </c>
      <c r="L511" s="2" t="inlineStr">
        <is>
          <t>Active</t>
        </is>
      </c>
    </row>
    <row r="512">
      <c r="A512" s="2" t="inlineStr">
        <is>
          <t>EMP00467</t>
        </is>
      </c>
      <c r="B512" s="2" t="inlineStr">
        <is>
          <t>Finance</t>
        </is>
      </c>
      <c r="C512" s="2" t="inlineStr">
        <is>
          <t>Financial Analyst</t>
        </is>
      </c>
      <c r="D512" s="2" t="n">
        <v>28</v>
      </c>
      <c r="E512" s="2" t="n">
        <v>2.6</v>
      </c>
      <c r="F512" s="2" t="n">
        <v>934000</v>
      </c>
      <c r="G512" s="2" t="inlineStr">
        <is>
          <t>Yes</t>
        </is>
      </c>
      <c r="H512" s="2" t="n">
        <v>41</v>
      </c>
      <c r="I512" s="2" t="n">
        <v>2.1</v>
      </c>
      <c r="J512" s="2" t="n">
        <v>1</v>
      </c>
      <c r="K512" s="2" t="n">
        <v>3.8</v>
      </c>
      <c r="L512" s="2" t="inlineStr">
        <is>
          <t>Active</t>
        </is>
      </c>
    </row>
    <row r="513">
      <c r="A513" s="2" t="inlineStr">
        <is>
          <t>EMP01084</t>
        </is>
      </c>
      <c r="B513" s="2" t="inlineStr">
        <is>
          <t>Customer Support</t>
        </is>
      </c>
      <c r="C513" s="2" t="inlineStr">
        <is>
          <t>Support Associate</t>
        </is>
      </c>
      <c r="D513" s="2" t="n">
        <v>27</v>
      </c>
      <c r="E513" s="2" t="n">
        <v>2.9</v>
      </c>
      <c r="F513" s="2" t="n">
        <v>615000</v>
      </c>
      <c r="G513" s="2" t="inlineStr">
        <is>
          <t>No</t>
        </is>
      </c>
      <c r="H513" s="2" t="n">
        <v>6</v>
      </c>
      <c r="I513" s="2" t="n">
        <v>3.1</v>
      </c>
      <c r="J513" s="2" t="n">
        <v>1.7</v>
      </c>
      <c r="K513" s="2" t="n">
        <v>2.8</v>
      </c>
      <c r="L513" s="2" t="inlineStr">
        <is>
          <t>Active</t>
        </is>
      </c>
    </row>
    <row r="514">
      <c r="A514" s="2" t="inlineStr">
        <is>
          <t>EMP00778</t>
        </is>
      </c>
      <c r="B514" s="2" t="inlineStr">
        <is>
          <t>Sales</t>
        </is>
      </c>
      <c r="C514" s="2" t="inlineStr">
        <is>
          <t>Sales Executive</t>
        </is>
      </c>
      <c r="D514" s="2" t="n">
        <v>39</v>
      </c>
      <c r="E514" s="2" t="n">
        <v>2.4</v>
      </c>
      <c r="F514" s="2" t="n">
        <v>848000</v>
      </c>
      <c r="G514" s="2" t="inlineStr">
        <is>
          <t>Yes</t>
        </is>
      </c>
      <c r="H514" s="2" t="n">
        <v>1</v>
      </c>
      <c r="I514" s="2" t="n">
        <v>3</v>
      </c>
      <c r="J514" s="2" t="n">
        <v>3.9</v>
      </c>
      <c r="K514" s="2" t="n">
        <v>3.5</v>
      </c>
      <c r="L514" s="2" t="inlineStr">
        <is>
          <t>Active</t>
        </is>
      </c>
    </row>
    <row r="515">
      <c r="A515" s="2" t="inlineStr">
        <is>
          <t>EMP00278</t>
        </is>
      </c>
      <c r="B515" s="2" t="inlineStr">
        <is>
          <t>Operations</t>
        </is>
      </c>
      <c r="C515" s="2" t="inlineStr">
        <is>
          <t>Process Lead</t>
        </is>
      </c>
      <c r="D515" s="2" t="n">
        <v>30</v>
      </c>
      <c r="E515" s="2" t="n">
        <v>3.4</v>
      </c>
      <c r="F515" s="2" t="n">
        <v>791000</v>
      </c>
      <c r="G515" s="2" t="inlineStr">
        <is>
          <t>Yes</t>
        </is>
      </c>
      <c r="H515" s="2" t="n">
        <v>33</v>
      </c>
      <c r="I515" s="2" t="n">
        <v>3.3</v>
      </c>
      <c r="J515" s="2" t="n">
        <v>4.4</v>
      </c>
      <c r="K515" s="2" t="n">
        <v>2.5</v>
      </c>
      <c r="L515" s="2" t="inlineStr">
        <is>
          <t>Active</t>
        </is>
      </c>
    </row>
    <row r="516">
      <c r="A516" s="2" t="inlineStr">
        <is>
          <t>EMP01082</t>
        </is>
      </c>
      <c r="B516" s="2" t="inlineStr">
        <is>
          <t>Customer Support</t>
        </is>
      </c>
      <c r="C516" s="2" t="inlineStr">
        <is>
          <t>Support Associate</t>
        </is>
      </c>
      <c r="D516" s="2" t="n">
        <v>40</v>
      </c>
      <c r="E516" s="2" t="n">
        <v>6.9</v>
      </c>
      <c r="F516" s="2" t="n">
        <v>718000</v>
      </c>
      <c r="G516" s="2" t="inlineStr">
        <is>
          <t>No</t>
        </is>
      </c>
      <c r="H516" s="2" t="n">
        <v>57</v>
      </c>
      <c r="I516" s="2" t="n">
        <v>3.7</v>
      </c>
      <c r="J516" s="2" t="n">
        <v>3</v>
      </c>
      <c r="K516" s="2" t="n">
        <v>3.6</v>
      </c>
      <c r="L516" s="2" t="inlineStr">
        <is>
          <t>Active</t>
        </is>
      </c>
    </row>
    <row r="517">
      <c r="A517" s="2" t="inlineStr">
        <is>
          <t>EMP01168</t>
        </is>
      </c>
      <c r="B517" s="2" t="inlineStr">
        <is>
          <t>Operations</t>
        </is>
      </c>
      <c r="C517" s="2" t="inlineStr">
        <is>
          <t>Ops Analyst</t>
        </is>
      </c>
      <c r="D517" s="2" t="n">
        <v>40</v>
      </c>
      <c r="E517" s="2" t="n">
        <v>6.5</v>
      </c>
      <c r="F517" s="2" t="n">
        <v>932000</v>
      </c>
      <c r="G517" s="2" t="inlineStr">
        <is>
          <t>Yes</t>
        </is>
      </c>
      <c r="H517" s="2" t="n">
        <v>54</v>
      </c>
      <c r="I517" s="2" t="n">
        <v>2.8</v>
      </c>
      <c r="J517" s="2" t="n">
        <v>3.1</v>
      </c>
      <c r="K517" s="2" t="n">
        <v>3.8</v>
      </c>
      <c r="L517" s="2" t="inlineStr">
        <is>
          <t>Active</t>
        </is>
      </c>
    </row>
    <row r="518">
      <c r="A518" s="2" t="inlineStr">
        <is>
          <t>EMP00698</t>
        </is>
      </c>
      <c r="B518" s="2" t="inlineStr">
        <is>
          <t>Operations</t>
        </is>
      </c>
      <c r="C518" s="2" t="inlineStr">
        <is>
          <t>Ops Analyst</t>
        </is>
      </c>
      <c r="D518" s="2" t="n">
        <v>38</v>
      </c>
      <c r="E518" s="2" t="n">
        <v>1</v>
      </c>
      <c r="F518" s="2" t="n">
        <v>596000</v>
      </c>
      <c r="G518" s="2" t="inlineStr">
        <is>
          <t>No</t>
        </is>
      </c>
      <c r="H518" s="2" t="n">
        <v>46</v>
      </c>
      <c r="I518" s="2" t="n">
        <v>4.5</v>
      </c>
      <c r="J518" s="2" t="n">
        <v>4.9</v>
      </c>
      <c r="K518" s="2" t="n">
        <v>3.5</v>
      </c>
      <c r="L518" s="2" t="inlineStr">
        <is>
          <t>Active</t>
        </is>
      </c>
    </row>
    <row r="519">
      <c r="A519" s="2" t="inlineStr">
        <is>
          <t>EMP00443</t>
        </is>
      </c>
      <c r="B519" s="2" t="inlineStr">
        <is>
          <t>Finance</t>
        </is>
      </c>
      <c r="C519" s="2" t="inlineStr">
        <is>
          <t>Finance Manager</t>
        </is>
      </c>
      <c r="D519" s="2" t="n">
        <v>41</v>
      </c>
      <c r="E519" s="2" t="n">
        <v>1.3</v>
      </c>
      <c r="F519" s="2" t="n">
        <v>798000</v>
      </c>
      <c r="G519" s="2" t="inlineStr">
        <is>
          <t>No</t>
        </is>
      </c>
      <c r="H519" s="2" t="n">
        <v>56</v>
      </c>
      <c r="I519" s="2" t="n">
        <v>1.4</v>
      </c>
      <c r="J519" s="2" t="n">
        <v>2.9</v>
      </c>
      <c r="K519" s="2" t="n">
        <v>2.9</v>
      </c>
      <c r="L519" s="2" t="inlineStr">
        <is>
          <t>Active</t>
        </is>
      </c>
    </row>
    <row r="520">
      <c r="A520" s="2" t="inlineStr">
        <is>
          <t>EMP00300</t>
        </is>
      </c>
      <c r="B520" s="2" t="inlineStr">
        <is>
          <t>Finance</t>
        </is>
      </c>
      <c r="C520" s="2" t="inlineStr">
        <is>
          <t>Financial Analyst</t>
        </is>
      </c>
      <c r="D520" s="2" t="n">
        <v>36</v>
      </c>
      <c r="E520" s="2" t="n">
        <v>2.7</v>
      </c>
      <c r="F520" s="2" t="n">
        <v>938000</v>
      </c>
      <c r="G520" s="2" t="inlineStr">
        <is>
          <t>No</t>
        </is>
      </c>
      <c r="H520" s="2" t="n">
        <v>53</v>
      </c>
      <c r="I520" s="2" t="n">
        <v>5</v>
      </c>
      <c r="J520" s="2" t="n">
        <v>3</v>
      </c>
      <c r="K520" s="2" t="n">
        <v>2.9</v>
      </c>
      <c r="L520" s="2" t="inlineStr">
        <is>
          <t>Active</t>
        </is>
      </c>
    </row>
    <row r="521">
      <c r="A521" s="2" t="inlineStr">
        <is>
          <t>EMP00376</t>
        </is>
      </c>
      <c r="B521" s="2" t="inlineStr">
        <is>
          <t>Sales</t>
        </is>
      </c>
      <c r="C521" s="2" t="inlineStr">
        <is>
          <t>Sales Executive</t>
        </is>
      </c>
      <c r="D521" s="2" t="n">
        <v>40</v>
      </c>
      <c r="E521" s="2" t="n">
        <v>9.9</v>
      </c>
      <c r="F521" s="2" t="n">
        <v>894000</v>
      </c>
      <c r="G521" s="2" t="inlineStr">
        <is>
          <t>No</t>
        </is>
      </c>
      <c r="H521" s="2" t="n">
        <v>32</v>
      </c>
      <c r="I521" s="2" t="n">
        <v>4.7</v>
      </c>
      <c r="J521" s="2" t="n">
        <v>2.7</v>
      </c>
      <c r="K521" s="2" t="n">
        <v>2.9</v>
      </c>
      <c r="L521" s="2" t="inlineStr">
        <is>
          <t>Active</t>
        </is>
      </c>
    </row>
    <row r="522">
      <c r="A522" s="2" t="inlineStr">
        <is>
          <t>EMP00664</t>
        </is>
      </c>
      <c r="B522" s="2" t="inlineStr">
        <is>
          <t>Sales</t>
        </is>
      </c>
      <c r="C522" s="2" t="inlineStr">
        <is>
          <t>Sales Executive</t>
        </is>
      </c>
      <c r="D522" s="2" t="n">
        <v>34</v>
      </c>
      <c r="E522" s="2" t="n">
        <v>1.9</v>
      </c>
      <c r="F522" s="2" t="n">
        <v>708000</v>
      </c>
      <c r="G522" s="2" t="inlineStr">
        <is>
          <t>No</t>
        </is>
      </c>
      <c r="H522" s="2" t="n">
        <v>58</v>
      </c>
      <c r="I522" s="2" t="n">
        <v>3.7</v>
      </c>
      <c r="J522" s="2" t="n">
        <v>3.2</v>
      </c>
      <c r="K522" s="2" t="n">
        <v>2.7</v>
      </c>
      <c r="L522" s="2" t="inlineStr">
        <is>
          <t>Resigned</t>
        </is>
      </c>
    </row>
    <row r="523">
      <c r="A523" s="2" t="inlineStr">
        <is>
          <t>EMP01181</t>
        </is>
      </c>
      <c r="B523" s="2" t="inlineStr">
        <is>
          <t>HR</t>
        </is>
      </c>
      <c r="C523" s="2" t="inlineStr">
        <is>
          <t>HR Manager</t>
        </is>
      </c>
      <c r="D523" s="2" t="n">
        <v>36</v>
      </c>
      <c r="E523" s="2" t="n">
        <v>2.5</v>
      </c>
      <c r="F523" s="2" t="n">
        <v>623000</v>
      </c>
      <c r="G523" s="2" t="inlineStr">
        <is>
          <t>No</t>
        </is>
      </c>
      <c r="H523" s="2" t="n">
        <v>56</v>
      </c>
      <c r="I523" s="2" t="n">
        <v>2.5</v>
      </c>
      <c r="J523" s="2" t="n">
        <v>2.9</v>
      </c>
      <c r="K523" s="2" t="n">
        <v>2.6</v>
      </c>
      <c r="L523" s="2" t="inlineStr">
        <is>
          <t>Active</t>
        </is>
      </c>
    </row>
    <row r="524">
      <c r="A524" s="2" t="inlineStr">
        <is>
          <t>EMP00612</t>
        </is>
      </c>
      <c r="B524" s="2" t="inlineStr">
        <is>
          <t>Finance</t>
        </is>
      </c>
      <c r="C524" s="2" t="inlineStr">
        <is>
          <t>Accountant</t>
        </is>
      </c>
      <c r="D524" s="2" t="n">
        <v>40</v>
      </c>
      <c r="E524" s="2" t="n">
        <v>1.5</v>
      </c>
      <c r="F524" s="2" t="n">
        <v>784000</v>
      </c>
      <c r="G524" s="2" t="inlineStr">
        <is>
          <t>Yes</t>
        </is>
      </c>
      <c r="H524" s="2" t="n">
        <v>4</v>
      </c>
      <c r="I524" s="2" t="n">
        <v>3.2</v>
      </c>
      <c r="J524" s="2" t="n">
        <v>4.7</v>
      </c>
      <c r="K524" s="2" t="n">
        <v>3</v>
      </c>
      <c r="L524" s="2" t="inlineStr">
        <is>
          <t>Active</t>
        </is>
      </c>
    </row>
    <row r="525">
      <c r="A525" s="2" t="inlineStr">
        <is>
          <t>EMP00473</t>
        </is>
      </c>
      <c r="B525" s="2" t="inlineStr">
        <is>
          <t>Sales</t>
        </is>
      </c>
      <c r="C525" s="2" t="inlineStr">
        <is>
          <t>Sales Manager</t>
        </is>
      </c>
      <c r="D525" s="2" t="n">
        <v>31</v>
      </c>
      <c r="E525" s="2" t="n">
        <v>3.4</v>
      </c>
      <c r="F525" s="2" t="n">
        <v>859000</v>
      </c>
      <c r="G525" s="2" t="inlineStr">
        <is>
          <t>No</t>
        </is>
      </c>
      <c r="H525" s="2" t="n">
        <v>56</v>
      </c>
      <c r="I525" s="2" t="n">
        <v>3.5</v>
      </c>
      <c r="J525" s="2" t="n">
        <v>2.4</v>
      </c>
      <c r="K525" s="2" t="n">
        <v>3</v>
      </c>
      <c r="L525" s="2" t="inlineStr">
        <is>
          <t>Active</t>
        </is>
      </c>
    </row>
    <row r="526">
      <c r="A526" s="2" t="inlineStr">
        <is>
          <t>EMP00852</t>
        </is>
      </c>
      <c r="B526" s="2" t="inlineStr">
        <is>
          <t>Sales</t>
        </is>
      </c>
      <c r="C526" s="2" t="inlineStr">
        <is>
          <t>Sales Manager</t>
        </is>
      </c>
      <c r="D526" s="2" t="n">
        <v>46</v>
      </c>
      <c r="E526" s="2" t="n">
        <v>6.5</v>
      </c>
      <c r="F526" s="2" t="n">
        <v>941000</v>
      </c>
      <c r="G526" s="2" t="inlineStr">
        <is>
          <t>Yes</t>
        </is>
      </c>
      <c r="H526" s="2" t="n">
        <v>42</v>
      </c>
      <c r="I526" s="2" t="n">
        <v>2.8</v>
      </c>
      <c r="J526" s="2" t="n">
        <v>3.6</v>
      </c>
      <c r="K526" s="2" t="n">
        <v>3.2</v>
      </c>
      <c r="L526" s="2" t="inlineStr">
        <is>
          <t>Active</t>
        </is>
      </c>
    </row>
    <row r="527">
      <c r="A527" s="2" t="inlineStr">
        <is>
          <t>EMP01102</t>
        </is>
      </c>
      <c r="B527" s="2" t="inlineStr">
        <is>
          <t>Engineering</t>
        </is>
      </c>
      <c r="C527" s="2" t="inlineStr">
        <is>
          <t>Senior Engineer</t>
        </is>
      </c>
      <c r="D527" s="2" t="n">
        <v>26</v>
      </c>
      <c r="E527" s="2" t="n">
        <v>1.5</v>
      </c>
      <c r="F527" s="2" t="n">
        <v>960000</v>
      </c>
      <c r="G527" s="2" t="inlineStr">
        <is>
          <t>No</t>
        </is>
      </c>
      <c r="H527" s="2" t="n">
        <v>56</v>
      </c>
      <c r="I527" s="2" t="n">
        <v>4.8</v>
      </c>
      <c r="J527" s="2" t="n">
        <v>3.7</v>
      </c>
      <c r="K527" s="2" t="n">
        <v>3.7</v>
      </c>
      <c r="L527" s="2" t="inlineStr">
        <is>
          <t>Active</t>
        </is>
      </c>
    </row>
    <row r="528">
      <c r="A528" s="2" t="inlineStr">
        <is>
          <t>EMP00389</t>
        </is>
      </c>
      <c r="B528" s="2" t="inlineStr">
        <is>
          <t>Sales</t>
        </is>
      </c>
      <c r="C528" s="2" t="inlineStr">
        <is>
          <t>Sales Executive</t>
        </is>
      </c>
      <c r="D528" s="2" t="n">
        <v>39</v>
      </c>
      <c r="E528" s="2" t="n">
        <v>4.3</v>
      </c>
      <c r="F528" s="2" t="n">
        <v>825000</v>
      </c>
      <c r="G528" s="2" t="inlineStr">
        <is>
          <t>Yes</t>
        </is>
      </c>
      <c r="H528" s="2" t="n">
        <v>14</v>
      </c>
      <c r="I528" s="2" t="n">
        <v>4</v>
      </c>
      <c r="J528" s="2" t="n">
        <v>4.5</v>
      </c>
      <c r="K528" s="2" t="n">
        <v>3.4</v>
      </c>
      <c r="L528" s="2" t="inlineStr">
        <is>
          <t>Active</t>
        </is>
      </c>
    </row>
    <row r="529">
      <c r="A529" s="2" t="inlineStr">
        <is>
          <t>EMP00023</t>
        </is>
      </c>
      <c r="B529" s="2" t="inlineStr">
        <is>
          <t>Customer Support</t>
        </is>
      </c>
      <c r="C529" s="2" t="inlineStr">
        <is>
          <t>Support Associate</t>
        </is>
      </c>
      <c r="D529" s="2" t="n">
        <v>51</v>
      </c>
      <c r="E529" s="2" t="n">
        <v>2.1</v>
      </c>
      <c r="F529" s="2" t="n">
        <v>544000</v>
      </c>
      <c r="G529" s="2" t="inlineStr">
        <is>
          <t>No</t>
        </is>
      </c>
      <c r="H529" s="2" t="n">
        <v>41</v>
      </c>
      <c r="I529" s="2" t="n">
        <v>4.2</v>
      </c>
      <c r="J529" s="2" t="n">
        <v>2.1</v>
      </c>
      <c r="K529" s="2" t="n">
        <v>2.4</v>
      </c>
      <c r="L529" s="2" t="inlineStr">
        <is>
          <t>Active</t>
        </is>
      </c>
    </row>
    <row r="530">
      <c r="A530" s="2" t="inlineStr">
        <is>
          <t>EMP00701</t>
        </is>
      </c>
      <c r="B530" s="2" t="inlineStr">
        <is>
          <t>Engineering</t>
        </is>
      </c>
      <c r="C530" s="2" t="inlineStr">
        <is>
          <t>Senior Engineer</t>
        </is>
      </c>
      <c r="D530" s="2" t="n">
        <v>36</v>
      </c>
      <c r="E530" s="2" t="n">
        <v>0.5</v>
      </c>
      <c r="F530" s="2" t="n">
        <v>841000</v>
      </c>
      <c r="G530" s="2" t="inlineStr">
        <is>
          <t>No</t>
        </is>
      </c>
      <c r="H530" s="2" t="n">
        <v>31</v>
      </c>
      <c r="I530" s="2" t="n">
        <v>2.8</v>
      </c>
      <c r="J530" s="2" t="n">
        <v>4.8</v>
      </c>
      <c r="K530" s="2" t="n">
        <v>2.5</v>
      </c>
      <c r="L530" s="2" t="inlineStr">
        <is>
          <t>Active</t>
        </is>
      </c>
    </row>
    <row r="531">
      <c r="A531" s="2" t="inlineStr">
        <is>
          <t>EMP00916</t>
        </is>
      </c>
      <c r="B531" s="2" t="inlineStr">
        <is>
          <t>Customer Support</t>
        </is>
      </c>
      <c r="C531" s="2" t="inlineStr">
        <is>
          <t>Support Manager</t>
        </is>
      </c>
      <c r="D531" s="2" t="n">
        <v>43</v>
      </c>
      <c r="E531" s="2" t="n">
        <v>2.9</v>
      </c>
      <c r="F531" s="2" t="n">
        <v>483000</v>
      </c>
      <c r="G531" s="2" t="inlineStr">
        <is>
          <t>Yes</t>
        </is>
      </c>
      <c r="H531" s="2" t="n">
        <v>46</v>
      </c>
      <c r="I531" s="2" t="n">
        <v>3.6</v>
      </c>
      <c r="J531" s="2" t="n">
        <v>1.7</v>
      </c>
      <c r="K531" s="2" t="n">
        <v>2.3</v>
      </c>
      <c r="L531" s="2" t="inlineStr">
        <is>
          <t>Resigned</t>
        </is>
      </c>
    </row>
    <row r="532">
      <c r="A532" s="2" t="inlineStr">
        <is>
          <t>EMP00424</t>
        </is>
      </c>
      <c r="B532" s="2" t="inlineStr">
        <is>
          <t>Sales</t>
        </is>
      </c>
      <c r="C532" s="2" t="inlineStr">
        <is>
          <t>Sales Manager</t>
        </is>
      </c>
      <c r="D532" s="2" t="n">
        <v>36</v>
      </c>
      <c r="E532" s="2" t="n">
        <v>8.699999999999999</v>
      </c>
      <c r="F532" s="2" t="n">
        <v>915000</v>
      </c>
      <c r="G532" s="2" t="inlineStr">
        <is>
          <t>No</t>
        </is>
      </c>
      <c r="H532" s="2" t="n">
        <v>35</v>
      </c>
      <c r="I532" s="2" t="n">
        <v>4</v>
      </c>
      <c r="J532" s="2" t="n">
        <v>1.9</v>
      </c>
      <c r="K532" s="2" t="n">
        <v>2</v>
      </c>
      <c r="L532" s="2" t="inlineStr">
        <is>
          <t>Active</t>
        </is>
      </c>
    </row>
    <row r="533">
      <c r="A533" s="2" t="inlineStr">
        <is>
          <t>EMP00991</t>
        </is>
      </c>
      <c r="B533" s="2" t="inlineStr">
        <is>
          <t>Finance</t>
        </is>
      </c>
      <c r="C533" s="2" t="inlineStr">
        <is>
          <t>Financial Analyst</t>
        </is>
      </c>
      <c r="D533" s="2" t="n">
        <v>34</v>
      </c>
      <c r="E533" s="2" t="n">
        <v>2.7</v>
      </c>
      <c r="F533" s="2" t="n">
        <v>980000</v>
      </c>
      <c r="G533" s="2" t="inlineStr">
        <is>
          <t>Yes</t>
        </is>
      </c>
      <c r="H533" s="2" t="n">
        <v>59</v>
      </c>
      <c r="I533" s="2" t="n">
        <v>4.3</v>
      </c>
      <c r="J533" s="2" t="n">
        <v>2.5</v>
      </c>
      <c r="K533" s="2" t="n">
        <v>3.2</v>
      </c>
      <c r="L533" s="2" t="inlineStr">
        <is>
          <t>Resigned</t>
        </is>
      </c>
    </row>
    <row r="534">
      <c r="A534" s="2" t="inlineStr">
        <is>
          <t>EMP00744</t>
        </is>
      </c>
      <c r="B534" s="2" t="inlineStr">
        <is>
          <t>Sales</t>
        </is>
      </c>
      <c r="C534" s="2" t="inlineStr">
        <is>
          <t>Account Manager</t>
        </is>
      </c>
      <c r="D534" s="2" t="n">
        <v>23</v>
      </c>
      <c r="E534" s="2" t="n">
        <v>2.3</v>
      </c>
      <c r="F534" s="2" t="n">
        <v>708000</v>
      </c>
      <c r="G534" s="2" t="inlineStr">
        <is>
          <t>No</t>
        </is>
      </c>
      <c r="H534" s="2" t="n">
        <v>36</v>
      </c>
      <c r="I534" s="2" t="n">
        <v>2.2</v>
      </c>
      <c r="J534" s="2" t="n">
        <v>2.6</v>
      </c>
      <c r="K534" s="2" t="n">
        <v>4.7</v>
      </c>
      <c r="L534" s="2" t="inlineStr">
        <is>
          <t>Active</t>
        </is>
      </c>
    </row>
    <row r="535">
      <c r="A535" s="2" t="inlineStr">
        <is>
          <t>EMP00956</t>
        </is>
      </c>
      <c r="B535" s="2" t="inlineStr">
        <is>
          <t>Customer Support</t>
        </is>
      </c>
      <c r="C535" s="2" t="inlineStr">
        <is>
          <t>Support Lead</t>
        </is>
      </c>
      <c r="D535" s="2" t="n">
        <v>38</v>
      </c>
      <c r="E535" s="2" t="n">
        <v>4.1</v>
      </c>
      <c r="F535" s="2" t="n">
        <v>662000</v>
      </c>
      <c r="G535" s="2" t="inlineStr">
        <is>
          <t>No</t>
        </is>
      </c>
      <c r="H535" s="2" t="n">
        <v>35</v>
      </c>
      <c r="I535" s="2" t="n">
        <v>4.7</v>
      </c>
      <c r="J535" s="2" t="n">
        <v>4.2</v>
      </c>
      <c r="K535" s="2" t="n">
        <v>2.9</v>
      </c>
      <c r="L535" s="2" t="inlineStr">
        <is>
          <t>Active</t>
        </is>
      </c>
    </row>
    <row r="536">
      <c r="A536" s="2" t="inlineStr">
        <is>
          <t>EMP00917</t>
        </is>
      </c>
      <c r="B536" s="2" t="inlineStr">
        <is>
          <t>Sales</t>
        </is>
      </c>
      <c r="C536" s="2" t="inlineStr">
        <is>
          <t>Account Manager</t>
        </is>
      </c>
      <c r="D536" s="2" t="n">
        <v>53</v>
      </c>
      <c r="E536" s="2" t="n">
        <v>1.5</v>
      </c>
      <c r="F536" s="2" t="n">
        <v>627000</v>
      </c>
      <c r="G536" s="2" t="inlineStr">
        <is>
          <t>No</t>
        </is>
      </c>
      <c r="H536" s="2" t="n">
        <v>33</v>
      </c>
      <c r="I536" s="2" t="n">
        <v>2.6</v>
      </c>
      <c r="J536" s="2" t="n">
        <v>4.2</v>
      </c>
      <c r="K536" s="2" t="n">
        <v>4.1</v>
      </c>
      <c r="L536" s="2" t="inlineStr">
        <is>
          <t>Active</t>
        </is>
      </c>
    </row>
    <row r="537">
      <c r="A537" s="2" t="inlineStr">
        <is>
          <t>EMP00143</t>
        </is>
      </c>
      <c r="B537" s="2" t="inlineStr">
        <is>
          <t>Customer Support</t>
        </is>
      </c>
      <c r="C537" s="2" t="inlineStr">
        <is>
          <t>Support Manager</t>
        </is>
      </c>
      <c r="D537" s="2" t="n">
        <v>35</v>
      </c>
      <c r="E537" s="2" t="n">
        <v>1.1</v>
      </c>
      <c r="F537" s="2" t="n">
        <v>526000</v>
      </c>
      <c r="G537" s="2" t="inlineStr">
        <is>
          <t>No</t>
        </is>
      </c>
      <c r="H537" s="2" t="n">
        <v>9</v>
      </c>
      <c r="I537" s="2" t="n">
        <v>5</v>
      </c>
      <c r="J537" s="2" t="n">
        <v>3.8</v>
      </c>
      <c r="K537" s="2" t="n">
        <v>4.1</v>
      </c>
      <c r="L537" s="2" t="inlineStr">
        <is>
          <t>Active</t>
        </is>
      </c>
    </row>
    <row r="538">
      <c r="A538" s="2" t="inlineStr">
        <is>
          <t>EMP00051</t>
        </is>
      </c>
      <c r="B538" s="2" t="inlineStr">
        <is>
          <t>Sales</t>
        </is>
      </c>
      <c r="C538" s="2" t="inlineStr">
        <is>
          <t>Sales Manager</t>
        </is>
      </c>
      <c r="D538" s="2" t="n">
        <v>40</v>
      </c>
      <c r="E538" s="2" t="n">
        <v>1.1</v>
      </c>
      <c r="F538" s="2" t="n">
        <v>782000</v>
      </c>
      <c r="G538" s="2" t="inlineStr">
        <is>
          <t>Yes</t>
        </is>
      </c>
      <c r="H538" s="2" t="n">
        <v>4</v>
      </c>
      <c r="I538" s="2" t="n">
        <v>5</v>
      </c>
      <c r="J538" s="2" t="n">
        <v>2.6</v>
      </c>
      <c r="K538" s="2" t="n">
        <v>4</v>
      </c>
      <c r="L538" s="2" t="inlineStr">
        <is>
          <t>Active</t>
        </is>
      </c>
    </row>
    <row r="539">
      <c r="A539" s="2" t="inlineStr">
        <is>
          <t>EMP00721</t>
        </is>
      </c>
      <c r="B539" s="2" t="inlineStr">
        <is>
          <t>Operations</t>
        </is>
      </c>
      <c r="C539" s="2" t="inlineStr">
        <is>
          <t>Ops Manager</t>
        </is>
      </c>
      <c r="D539" s="2" t="n">
        <v>36</v>
      </c>
      <c r="E539" s="2" t="n">
        <v>4.2</v>
      </c>
      <c r="F539" s="2" t="n">
        <v>843000</v>
      </c>
      <c r="G539" s="2" t="inlineStr">
        <is>
          <t>No</t>
        </is>
      </c>
      <c r="H539" s="2" t="n">
        <v>52</v>
      </c>
      <c r="I539" s="2" t="n">
        <v>2.7</v>
      </c>
      <c r="J539" s="2" t="n">
        <v>2.2</v>
      </c>
      <c r="K539" s="2" t="n">
        <v>3.7</v>
      </c>
      <c r="L539" s="2" t="inlineStr">
        <is>
          <t>Active</t>
        </is>
      </c>
    </row>
    <row r="540">
      <c r="A540" s="2" t="inlineStr">
        <is>
          <t>EMP00761</t>
        </is>
      </c>
      <c r="B540" s="2" t="inlineStr">
        <is>
          <t>Finance</t>
        </is>
      </c>
      <c r="C540" s="2" t="inlineStr">
        <is>
          <t>Financial Analyst</t>
        </is>
      </c>
      <c r="D540" s="2" t="n">
        <v>31</v>
      </c>
      <c r="E540" s="2" t="n">
        <v>4.5</v>
      </c>
      <c r="F540" s="2" t="n">
        <v>941000</v>
      </c>
      <c r="G540" s="2" t="inlineStr">
        <is>
          <t>Yes</t>
        </is>
      </c>
      <c r="H540" s="2" t="n">
        <v>59</v>
      </c>
      <c r="I540" s="2" t="n">
        <v>4.8</v>
      </c>
      <c r="J540" s="2" t="n">
        <v>3.1</v>
      </c>
      <c r="K540" s="2" t="n">
        <v>1.8</v>
      </c>
      <c r="L540" s="2" t="inlineStr">
        <is>
          <t>Active</t>
        </is>
      </c>
    </row>
    <row r="541">
      <c r="A541" s="2" t="inlineStr">
        <is>
          <t>EMP00082</t>
        </is>
      </c>
      <c r="B541" s="2" t="inlineStr">
        <is>
          <t>Engineering</t>
        </is>
      </c>
      <c r="C541" s="2" t="inlineStr">
        <is>
          <t>Engineering Manager</t>
        </is>
      </c>
      <c r="D541" s="2" t="n">
        <v>30</v>
      </c>
      <c r="E541" s="2" t="n">
        <v>1.2</v>
      </c>
      <c r="F541" s="2" t="n">
        <v>1107000</v>
      </c>
      <c r="G541" s="2" t="inlineStr">
        <is>
          <t>No</t>
        </is>
      </c>
      <c r="H541" s="2" t="n">
        <v>40</v>
      </c>
      <c r="I541" s="2" t="n">
        <v>3.8</v>
      </c>
      <c r="J541" s="2" t="n">
        <v>3.4</v>
      </c>
      <c r="K541" s="2" t="n">
        <v>3</v>
      </c>
      <c r="L541" s="2" t="inlineStr">
        <is>
          <t>Active</t>
        </is>
      </c>
    </row>
    <row r="542">
      <c r="A542" s="2" t="inlineStr">
        <is>
          <t>EMP00483</t>
        </is>
      </c>
      <c r="B542" s="2" t="inlineStr">
        <is>
          <t>Operations</t>
        </is>
      </c>
      <c r="C542" s="2" t="inlineStr">
        <is>
          <t>Ops Manager</t>
        </is>
      </c>
      <c r="D542" s="2" t="n">
        <v>29</v>
      </c>
      <c r="E542" s="2" t="n">
        <v>2.5</v>
      </c>
      <c r="F542" s="2" t="n">
        <v>786000</v>
      </c>
      <c r="G542" s="2" t="inlineStr">
        <is>
          <t>No</t>
        </is>
      </c>
      <c r="H542" s="2" t="n">
        <v>14</v>
      </c>
      <c r="I542" s="2" t="n">
        <v>3.1</v>
      </c>
      <c r="J542" s="2" t="n">
        <v>4.5</v>
      </c>
      <c r="K542" s="2" t="n">
        <v>3.5</v>
      </c>
      <c r="L542" s="2" t="inlineStr">
        <is>
          <t>Active</t>
        </is>
      </c>
    </row>
    <row r="543">
      <c r="A543" s="2" t="inlineStr">
        <is>
          <t>EMP00322</t>
        </is>
      </c>
      <c r="B543" s="2" t="inlineStr">
        <is>
          <t>Operations</t>
        </is>
      </c>
      <c r="C543" s="2" t="inlineStr">
        <is>
          <t>Process Lead</t>
        </is>
      </c>
      <c r="D543" s="2" t="n">
        <v>24</v>
      </c>
      <c r="E543" s="2" t="n">
        <v>1.6</v>
      </c>
      <c r="F543" s="2" t="n">
        <v>618000</v>
      </c>
      <c r="G543" s="2" t="inlineStr">
        <is>
          <t>Yes</t>
        </is>
      </c>
      <c r="H543" s="2" t="n">
        <v>26</v>
      </c>
      <c r="I543" s="2" t="n">
        <v>3.2</v>
      </c>
      <c r="J543" s="2" t="n">
        <v>1.4</v>
      </c>
      <c r="K543" s="2" t="n">
        <v>4.2</v>
      </c>
      <c r="L543" s="2" t="inlineStr">
        <is>
          <t>Active</t>
        </is>
      </c>
    </row>
    <row r="544">
      <c r="A544" s="2" t="inlineStr">
        <is>
          <t>EMP01128</t>
        </is>
      </c>
      <c r="B544" s="2" t="inlineStr">
        <is>
          <t>Finance</t>
        </is>
      </c>
      <c r="C544" s="2" t="inlineStr">
        <is>
          <t>Financial Analyst</t>
        </is>
      </c>
      <c r="D544" s="2" t="n">
        <v>49</v>
      </c>
      <c r="E544" s="2" t="n">
        <v>11.6</v>
      </c>
      <c r="F544" s="2" t="n">
        <v>1273000</v>
      </c>
      <c r="G544" s="2" t="inlineStr">
        <is>
          <t>No</t>
        </is>
      </c>
      <c r="H544" s="2" t="n">
        <v>2</v>
      </c>
      <c r="I544" s="2" t="n">
        <v>4</v>
      </c>
      <c r="J544" s="2" t="n">
        <v>3.3</v>
      </c>
      <c r="K544" s="2" t="n">
        <v>3</v>
      </c>
      <c r="L544" s="2" t="inlineStr">
        <is>
          <t>Active</t>
        </is>
      </c>
    </row>
    <row r="545">
      <c r="A545" s="2" t="inlineStr">
        <is>
          <t>EMP00719</t>
        </is>
      </c>
      <c r="B545" s="2" t="inlineStr">
        <is>
          <t>Finance</t>
        </is>
      </c>
      <c r="C545" s="2" t="inlineStr">
        <is>
          <t>Financial Analyst</t>
        </is>
      </c>
      <c r="D545" s="2" t="n">
        <v>31</v>
      </c>
      <c r="E545" s="2" t="n">
        <v>2.9</v>
      </c>
      <c r="F545" s="2" t="n">
        <v>868000</v>
      </c>
      <c r="G545" s="2" t="inlineStr">
        <is>
          <t>No</t>
        </is>
      </c>
      <c r="H545" s="2" t="n">
        <v>50</v>
      </c>
      <c r="I545" s="2" t="n">
        <v>2.4</v>
      </c>
      <c r="J545" s="2" t="n">
        <v>3.7</v>
      </c>
      <c r="K545" s="2" t="n">
        <v>3.5</v>
      </c>
      <c r="L545" s="2" t="inlineStr">
        <is>
          <t>Active</t>
        </is>
      </c>
    </row>
    <row r="546">
      <c r="A546" s="2" t="inlineStr">
        <is>
          <t>EMP01161</t>
        </is>
      </c>
      <c r="B546" s="2" t="inlineStr">
        <is>
          <t>Sales</t>
        </is>
      </c>
      <c r="C546" s="2" t="inlineStr">
        <is>
          <t>Sales Executive</t>
        </is>
      </c>
      <c r="D546" s="2" t="n">
        <v>36</v>
      </c>
      <c r="E546" s="2" t="n">
        <v>1.5</v>
      </c>
      <c r="F546" s="2" t="n">
        <v>680000</v>
      </c>
      <c r="G546" s="2" t="inlineStr">
        <is>
          <t>Yes</t>
        </is>
      </c>
      <c r="H546" s="2" t="n">
        <v>21</v>
      </c>
      <c r="I546" s="2" t="n">
        <v>2.1</v>
      </c>
      <c r="J546" s="2" t="n">
        <v>2.3</v>
      </c>
      <c r="K546" s="2" t="n">
        <v>3</v>
      </c>
      <c r="L546" s="2" t="inlineStr">
        <is>
          <t>Active</t>
        </is>
      </c>
    </row>
    <row r="547">
      <c r="A547" s="2" t="inlineStr">
        <is>
          <t>EMP00067</t>
        </is>
      </c>
      <c r="B547" s="2" t="inlineStr">
        <is>
          <t>Operations</t>
        </is>
      </c>
      <c r="C547" s="2" t="inlineStr">
        <is>
          <t>Ops Analyst</t>
        </is>
      </c>
      <c r="D547" s="2" t="n">
        <v>38</v>
      </c>
      <c r="E547" s="2" t="n">
        <v>0.3</v>
      </c>
      <c r="F547" s="2" t="n">
        <v>699000</v>
      </c>
      <c r="G547" s="2" t="inlineStr">
        <is>
          <t>No</t>
        </is>
      </c>
      <c r="H547" s="2" t="n">
        <v>13</v>
      </c>
      <c r="I547" s="2" t="n">
        <v>4.6</v>
      </c>
      <c r="J547" s="2" t="n">
        <v>2.9</v>
      </c>
      <c r="K547" s="2" t="n">
        <v>3.2</v>
      </c>
      <c r="L547" s="2" t="inlineStr">
        <is>
          <t>Active</t>
        </is>
      </c>
    </row>
    <row r="548">
      <c r="A548" s="2" t="inlineStr">
        <is>
          <t>EMP00960</t>
        </is>
      </c>
      <c r="B548" s="2" t="inlineStr">
        <is>
          <t>Operations</t>
        </is>
      </c>
      <c r="C548" s="2" t="inlineStr">
        <is>
          <t>Ops Manager</t>
        </is>
      </c>
      <c r="D548" s="2" t="n">
        <v>33</v>
      </c>
      <c r="E548" s="2" t="n">
        <v>1.5</v>
      </c>
      <c r="F548" s="2" t="n">
        <v>726000</v>
      </c>
      <c r="G548" s="2" t="inlineStr">
        <is>
          <t>No</t>
        </is>
      </c>
      <c r="H548" s="2" t="n">
        <v>34</v>
      </c>
      <c r="I548" s="2" t="n">
        <v>1.6</v>
      </c>
      <c r="J548" s="2" t="n">
        <v>3.9</v>
      </c>
      <c r="K548" s="2" t="n">
        <v>3.3</v>
      </c>
      <c r="L548" s="2" t="inlineStr">
        <is>
          <t>Resigned</t>
        </is>
      </c>
    </row>
    <row r="549">
      <c r="A549" s="2" t="inlineStr">
        <is>
          <t>EMP00937</t>
        </is>
      </c>
      <c r="B549" s="2" t="inlineStr">
        <is>
          <t>Customer Support</t>
        </is>
      </c>
      <c r="C549" s="2" t="inlineStr">
        <is>
          <t>Support Lead</t>
        </is>
      </c>
      <c r="D549" s="2" t="n">
        <v>33</v>
      </c>
      <c r="E549" s="2" t="n">
        <v>3.1</v>
      </c>
      <c r="F549" s="2" t="n">
        <v>602000</v>
      </c>
      <c r="G549" s="2" t="inlineStr">
        <is>
          <t>Yes</t>
        </is>
      </c>
      <c r="H549" s="2" t="n">
        <v>26</v>
      </c>
      <c r="I549" s="2" t="n">
        <v>4.1</v>
      </c>
      <c r="J549" s="2" t="n">
        <v>1.5</v>
      </c>
      <c r="K549" s="2" t="n">
        <v>1.2</v>
      </c>
      <c r="L549" s="2" t="inlineStr">
        <is>
          <t>Active</t>
        </is>
      </c>
    </row>
    <row r="550">
      <c r="A550" s="2" t="inlineStr">
        <is>
          <t>EMP00772</t>
        </is>
      </c>
      <c r="B550" s="2" t="inlineStr">
        <is>
          <t>Operations</t>
        </is>
      </c>
      <c r="C550" s="2" t="inlineStr">
        <is>
          <t>Process Lead</t>
        </is>
      </c>
      <c r="D550" s="2" t="n">
        <v>34</v>
      </c>
      <c r="E550" s="2" t="n">
        <v>1.7</v>
      </c>
      <c r="F550" s="2" t="n">
        <v>615000</v>
      </c>
      <c r="G550" s="2" t="inlineStr">
        <is>
          <t>No</t>
        </is>
      </c>
      <c r="H550" s="2" t="n">
        <v>25</v>
      </c>
      <c r="I550" s="2" t="n">
        <v>3</v>
      </c>
      <c r="J550" s="2" t="n">
        <v>1</v>
      </c>
      <c r="K550" s="2" t="n">
        <v>3.3</v>
      </c>
      <c r="L550" s="2" t="inlineStr">
        <is>
          <t>Active</t>
        </is>
      </c>
    </row>
    <row r="551">
      <c r="A551" s="2" t="inlineStr">
        <is>
          <t>EMP00418</t>
        </is>
      </c>
      <c r="B551" s="2" t="inlineStr">
        <is>
          <t>HR</t>
        </is>
      </c>
      <c r="C551" s="2" t="inlineStr">
        <is>
          <t>HR Manager</t>
        </is>
      </c>
      <c r="D551" s="2" t="n">
        <v>44</v>
      </c>
      <c r="E551" s="2" t="n">
        <v>2.6</v>
      </c>
      <c r="F551" s="2" t="n">
        <v>696000</v>
      </c>
      <c r="G551" s="2" t="inlineStr">
        <is>
          <t>No</t>
        </is>
      </c>
      <c r="H551" s="2" t="n">
        <v>24</v>
      </c>
      <c r="I551" s="2" t="n">
        <v>4.3</v>
      </c>
      <c r="J551" s="2" t="n">
        <v>4.1</v>
      </c>
      <c r="K551" s="2" t="n">
        <v>3.2</v>
      </c>
      <c r="L551" s="2" t="inlineStr">
        <is>
          <t>Active</t>
        </is>
      </c>
    </row>
    <row r="552">
      <c r="A552" s="2" t="inlineStr">
        <is>
          <t>EMP01167</t>
        </is>
      </c>
      <c r="B552" s="2" t="inlineStr">
        <is>
          <t>HR</t>
        </is>
      </c>
      <c r="C552" s="2" t="inlineStr">
        <is>
          <t>Recruiter</t>
        </is>
      </c>
      <c r="D552" s="2" t="n">
        <v>46</v>
      </c>
      <c r="E552" s="2" t="n">
        <v>1.5</v>
      </c>
      <c r="F552" s="2" t="n">
        <v>588000</v>
      </c>
      <c r="G552" s="2" t="inlineStr">
        <is>
          <t>No</t>
        </is>
      </c>
      <c r="H552" s="2" t="n">
        <v>1</v>
      </c>
      <c r="I552" s="2" t="n">
        <v>4.4</v>
      </c>
      <c r="J552" s="2" t="n">
        <v>3.9</v>
      </c>
      <c r="K552" s="2" t="n">
        <v>4.6</v>
      </c>
      <c r="L552" s="2" t="inlineStr">
        <is>
          <t>Active</t>
        </is>
      </c>
    </row>
    <row r="553">
      <c r="A553" s="2" t="inlineStr">
        <is>
          <t>EMP00065</t>
        </is>
      </c>
      <c r="B553" s="2" t="inlineStr">
        <is>
          <t>Finance</t>
        </is>
      </c>
      <c r="C553" s="2" t="inlineStr">
        <is>
          <t>Accountant</t>
        </is>
      </c>
      <c r="D553" s="2" t="n">
        <v>35</v>
      </c>
      <c r="E553" s="2" t="n">
        <v>4.4</v>
      </c>
      <c r="F553" s="2" t="n">
        <v>899000</v>
      </c>
      <c r="G553" s="2" t="inlineStr">
        <is>
          <t>No</t>
        </is>
      </c>
      <c r="H553" s="2" t="n">
        <v>5</v>
      </c>
      <c r="I553" s="2" t="n">
        <v>3</v>
      </c>
      <c r="J553" s="2" t="n">
        <v>1.5</v>
      </c>
      <c r="K553" s="2" t="n">
        <v>3.7</v>
      </c>
      <c r="L553" s="2" t="inlineStr">
        <is>
          <t>Active</t>
        </is>
      </c>
    </row>
    <row r="554">
      <c r="A554" s="2" t="inlineStr">
        <is>
          <t>EMP00944</t>
        </is>
      </c>
      <c r="B554" s="2" t="inlineStr">
        <is>
          <t>Engineering</t>
        </is>
      </c>
      <c r="C554" s="2" t="inlineStr">
        <is>
          <t>Senior Engineer</t>
        </is>
      </c>
      <c r="D554" s="2" t="n">
        <v>31</v>
      </c>
      <c r="E554" s="2" t="n">
        <v>3.8</v>
      </c>
      <c r="F554" s="2" t="n">
        <v>1087000</v>
      </c>
      <c r="G554" s="2" t="inlineStr">
        <is>
          <t>Yes</t>
        </is>
      </c>
      <c r="H554" s="2" t="n">
        <v>34</v>
      </c>
      <c r="I554" s="2" t="n">
        <v>4.5</v>
      </c>
      <c r="J554" s="2" t="n">
        <v>2.7</v>
      </c>
      <c r="K554" s="2" t="n">
        <v>2.3</v>
      </c>
      <c r="L554" s="2" t="inlineStr">
        <is>
          <t>Active</t>
        </is>
      </c>
    </row>
    <row r="555">
      <c r="A555" s="2" t="inlineStr">
        <is>
          <t>EMP00935</t>
        </is>
      </c>
      <c r="B555" s="2" t="inlineStr">
        <is>
          <t>HR</t>
        </is>
      </c>
      <c r="C555" s="2" t="inlineStr">
        <is>
          <t>HR Generalist</t>
        </is>
      </c>
      <c r="D555" s="2" t="n">
        <v>38</v>
      </c>
      <c r="E555" s="2" t="n">
        <v>0.7</v>
      </c>
      <c r="F555" s="2" t="n">
        <v>526000</v>
      </c>
      <c r="G555" s="2" t="inlineStr">
        <is>
          <t>No</t>
        </is>
      </c>
      <c r="H555" s="2" t="n">
        <v>12</v>
      </c>
      <c r="I555" s="2" t="n">
        <v>4</v>
      </c>
      <c r="J555" s="2" t="n">
        <v>4.8</v>
      </c>
      <c r="K555" s="2" t="n">
        <v>4.6</v>
      </c>
      <c r="L555" s="2" t="inlineStr">
        <is>
          <t>Resigned</t>
        </is>
      </c>
    </row>
    <row r="556">
      <c r="A556" s="2" t="inlineStr">
        <is>
          <t>EMP01103</t>
        </is>
      </c>
      <c r="B556" s="2" t="inlineStr">
        <is>
          <t>HR</t>
        </is>
      </c>
      <c r="C556" s="2" t="inlineStr">
        <is>
          <t>HR Generalist</t>
        </is>
      </c>
      <c r="D556" s="2" t="n">
        <v>41</v>
      </c>
      <c r="E556" s="2" t="n">
        <v>1.1</v>
      </c>
      <c r="F556" s="2" t="n">
        <v>588000</v>
      </c>
      <c r="G556" s="2" t="inlineStr">
        <is>
          <t>No</t>
        </is>
      </c>
      <c r="H556" s="2" t="n">
        <v>29</v>
      </c>
      <c r="I556" s="2" t="n">
        <v>2</v>
      </c>
      <c r="J556" s="2" t="n">
        <v>3.2</v>
      </c>
      <c r="K556" s="2" t="n">
        <v>3.2</v>
      </c>
      <c r="L556" s="2" t="inlineStr">
        <is>
          <t>Active</t>
        </is>
      </c>
    </row>
    <row r="557">
      <c r="A557" s="2" t="inlineStr">
        <is>
          <t>EMP00492</t>
        </is>
      </c>
      <c r="B557" s="2" t="inlineStr">
        <is>
          <t>Finance</t>
        </is>
      </c>
      <c r="C557" s="2" t="inlineStr">
        <is>
          <t>Accountant</t>
        </is>
      </c>
      <c r="D557" s="2" t="n">
        <v>38</v>
      </c>
      <c r="E557" s="2" t="n">
        <v>1</v>
      </c>
      <c r="F557" s="2" t="n">
        <v>704000</v>
      </c>
      <c r="G557" s="2" t="inlineStr">
        <is>
          <t>No</t>
        </is>
      </c>
      <c r="H557" s="2" t="n">
        <v>59</v>
      </c>
      <c r="I557" s="2" t="n">
        <v>3.8</v>
      </c>
      <c r="J557" s="2" t="n">
        <v>4.3</v>
      </c>
      <c r="K557" s="2" t="n">
        <v>2.9</v>
      </c>
      <c r="L557" s="2" t="inlineStr">
        <is>
          <t>Active</t>
        </is>
      </c>
    </row>
    <row r="558">
      <c r="A558" s="2" t="inlineStr">
        <is>
          <t>EMP00733</t>
        </is>
      </c>
      <c r="B558" s="2" t="inlineStr">
        <is>
          <t>Sales</t>
        </is>
      </c>
      <c r="C558" s="2" t="inlineStr">
        <is>
          <t>Sales Manager</t>
        </is>
      </c>
      <c r="D558" s="2" t="n">
        <v>27</v>
      </c>
      <c r="E558" s="2" t="n">
        <v>5.1</v>
      </c>
      <c r="F558" s="2" t="n">
        <v>731000</v>
      </c>
      <c r="G558" s="2" t="inlineStr">
        <is>
          <t>No</t>
        </is>
      </c>
      <c r="H558" s="2" t="n">
        <v>51</v>
      </c>
      <c r="I558" s="2" t="n">
        <v>2.9</v>
      </c>
      <c r="J558" s="2" t="n">
        <v>4</v>
      </c>
      <c r="K558" s="2" t="n">
        <v>3.8</v>
      </c>
      <c r="L558" s="2" t="inlineStr">
        <is>
          <t>Active</t>
        </is>
      </c>
    </row>
    <row r="559">
      <c r="A559" s="2" t="inlineStr">
        <is>
          <t>EMP00836</t>
        </is>
      </c>
      <c r="B559" s="2" t="inlineStr">
        <is>
          <t>Operations</t>
        </is>
      </c>
      <c r="C559" s="2" t="inlineStr">
        <is>
          <t>Ops Manager</t>
        </is>
      </c>
      <c r="D559" s="2" t="n">
        <v>27</v>
      </c>
      <c r="E559" s="2" t="n">
        <v>2.1</v>
      </c>
      <c r="F559" s="2" t="n">
        <v>704000</v>
      </c>
      <c r="G559" s="2" t="inlineStr">
        <is>
          <t>Yes</t>
        </is>
      </c>
      <c r="H559" s="2" t="n">
        <v>35</v>
      </c>
      <c r="I559" s="2" t="n">
        <v>1.8</v>
      </c>
      <c r="J559" s="2" t="n">
        <v>4.1</v>
      </c>
      <c r="K559" s="2" t="n">
        <v>4.1</v>
      </c>
      <c r="L559" s="2" t="inlineStr">
        <is>
          <t>Active</t>
        </is>
      </c>
    </row>
    <row r="560">
      <c r="A560" s="2" t="inlineStr">
        <is>
          <t>EMP01022</t>
        </is>
      </c>
      <c r="B560" s="2" t="inlineStr">
        <is>
          <t>HR</t>
        </is>
      </c>
      <c r="C560" s="2" t="inlineStr">
        <is>
          <t>HR Manager</t>
        </is>
      </c>
      <c r="D560" s="2" t="n">
        <v>28</v>
      </c>
      <c r="E560" s="2" t="n">
        <v>5.8</v>
      </c>
      <c r="F560" s="2" t="n">
        <v>851000</v>
      </c>
      <c r="G560" s="2" t="inlineStr">
        <is>
          <t>No</t>
        </is>
      </c>
      <c r="H560" s="2" t="n">
        <v>17</v>
      </c>
      <c r="I560" s="2" t="n">
        <v>1.7</v>
      </c>
      <c r="J560" s="2" t="n">
        <v>3.4</v>
      </c>
      <c r="K560" s="2" t="n">
        <v>2.2</v>
      </c>
      <c r="L560" s="2" t="inlineStr">
        <is>
          <t>Active</t>
        </is>
      </c>
    </row>
    <row r="561">
      <c r="A561" s="2" t="inlineStr">
        <is>
          <t>EMP00596</t>
        </is>
      </c>
      <c r="B561" s="2" t="inlineStr">
        <is>
          <t>Engineering</t>
        </is>
      </c>
      <c r="C561" s="2" t="inlineStr">
        <is>
          <t>Senior Engineer</t>
        </is>
      </c>
      <c r="D561" s="2" t="n">
        <v>28</v>
      </c>
      <c r="E561" s="2" t="n">
        <v>3.1</v>
      </c>
      <c r="F561" s="2" t="n">
        <v>1284000</v>
      </c>
      <c r="G561" s="2" t="inlineStr">
        <is>
          <t>No</t>
        </is>
      </c>
      <c r="H561" s="2" t="n">
        <v>21</v>
      </c>
      <c r="I561" s="2" t="n">
        <v>2.1</v>
      </c>
      <c r="J561" s="2" t="n">
        <v>3.1</v>
      </c>
      <c r="K561" s="2" t="n">
        <v>3.5</v>
      </c>
      <c r="L561" s="2" t="inlineStr">
        <is>
          <t>Active</t>
        </is>
      </c>
    </row>
    <row r="562">
      <c r="A562" s="2" t="inlineStr">
        <is>
          <t>EMP01012</t>
        </is>
      </c>
      <c r="B562" s="2" t="inlineStr">
        <is>
          <t>Operations</t>
        </is>
      </c>
      <c r="C562" s="2" t="inlineStr">
        <is>
          <t>Process Lead</t>
        </is>
      </c>
      <c r="D562" s="2" t="n">
        <v>37</v>
      </c>
      <c r="E562" s="2" t="n">
        <v>1.6</v>
      </c>
      <c r="F562" s="2" t="n">
        <v>647000</v>
      </c>
      <c r="G562" s="2" t="inlineStr">
        <is>
          <t>No</t>
        </is>
      </c>
      <c r="H562" s="2" t="n">
        <v>50</v>
      </c>
      <c r="I562" s="2" t="n">
        <v>3.4</v>
      </c>
      <c r="J562" s="2" t="n">
        <v>2.2</v>
      </c>
      <c r="K562" s="2" t="n">
        <v>1.9</v>
      </c>
      <c r="L562" s="2" t="inlineStr">
        <is>
          <t>Active</t>
        </is>
      </c>
    </row>
    <row r="563">
      <c r="A563" s="2" t="inlineStr">
        <is>
          <t>EMP00297</t>
        </is>
      </c>
      <c r="B563" s="2" t="inlineStr">
        <is>
          <t>Customer Support</t>
        </is>
      </c>
      <c r="C563" s="2" t="inlineStr">
        <is>
          <t>Support Associate</t>
        </is>
      </c>
      <c r="D563" s="2" t="n">
        <v>32</v>
      </c>
      <c r="E563" s="2" t="n">
        <v>6.4</v>
      </c>
      <c r="F563" s="2" t="n">
        <v>705000</v>
      </c>
      <c r="G563" s="2" t="inlineStr">
        <is>
          <t>No</t>
        </is>
      </c>
      <c r="H563" s="2" t="n">
        <v>54</v>
      </c>
      <c r="I563" s="2" t="n">
        <v>3.3</v>
      </c>
      <c r="J563" s="2" t="n">
        <v>1.6</v>
      </c>
      <c r="K563" s="2" t="n">
        <v>3.7</v>
      </c>
      <c r="L563" s="2" t="inlineStr">
        <is>
          <t>Active</t>
        </is>
      </c>
    </row>
    <row r="564">
      <c r="A564" s="2" t="inlineStr">
        <is>
          <t>EMP00420</t>
        </is>
      </c>
      <c r="B564" s="2" t="inlineStr">
        <is>
          <t>Customer Support</t>
        </is>
      </c>
      <c r="C564" s="2" t="inlineStr">
        <is>
          <t>Support Manager</t>
        </is>
      </c>
      <c r="D564" s="2" t="n">
        <v>42</v>
      </c>
      <c r="E564" s="2" t="n">
        <v>5.4</v>
      </c>
      <c r="F564" s="2" t="n">
        <v>549000</v>
      </c>
      <c r="G564" s="2" t="inlineStr">
        <is>
          <t>Yes</t>
        </is>
      </c>
      <c r="H564" s="2" t="n">
        <v>44</v>
      </c>
      <c r="I564" s="2" t="n">
        <v>4.6</v>
      </c>
      <c r="J564" s="2" t="n">
        <v>2.4</v>
      </c>
      <c r="K564" s="2" t="n">
        <v>2.6</v>
      </c>
      <c r="L564" s="2" t="inlineStr">
        <is>
          <t>Active</t>
        </is>
      </c>
    </row>
    <row r="565">
      <c r="A565" s="2" t="inlineStr">
        <is>
          <t>EMP00439</t>
        </is>
      </c>
      <c r="B565" s="2" t="inlineStr">
        <is>
          <t>HR</t>
        </is>
      </c>
      <c r="C565" s="2" t="inlineStr">
        <is>
          <t>HR Generalist</t>
        </is>
      </c>
      <c r="D565" s="2" t="n">
        <v>43</v>
      </c>
      <c r="E565" s="2" t="n">
        <v>12.7</v>
      </c>
      <c r="F565" s="2" t="n">
        <v>845000</v>
      </c>
      <c r="G565" s="2" t="inlineStr">
        <is>
          <t>No</t>
        </is>
      </c>
      <c r="H565" s="2" t="n">
        <v>59</v>
      </c>
      <c r="I565" s="2" t="n">
        <v>1.5</v>
      </c>
      <c r="J565" s="2" t="n">
        <v>3.2</v>
      </c>
      <c r="K565" s="2" t="n">
        <v>2.7</v>
      </c>
      <c r="L565" s="2" t="inlineStr">
        <is>
          <t>Active</t>
        </is>
      </c>
    </row>
    <row r="566">
      <c r="A566" s="2" t="inlineStr">
        <is>
          <t>EMP00262</t>
        </is>
      </c>
      <c r="B566" s="2" t="inlineStr">
        <is>
          <t>HR</t>
        </is>
      </c>
      <c r="C566" s="2" t="inlineStr">
        <is>
          <t>HR Manager</t>
        </is>
      </c>
      <c r="D566" s="2" t="n">
        <v>36</v>
      </c>
      <c r="E566" s="2" t="n">
        <v>6.6</v>
      </c>
      <c r="F566" s="2" t="n">
        <v>854000</v>
      </c>
      <c r="G566" s="2" t="inlineStr">
        <is>
          <t>No</t>
        </is>
      </c>
      <c r="H566" s="2" t="n">
        <v>11</v>
      </c>
      <c r="I566" s="2" t="n">
        <v>2.5</v>
      </c>
      <c r="J566" s="2" t="n">
        <v>3.7</v>
      </c>
      <c r="K566" s="2" t="n">
        <v>2.7</v>
      </c>
      <c r="L566" s="2" t="inlineStr">
        <is>
          <t>Active</t>
        </is>
      </c>
    </row>
    <row r="567">
      <c r="A567" s="2" t="inlineStr">
        <is>
          <t>EMP00726</t>
        </is>
      </c>
      <c r="B567" s="2" t="inlineStr">
        <is>
          <t>Sales</t>
        </is>
      </c>
      <c r="C567" s="2" t="inlineStr">
        <is>
          <t>Sales Manager</t>
        </is>
      </c>
      <c r="D567" s="2" t="n">
        <v>41</v>
      </c>
      <c r="E567" s="2" t="n">
        <v>1.8</v>
      </c>
      <c r="F567" s="2" t="n">
        <v>628000</v>
      </c>
      <c r="G567" s="2" t="inlineStr">
        <is>
          <t>No</t>
        </is>
      </c>
      <c r="H567" s="2" t="n">
        <v>59</v>
      </c>
      <c r="I567" s="2" t="n">
        <v>4.7</v>
      </c>
      <c r="J567" s="2" t="n">
        <v>4</v>
      </c>
      <c r="K567" s="2" t="n">
        <v>2.9</v>
      </c>
      <c r="L567" s="2" t="inlineStr">
        <is>
          <t>Active</t>
        </is>
      </c>
    </row>
    <row r="568">
      <c r="A568" s="2" t="inlineStr">
        <is>
          <t>EMP00282</t>
        </is>
      </c>
      <c r="B568" s="2" t="inlineStr">
        <is>
          <t>Sales</t>
        </is>
      </c>
      <c r="C568" s="2" t="inlineStr">
        <is>
          <t>Sales Executive</t>
        </is>
      </c>
      <c r="D568" s="2" t="n">
        <v>48</v>
      </c>
      <c r="E568" s="2" t="n">
        <v>15.1</v>
      </c>
      <c r="F568" s="2" t="n">
        <v>1099000</v>
      </c>
      <c r="G568" s="2" t="inlineStr">
        <is>
          <t>Yes</t>
        </is>
      </c>
      <c r="H568" s="2" t="n">
        <v>24</v>
      </c>
      <c r="I568" s="2" t="n">
        <v>4</v>
      </c>
      <c r="J568" s="2" t="n">
        <v>3.6</v>
      </c>
      <c r="K568" s="2" t="n">
        <v>3.4</v>
      </c>
      <c r="L568" s="2" t="inlineStr">
        <is>
          <t>Active</t>
        </is>
      </c>
    </row>
    <row r="569">
      <c r="A569" s="2" t="inlineStr">
        <is>
          <t>EMP00859</t>
        </is>
      </c>
      <c r="B569" s="2" t="inlineStr">
        <is>
          <t>Engineering</t>
        </is>
      </c>
      <c r="C569" s="2" t="inlineStr">
        <is>
          <t>Senior Engineer</t>
        </is>
      </c>
      <c r="D569" s="2" t="n">
        <v>25</v>
      </c>
      <c r="E569" s="2" t="n">
        <v>2.4</v>
      </c>
      <c r="F569" s="2" t="n">
        <v>1104000</v>
      </c>
      <c r="G569" s="2" t="inlineStr">
        <is>
          <t>No</t>
        </is>
      </c>
      <c r="H569" s="2" t="n">
        <v>25</v>
      </c>
      <c r="I569" s="2" t="n">
        <v>3.8</v>
      </c>
      <c r="J569" s="2" t="n">
        <v>4.8</v>
      </c>
      <c r="K569" s="2" t="n">
        <v>3.6</v>
      </c>
      <c r="L569" s="2" t="inlineStr">
        <is>
          <t>Active</t>
        </is>
      </c>
    </row>
    <row r="570">
      <c r="A570" s="2" t="inlineStr">
        <is>
          <t>EMP00883</t>
        </is>
      </c>
      <c r="B570" s="2" t="inlineStr">
        <is>
          <t>Customer Support</t>
        </is>
      </c>
      <c r="C570" s="2" t="inlineStr">
        <is>
          <t>Support Manager</t>
        </is>
      </c>
      <c r="D570" s="2" t="n">
        <v>33</v>
      </c>
      <c r="E570" s="2" t="n">
        <v>3.4</v>
      </c>
      <c r="F570" s="2" t="n">
        <v>547000</v>
      </c>
      <c r="G570" s="2" t="inlineStr">
        <is>
          <t>No</t>
        </is>
      </c>
      <c r="H570" s="2" t="n">
        <v>25</v>
      </c>
      <c r="I570" s="2" t="n">
        <v>4.2</v>
      </c>
      <c r="J570" s="2" t="n">
        <v>4</v>
      </c>
      <c r="K570" s="2" t="n">
        <v>5</v>
      </c>
      <c r="L570" s="2" t="inlineStr">
        <is>
          <t>Active</t>
        </is>
      </c>
    </row>
    <row r="571">
      <c r="A571" s="2" t="inlineStr">
        <is>
          <t>EMP00189</t>
        </is>
      </c>
      <c r="B571" s="2" t="inlineStr">
        <is>
          <t>HR</t>
        </is>
      </c>
      <c r="C571" s="2" t="inlineStr">
        <is>
          <t>HR Manager</t>
        </is>
      </c>
      <c r="D571" s="2" t="n">
        <v>45</v>
      </c>
      <c r="E571" s="2" t="n">
        <v>14.7</v>
      </c>
      <c r="F571" s="2" t="n">
        <v>973000</v>
      </c>
      <c r="G571" s="2" t="inlineStr">
        <is>
          <t>No</t>
        </is>
      </c>
      <c r="H571" s="2" t="n">
        <v>49</v>
      </c>
      <c r="I571" s="2" t="n">
        <v>3.4</v>
      </c>
      <c r="J571" s="2" t="n">
        <v>3.7</v>
      </c>
      <c r="K571" s="2" t="n">
        <v>4</v>
      </c>
      <c r="L571" s="2" t="inlineStr">
        <is>
          <t>Active</t>
        </is>
      </c>
    </row>
    <row r="572">
      <c r="A572" s="2" t="inlineStr">
        <is>
          <t>EMP00930</t>
        </is>
      </c>
      <c r="B572" s="2" t="inlineStr">
        <is>
          <t>Finance</t>
        </is>
      </c>
      <c r="C572" s="2" t="inlineStr">
        <is>
          <t>Finance Manager</t>
        </is>
      </c>
      <c r="D572" s="2" t="n">
        <v>32</v>
      </c>
      <c r="E572" s="2" t="n">
        <v>0.9</v>
      </c>
      <c r="F572" s="2" t="n">
        <v>808000</v>
      </c>
      <c r="G572" s="2" t="inlineStr">
        <is>
          <t>No</t>
        </is>
      </c>
      <c r="H572" s="2" t="n">
        <v>39</v>
      </c>
      <c r="I572" s="2" t="n">
        <v>4.1</v>
      </c>
      <c r="J572" s="2" t="n">
        <v>2.6</v>
      </c>
      <c r="K572" s="2" t="n">
        <v>3.1</v>
      </c>
      <c r="L572" s="2" t="inlineStr">
        <is>
          <t>Resigned</t>
        </is>
      </c>
    </row>
    <row r="573">
      <c r="A573" s="2" t="inlineStr">
        <is>
          <t>EMP00252</t>
        </is>
      </c>
      <c r="B573" s="2" t="inlineStr">
        <is>
          <t>Customer Support</t>
        </is>
      </c>
      <c r="C573" s="2" t="inlineStr">
        <is>
          <t>Support Manager</t>
        </is>
      </c>
      <c r="D573" s="2" t="n">
        <v>39</v>
      </c>
      <c r="E573" s="2" t="n">
        <v>3.3</v>
      </c>
      <c r="F573" s="2" t="n">
        <v>646000</v>
      </c>
      <c r="G573" s="2" t="inlineStr">
        <is>
          <t>Yes</t>
        </is>
      </c>
      <c r="H573" s="2" t="n">
        <v>52</v>
      </c>
      <c r="I573" s="2" t="n">
        <v>3.3</v>
      </c>
      <c r="J573" s="2" t="n">
        <v>4.5</v>
      </c>
      <c r="K573" s="2" t="n">
        <v>3.3</v>
      </c>
      <c r="L573" s="2" t="inlineStr">
        <is>
          <t>Active</t>
        </is>
      </c>
    </row>
    <row r="574">
      <c r="A574" s="2" t="inlineStr">
        <is>
          <t>EMP00784</t>
        </is>
      </c>
      <c r="B574" s="2" t="inlineStr">
        <is>
          <t>Finance</t>
        </is>
      </c>
      <c r="C574" s="2" t="inlineStr">
        <is>
          <t>Financial Analyst</t>
        </is>
      </c>
      <c r="D574" s="2" t="n">
        <v>30</v>
      </c>
      <c r="E574" s="2" t="n">
        <v>5.1</v>
      </c>
      <c r="F574" s="2" t="n">
        <v>1124000</v>
      </c>
      <c r="G574" s="2" t="inlineStr">
        <is>
          <t>Yes</t>
        </is>
      </c>
      <c r="H574" s="2" t="n">
        <v>24</v>
      </c>
      <c r="I574" s="2" t="n">
        <v>2.3</v>
      </c>
      <c r="J574" s="2" t="n">
        <v>3.2</v>
      </c>
      <c r="K574" s="2" t="n">
        <v>3.8</v>
      </c>
      <c r="L574" s="2" t="inlineStr">
        <is>
          <t>Active</t>
        </is>
      </c>
    </row>
    <row r="575">
      <c r="A575" s="2" t="inlineStr">
        <is>
          <t>EMP01123</t>
        </is>
      </c>
      <c r="B575" s="2" t="inlineStr">
        <is>
          <t>HR</t>
        </is>
      </c>
      <c r="C575" s="2" t="inlineStr">
        <is>
          <t>HR Manager</t>
        </is>
      </c>
      <c r="D575" s="2" t="n">
        <v>44</v>
      </c>
      <c r="E575" s="2" t="n">
        <v>1.7</v>
      </c>
      <c r="F575" s="2" t="n">
        <v>675000</v>
      </c>
      <c r="G575" s="2" t="inlineStr">
        <is>
          <t>Yes</t>
        </is>
      </c>
      <c r="H575" s="2" t="n">
        <v>14</v>
      </c>
      <c r="I575" s="2" t="n">
        <v>2.2</v>
      </c>
      <c r="J575" s="2" t="n">
        <v>3.6</v>
      </c>
      <c r="K575" s="2" t="n">
        <v>3.8</v>
      </c>
      <c r="L575" s="2" t="inlineStr">
        <is>
          <t>Active</t>
        </is>
      </c>
    </row>
    <row r="576">
      <c r="A576" s="2" t="inlineStr">
        <is>
          <t>EMP00515</t>
        </is>
      </c>
      <c r="B576" s="2" t="inlineStr">
        <is>
          <t>Engineering</t>
        </is>
      </c>
      <c r="C576" s="2" t="inlineStr">
        <is>
          <t>Senior Engineer</t>
        </is>
      </c>
      <c r="D576" s="2" t="n">
        <v>39</v>
      </c>
      <c r="E576" s="2" t="n">
        <v>5.9</v>
      </c>
      <c r="F576" s="2" t="n">
        <v>1417000</v>
      </c>
      <c r="G576" s="2" t="inlineStr">
        <is>
          <t>No</t>
        </is>
      </c>
      <c r="H576" s="2" t="n">
        <v>34</v>
      </c>
      <c r="I576" s="2" t="n">
        <v>3.8</v>
      </c>
      <c r="J576" s="2" t="n">
        <v>3.7</v>
      </c>
      <c r="K576" s="2" t="n">
        <v>4.1</v>
      </c>
      <c r="L576" s="2" t="inlineStr">
        <is>
          <t>Active</t>
        </is>
      </c>
    </row>
    <row r="577">
      <c r="A577" s="2" t="inlineStr">
        <is>
          <t>EMP00619</t>
        </is>
      </c>
      <c r="B577" s="2" t="inlineStr">
        <is>
          <t>Sales</t>
        </is>
      </c>
      <c r="C577" s="2" t="inlineStr">
        <is>
          <t>Account Manager</t>
        </is>
      </c>
      <c r="D577" s="2" t="n">
        <v>32</v>
      </c>
      <c r="E577" s="2" t="n">
        <v>5.1</v>
      </c>
      <c r="F577" s="2" t="n">
        <v>858000</v>
      </c>
      <c r="G577" s="2" t="inlineStr">
        <is>
          <t>Yes</t>
        </is>
      </c>
      <c r="H577" s="2" t="n">
        <v>48</v>
      </c>
      <c r="I577" s="2" t="n">
        <v>4</v>
      </c>
      <c r="J577" s="2" t="n">
        <v>1.5</v>
      </c>
      <c r="K577" s="2" t="n">
        <v>3.7</v>
      </c>
      <c r="L577" s="2" t="inlineStr">
        <is>
          <t>Active</t>
        </is>
      </c>
    </row>
    <row r="578">
      <c r="A578" s="2" t="inlineStr">
        <is>
          <t>EMP00488</t>
        </is>
      </c>
      <c r="B578" s="2" t="inlineStr">
        <is>
          <t>Engineering</t>
        </is>
      </c>
      <c r="C578" s="2" t="inlineStr">
        <is>
          <t>Software Engineer</t>
        </is>
      </c>
      <c r="D578" s="2" t="n">
        <v>49</v>
      </c>
      <c r="E578" s="2" t="n">
        <v>2</v>
      </c>
      <c r="F578" s="2" t="n">
        <v>1165000</v>
      </c>
      <c r="G578" s="2" t="inlineStr">
        <is>
          <t>No</t>
        </is>
      </c>
      <c r="H578" s="2" t="n">
        <v>54</v>
      </c>
      <c r="I578" s="2" t="n">
        <v>3.5</v>
      </c>
      <c r="J578" s="2" t="n">
        <v>2.7</v>
      </c>
      <c r="K578" s="2" t="n">
        <v>2.9</v>
      </c>
      <c r="L578" s="2" t="inlineStr">
        <is>
          <t>Resigned</t>
        </is>
      </c>
    </row>
    <row r="579">
      <c r="A579" s="2" t="inlineStr">
        <is>
          <t>EMP00274</t>
        </is>
      </c>
      <c r="B579" s="2" t="inlineStr">
        <is>
          <t>Operations</t>
        </is>
      </c>
      <c r="C579" s="2" t="inlineStr">
        <is>
          <t>Ops Analyst</t>
        </is>
      </c>
      <c r="D579" s="2" t="n">
        <v>40</v>
      </c>
      <c r="E579" s="2" t="n">
        <v>4.1</v>
      </c>
      <c r="F579" s="2" t="n">
        <v>830000</v>
      </c>
      <c r="G579" s="2" t="inlineStr">
        <is>
          <t>No</t>
        </is>
      </c>
      <c r="H579" s="2" t="n">
        <v>43</v>
      </c>
      <c r="I579" s="2" t="n">
        <v>1.8</v>
      </c>
      <c r="J579" s="2" t="n">
        <v>3.2</v>
      </c>
      <c r="K579" s="2" t="n">
        <v>3.6</v>
      </c>
      <c r="L579" s="2" t="inlineStr">
        <is>
          <t>Active</t>
        </is>
      </c>
    </row>
    <row r="580">
      <c r="A580" s="2" t="inlineStr">
        <is>
          <t>EMP00996</t>
        </is>
      </c>
      <c r="B580" s="2" t="inlineStr">
        <is>
          <t>Operations</t>
        </is>
      </c>
      <c r="C580" s="2" t="inlineStr">
        <is>
          <t>Process Lead</t>
        </is>
      </c>
      <c r="D580" s="2" t="n">
        <v>53</v>
      </c>
      <c r="E580" s="2" t="n">
        <v>5.7</v>
      </c>
      <c r="F580" s="2" t="n">
        <v>694000</v>
      </c>
      <c r="G580" s="2" t="inlineStr">
        <is>
          <t>No</t>
        </is>
      </c>
      <c r="H580" s="2" t="n">
        <v>43</v>
      </c>
      <c r="I580" s="2" t="n">
        <v>3.7</v>
      </c>
      <c r="J580" s="2" t="n">
        <v>2.7</v>
      </c>
      <c r="K580" s="2" t="n">
        <v>2.4</v>
      </c>
      <c r="L580" s="2" t="inlineStr">
        <is>
          <t>Active</t>
        </is>
      </c>
    </row>
    <row r="581">
      <c r="A581" s="2" t="inlineStr">
        <is>
          <t>EMP01096</t>
        </is>
      </c>
      <c r="B581" s="2" t="inlineStr">
        <is>
          <t>Engineering</t>
        </is>
      </c>
      <c r="C581" s="2" t="inlineStr">
        <is>
          <t>Senior Engineer</t>
        </is>
      </c>
      <c r="D581" s="2" t="n">
        <v>36</v>
      </c>
      <c r="E581" s="2" t="n">
        <v>3.6</v>
      </c>
      <c r="F581" s="2" t="n">
        <v>1019000</v>
      </c>
      <c r="G581" s="2" t="inlineStr">
        <is>
          <t>No</t>
        </is>
      </c>
      <c r="H581" s="2" t="n">
        <v>54</v>
      </c>
      <c r="I581" s="2" t="n">
        <v>2.9</v>
      </c>
      <c r="J581" s="2" t="n">
        <v>3.5</v>
      </c>
      <c r="K581" s="2" t="n">
        <v>2.7</v>
      </c>
      <c r="L581" s="2" t="inlineStr">
        <is>
          <t>Active</t>
        </is>
      </c>
    </row>
    <row r="582">
      <c r="A582" s="2" t="inlineStr">
        <is>
          <t>EMP00449</t>
        </is>
      </c>
      <c r="B582" s="2" t="inlineStr">
        <is>
          <t>Sales</t>
        </is>
      </c>
      <c r="C582" s="2" t="inlineStr">
        <is>
          <t>Sales Executive</t>
        </is>
      </c>
      <c r="D582" s="2" t="n">
        <v>26</v>
      </c>
      <c r="E582" s="2" t="n">
        <v>1.7</v>
      </c>
      <c r="F582" s="2" t="n">
        <v>752000</v>
      </c>
      <c r="G582" s="2" t="inlineStr">
        <is>
          <t>Yes</t>
        </is>
      </c>
      <c r="H582" s="2" t="n">
        <v>49</v>
      </c>
      <c r="I582" s="2" t="n">
        <v>3.4</v>
      </c>
      <c r="J582" s="2" t="n">
        <v>4.3</v>
      </c>
      <c r="K582" s="2" t="n">
        <v>3.3</v>
      </c>
      <c r="L582" s="2" t="inlineStr">
        <is>
          <t>Active</t>
        </is>
      </c>
    </row>
    <row r="583">
      <c r="A583" s="2" t="inlineStr">
        <is>
          <t>EMP00412</t>
        </is>
      </c>
      <c r="B583" s="2" t="inlineStr">
        <is>
          <t>Finance</t>
        </is>
      </c>
      <c r="C583" s="2" t="inlineStr">
        <is>
          <t>Financial Analyst</t>
        </is>
      </c>
      <c r="D583" s="2" t="n">
        <v>36</v>
      </c>
      <c r="E583" s="2" t="n">
        <v>1.5</v>
      </c>
      <c r="F583" s="2" t="n">
        <v>697000</v>
      </c>
      <c r="G583" s="2" t="inlineStr">
        <is>
          <t>Yes</t>
        </is>
      </c>
      <c r="H583" s="2" t="n">
        <v>57</v>
      </c>
      <c r="I583" s="2" t="n">
        <v>4.7</v>
      </c>
      <c r="J583" s="2" t="n">
        <v>2.2</v>
      </c>
      <c r="K583" s="2" t="n">
        <v>2.8</v>
      </c>
      <c r="L583" s="2" t="inlineStr">
        <is>
          <t>Active</t>
        </is>
      </c>
    </row>
    <row r="584">
      <c r="A584" s="2" t="inlineStr">
        <is>
          <t>EMP00888</t>
        </is>
      </c>
      <c r="B584" s="2" t="inlineStr">
        <is>
          <t>Sales</t>
        </is>
      </c>
      <c r="C584" s="2" t="inlineStr">
        <is>
          <t>Sales Executive</t>
        </is>
      </c>
      <c r="D584" s="2" t="n">
        <v>29</v>
      </c>
      <c r="E584" s="2" t="n">
        <v>1.6</v>
      </c>
      <c r="F584" s="2" t="n">
        <v>639000</v>
      </c>
      <c r="G584" s="2" t="inlineStr">
        <is>
          <t>No</t>
        </is>
      </c>
      <c r="H584" s="2" t="n">
        <v>12</v>
      </c>
      <c r="I584" s="2" t="n">
        <v>1.7</v>
      </c>
      <c r="J584" s="2" t="n">
        <v>3.8</v>
      </c>
      <c r="K584" s="2" t="n">
        <v>3.9</v>
      </c>
      <c r="L584" s="2" t="inlineStr">
        <is>
          <t>Resigned</t>
        </is>
      </c>
    </row>
    <row r="585">
      <c r="A585" s="2" t="inlineStr">
        <is>
          <t>EMP00751</t>
        </is>
      </c>
      <c r="B585" s="2" t="inlineStr">
        <is>
          <t>Engineering</t>
        </is>
      </c>
      <c r="C585" s="2" t="inlineStr">
        <is>
          <t>Engineering Manager</t>
        </is>
      </c>
      <c r="D585" s="2" t="n">
        <v>27</v>
      </c>
      <c r="E585" s="2" t="n">
        <v>2.2</v>
      </c>
      <c r="F585" s="2" t="n">
        <v>1200000</v>
      </c>
      <c r="G585" s="2" t="inlineStr">
        <is>
          <t>No</t>
        </is>
      </c>
      <c r="H585" s="2" t="n">
        <v>39</v>
      </c>
      <c r="I585" s="2" t="n">
        <v>2.7</v>
      </c>
      <c r="J585" s="2" t="n">
        <v>5</v>
      </c>
      <c r="K585" s="2" t="n">
        <v>4.2</v>
      </c>
      <c r="L585" s="2" t="inlineStr">
        <is>
          <t>Active</t>
        </is>
      </c>
    </row>
    <row r="586">
      <c r="A586" s="2" t="inlineStr">
        <is>
          <t>EMP00970</t>
        </is>
      </c>
      <c r="B586" s="2" t="inlineStr">
        <is>
          <t>Sales</t>
        </is>
      </c>
      <c r="C586" s="2" t="inlineStr">
        <is>
          <t>Sales Executive</t>
        </is>
      </c>
      <c r="D586" s="2" t="n">
        <v>47</v>
      </c>
      <c r="E586" s="2" t="n">
        <v>1.4</v>
      </c>
      <c r="F586" s="2" t="n">
        <v>672000</v>
      </c>
      <c r="G586" s="2" t="inlineStr">
        <is>
          <t>No</t>
        </is>
      </c>
      <c r="H586" s="2" t="n">
        <v>4</v>
      </c>
      <c r="I586" s="2" t="n">
        <v>3.2</v>
      </c>
      <c r="J586" s="2" t="n">
        <v>2.1</v>
      </c>
      <c r="K586" s="2" t="n">
        <v>3.2</v>
      </c>
      <c r="L586" s="2" t="inlineStr">
        <is>
          <t>Active</t>
        </is>
      </c>
    </row>
    <row r="587">
      <c r="A587" s="2" t="inlineStr">
        <is>
          <t>EMP00986</t>
        </is>
      </c>
      <c r="B587" s="2" t="inlineStr">
        <is>
          <t>Customer Support</t>
        </is>
      </c>
      <c r="C587" s="2" t="inlineStr">
        <is>
          <t>Support Associate</t>
        </is>
      </c>
      <c r="D587" s="2" t="n">
        <v>21</v>
      </c>
      <c r="E587" s="2" t="n">
        <v>5.6</v>
      </c>
      <c r="F587" s="2" t="n">
        <v>547000</v>
      </c>
      <c r="G587" s="2" t="inlineStr">
        <is>
          <t>Yes</t>
        </is>
      </c>
      <c r="H587" s="2" t="n">
        <v>36</v>
      </c>
      <c r="I587" s="2" t="n">
        <v>1.9</v>
      </c>
      <c r="J587" s="2" t="n">
        <v>2.3</v>
      </c>
      <c r="K587" s="2" t="n">
        <v>4</v>
      </c>
      <c r="L587" s="2" t="inlineStr">
        <is>
          <t>Active</t>
        </is>
      </c>
    </row>
    <row r="588">
      <c r="A588" s="2" t="inlineStr">
        <is>
          <t>EMP00150</t>
        </is>
      </c>
      <c r="B588" s="2" t="inlineStr">
        <is>
          <t>Sales</t>
        </is>
      </c>
      <c r="C588" s="2" t="inlineStr">
        <is>
          <t>Sales Executive</t>
        </is>
      </c>
      <c r="D588" s="2" t="n">
        <v>50</v>
      </c>
      <c r="E588" s="2" t="n">
        <v>3.7</v>
      </c>
      <c r="F588" s="2" t="n">
        <v>853000</v>
      </c>
      <c r="G588" s="2" t="inlineStr">
        <is>
          <t>Yes</t>
        </is>
      </c>
      <c r="H588" s="2" t="n">
        <v>47</v>
      </c>
      <c r="I588" s="2" t="n">
        <v>4.1</v>
      </c>
      <c r="J588" s="2" t="n">
        <v>2.3</v>
      </c>
      <c r="K588" s="2" t="n">
        <v>3.3</v>
      </c>
      <c r="L588" s="2" t="inlineStr">
        <is>
          <t>Active</t>
        </is>
      </c>
    </row>
    <row r="589">
      <c r="A589" s="2" t="inlineStr">
        <is>
          <t>EMP00219</t>
        </is>
      </c>
      <c r="B589" s="2" t="inlineStr">
        <is>
          <t>Customer Support</t>
        </is>
      </c>
      <c r="C589" s="2" t="inlineStr">
        <is>
          <t>Support Lead</t>
        </is>
      </c>
      <c r="D589" s="2" t="n">
        <v>24</v>
      </c>
      <c r="E589" s="2" t="n">
        <v>2.1</v>
      </c>
      <c r="F589" s="2" t="n">
        <v>606000</v>
      </c>
      <c r="G589" s="2" t="inlineStr">
        <is>
          <t>Yes</t>
        </is>
      </c>
      <c r="H589" s="2" t="n">
        <v>35</v>
      </c>
      <c r="I589" s="2" t="n">
        <v>3.1</v>
      </c>
      <c r="J589" s="2" t="n">
        <v>1.1</v>
      </c>
      <c r="K589" s="2" t="n">
        <v>3.6</v>
      </c>
      <c r="L589" s="2" t="inlineStr">
        <is>
          <t>Active</t>
        </is>
      </c>
    </row>
    <row r="590">
      <c r="A590" s="2" t="inlineStr">
        <is>
          <t>EMP00240</t>
        </is>
      </c>
      <c r="B590" s="2" t="inlineStr">
        <is>
          <t>Sales</t>
        </is>
      </c>
      <c r="C590" s="2" t="inlineStr">
        <is>
          <t>Sales Manager</t>
        </is>
      </c>
      <c r="D590" s="2" t="n">
        <v>44</v>
      </c>
      <c r="E590" s="2" t="n">
        <v>2.9</v>
      </c>
      <c r="F590" s="2" t="n">
        <v>870000</v>
      </c>
      <c r="G590" s="2" t="inlineStr">
        <is>
          <t>No</t>
        </is>
      </c>
      <c r="H590" s="2" t="n">
        <v>36</v>
      </c>
      <c r="I590" s="2" t="n">
        <v>3</v>
      </c>
      <c r="J590" s="2" t="n">
        <v>1.8</v>
      </c>
      <c r="K590" s="2" t="n">
        <v>3.2</v>
      </c>
      <c r="L590" s="2" t="inlineStr">
        <is>
          <t>Active</t>
        </is>
      </c>
    </row>
    <row r="591">
      <c r="A591" s="2" t="inlineStr">
        <is>
          <t>EMP00752</t>
        </is>
      </c>
      <c r="B591" s="2" t="inlineStr">
        <is>
          <t>Engineering</t>
        </is>
      </c>
      <c r="C591" s="2" t="inlineStr">
        <is>
          <t>Software Engineer</t>
        </is>
      </c>
      <c r="D591" s="2" t="n">
        <v>48</v>
      </c>
      <c r="E591" s="2" t="n">
        <v>1.1</v>
      </c>
      <c r="F591" s="2" t="n">
        <v>903000</v>
      </c>
      <c r="G591" s="2" t="inlineStr">
        <is>
          <t>No</t>
        </is>
      </c>
      <c r="H591" s="2" t="n">
        <v>11</v>
      </c>
      <c r="I591" s="2" t="n">
        <v>3.3</v>
      </c>
      <c r="J591" s="2" t="n">
        <v>4</v>
      </c>
      <c r="K591" s="2" t="n">
        <v>3.6</v>
      </c>
      <c r="L591" s="2" t="inlineStr">
        <is>
          <t>Active</t>
        </is>
      </c>
    </row>
    <row r="592">
      <c r="A592" s="2" t="inlineStr">
        <is>
          <t>EMP00193</t>
        </is>
      </c>
      <c r="B592" s="2" t="inlineStr">
        <is>
          <t>Sales</t>
        </is>
      </c>
      <c r="C592" s="2" t="inlineStr">
        <is>
          <t>Account Manager</t>
        </is>
      </c>
      <c r="D592" s="2" t="n">
        <v>49</v>
      </c>
      <c r="E592" s="2" t="n">
        <v>2.9</v>
      </c>
      <c r="F592" s="2" t="n">
        <v>663000</v>
      </c>
      <c r="G592" s="2" t="inlineStr">
        <is>
          <t>No</t>
        </is>
      </c>
      <c r="H592" s="2" t="n">
        <v>25</v>
      </c>
      <c r="I592" s="2" t="n">
        <v>4.1</v>
      </c>
      <c r="J592" s="2" t="n">
        <v>4.8</v>
      </c>
      <c r="K592" s="2" t="n">
        <v>2.7</v>
      </c>
      <c r="L592" s="2" t="inlineStr">
        <is>
          <t>Resigned</t>
        </is>
      </c>
    </row>
    <row r="593">
      <c r="A593" s="2" t="inlineStr">
        <is>
          <t>EMP00192</t>
        </is>
      </c>
      <c r="B593" s="2" t="inlineStr">
        <is>
          <t>Engineering</t>
        </is>
      </c>
      <c r="C593" s="2" t="inlineStr">
        <is>
          <t>Senior Engineer</t>
        </is>
      </c>
      <c r="D593" s="2" t="n">
        <v>25</v>
      </c>
      <c r="E593" s="2" t="n">
        <v>2.2</v>
      </c>
      <c r="F593" s="2" t="n">
        <v>945000</v>
      </c>
      <c r="G593" s="2" t="inlineStr">
        <is>
          <t>No</t>
        </is>
      </c>
      <c r="H593" s="2" t="n">
        <v>43</v>
      </c>
      <c r="I593" s="2" t="n">
        <v>4.7</v>
      </c>
      <c r="J593" s="2" t="n">
        <v>3.2</v>
      </c>
      <c r="K593" s="2" t="n">
        <v>3.2</v>
      </c>
      <c r="L593" s="2" t="inlineStr">
        <is>
          <t>Resigned</t>
        </is>
      </c>
    </row>
    <row r="594">
      <c r="A594" s="2" t="inlineStr">
        <is>
          <t>EMP01091</t>
        </is>
      </c>
      <c r="B594" s="2" t="inlineStr">
        <is>
          <t>Engineering</t>
        </is>
      </c>
      <c r="C594" s="2" t="inlineStr">
        <is>
          <t>Software Engineer</t>
        </is>
      </c>
      <c r="D594" s="2" t="n">
        <v>44</v>
      </c>
      <c r="E594" s="2" t="n">
        <v>4.4</v>
      </c>
      <c r="F594" s="2" t="n">
        <v>1027000</v>
      </c>
      <c r="G594" s="2" t="inlineStr">
        <is>
          <t>Yes</t>
        </is>
      </c>
      <c r="H594" s="2" t="n">
        <v>31</v>
      </c>
      <c r="I594" s="2" t="n">
        <v>2.5</v>
      </c>
      <c r="J594" s="2" t="n">
        <v>2.6</v>
      </c>
      <c r="K594" s="2" t="n">
        <v>3.2</v>
      </c>
      <c r="L594" s="2" t="inlineStr">
        <is>
          <t>Active</t>
        </is>
      </c>
    </row>
    <row r="595">
      <c r="A595" s="2" t="inlineStr">
        <is>
          <t>EMP00705</t>
        </is>
      </c>
      <c r="B595" s="2" t="inlineStr">
        <is>
          <t>Engineering</t>
        </is>
      </c>
      <c r="C595" s="2" t="inlineStr">
        <is>
          <t>Engineering Manager</t>
        </is>
      </c>
      <c r="D595" s="2" t="n">
        <v>33</v>
      </c>
      <c r="E595" s="2" t="n">
        <v>4.5</v>
      </c>
      <c r="F595" s="2" t="n">
        <v>1115000</v>
      </c>
      <c r="G595" s="2" t="inlineStr">
        <is>
          <t>No</t>
        </is>
      </c>
      <c r="H595" s="2" t="n">
        <v>46</v>
      </c>
      <c r="I595" s="2" t="n">
        <v>2.5</v>
      </c>
      <c r="J595" s="2" t="n">
        <v>1.8</v>
      </c>
      <c r="K595" s="2" t="n">
        <v>3.4</v>
      </c>
      <c r="L595" s="2" t="inlineStr">
        <is>
          <t>Active</t>
        </is>
      </c>
    </row>
    <row r="596">
      <c r="A596" s="2" t="inlineStr">
        <is>
          <t>EMP00738</t>
        </is>
      </c>
      <c r="B596" s="2" t="inlineStr">
        <is>
          <t>Engineering</t>
        </is>
      </c>
      <c r="C596" s="2" t="inlineStr">
        <is>
          <t>Senior Engineer</t>
        </is>
      </c>
      <c r="D596" s="2" t="n">
        <v>36</v>
      </c>
      <c r="E596" s="2" t="n">
        <v>0.8</v>
      </c>
      <c r="F596" s="2" t="n">
        <v>1134000</v>
      </c>
      <c r="G596" s="2" t="inlineStr">
        <is>
          <t>No</t>
        </is>
      </c>
      <c r="H596" s="2" t="n">
        <v>56</v>
      </c>
      <c r="I596" s="2" t="n">
        <v>3.5</v>
      </c>
      <c r="J596" s="2" t="n">
        <v>4.4</v>
      </c>
      <c r="K596" s="2" t="n">
        <v>2.3</v>
      </c>
      <c r="L596" s="2" t="inlineStr">
        <is>
          <t>Active</t>
        </is>
      </c>
    </row>
    <row r="597">
      <c r="A597" s="2" t="inlineStr">
        <is>
          <t>EMP00624</t>
        </is>
      </c>
      <c r="B597" s="2" t="inlineStr">
        <is>
          <t>Operations</t>
        </is>
      </c>
      <c r="C597" s="2" t="inlineStr">
        <is>
          <t>Ops Analyst</t>
        </is>
      </c>
      <c r="D597" s="2" t="n">
        <v>33</v>
      </c>
      <c r="E597" s="2" t="n">
        <v>8</v>
      </c>
      <c r="F597" s="2" t="n">
        <v>825000</v>
      </c>
      <c r="G597" s="2" t="inlineStr">
        <is>
          <t>No</t>
        </is>
      </c>
      <c r="H597" s="2" t="n">
        <v>48</v>
      </c>
      <c r="I597" s="2" t="n">
        <v>4.2</v>
      </c>
      <c r="J597" s="2" t="n">
        <v>3.8</v>
      </c>
      <c r="K597" s="2" t="n">
        <v>3.7</v>
      </c>
      <c r="L597" s="2" t="inlineStr">
        <is>
          <t>Active</t>
        </is>
      </c>
    </row>
    <row r="598">
      <c r="A598" s="2" t="inlineStr">
        <is>
          <t>EMP00977</t>
        </is>
      </c>
      <c r="B598" s="2" t="inlineStr">
        <is>
          <t>Operations</t>
        </is>
      </c>
      <c r="C598" s="2" t="inlineStr">
        <is>
          <t>Ops Manager</t>
        </is>
      </c>
      <c r="D598" s="2" t="n">
        <v>39</v>
      </c>
      <c r="E598" s="2" t="n">
        <v>3.6</v>
      </c>
      <c r="F598" s="2" t="n">
        <v>676000</v>
      </c>
      <c r="G598" s="2" t="inlineStr">
        <is>
          <t>No</t>
        </is>
      </c>
      <c r="H598" s="2" t="n">
        <v>53</v>
      </c>
      <c r="I598" s="2" t="n">
        <v>1.8</v>
      </c>
      <c r="J598" s="2" t="n">
        <v>2.6</v>
      </c>
      <c r="K598" s="2" t="n">
        <v>3.2</v>
      </c>
      <c r="L598" s="2" t="inlineStr">
        <is>
          <t>Resigned</t>
        </is>
      </c>
    </row>
    <row r="599">
      <c r="A599" s="2" t="inlineStr">
        <is>
          <t>EMP00741</t>
        </is>
      </c>
      <c r="B599" s="2" t="inlineStr">
        <is>
          <t>Sales</t>
        </is>
      </c>
      <c r="C599" s="2" t="inlineStr">
        <is>
          <t>Account Manager</t>
        </is>
      </c>
      <c r="D599" s="2" t="n">
        <v>42</v>
      </c>
      <c r="E599" s="2" t="n">
        <v>5.9</v>
      </c>
      <c r="F599" s="2" t="n">
        <v>968000</v>
      </c>
      <c r="G599" s="2" t="inlineStr">
        <is>
          <t>Yes</t>
        </is>
      </c>
      <c r="H599" s="2" t="n">
        <v>32</v>
      </c>
      <c r="I599" s="2" t="n">
        <v>5</v>
      </c>
      <c r="J599" s="2" t="n">
        <v>2.6</v>
      </c>
      <c r="K599" s="2" t="n">
        <v>2.7</v>
      </c>
      <c r="L599" s="2" t="inlineStr">
        <is>
          <t>Resigned</t>
        </is>
      </c>
    </row>
    <row r="600">
      <c r="A600" s="2" t="inlineStr">
        <is>
          <t>EMP00583</t>
        </is>
      </c>
      <c r="B600" s="2" t="inlineStr">
        <is>
          <t>Sales</t>
        </is>
      </c>
      <c r="C600" s="2" t="inlineStr">
        <is>
          <t>Sales Manager</t>
        </is>
      </c>
      <c r="D600" s="2" t="n">
        <v>47</v>
      </c>
      <c r="E600" s="2" t="n">
        <v>1.6</v>
      </c>
      <c r="F600" s="2" t="n">
        <v>737000</v>
      </c>
      <c r="G600" s="2" t="inlineStr">
        <is>
          <t>No</t>
        </is>
      </c>
      <c r="H600" s="2" t="n">
        <v>10</v>
      </c>
      <c r="I600" s="2" t="n">
        <v>2.9</v>
      </c>
      <c r="J600" s="2" t="n">
        <v>2.5</v>
      </c>
      <c r="K600" s="2" t="n">
        <v>2.1</v>
      </c>
      <c r="L600" s="2" t="inlineStr">
        <is>
          <t>Active</t>
        </is>
      </c>
    </row>
    <row r="601">
      <c r="A601" s="2" t="inlineStr">
        <is>
          <t>EMP01131</t>
        </is>
      </c>
      <c r="B601" s="2" t="inlineStr">
        <is>
          <t>Customer Support</t>
        </is>
      </c>
      <c r="C601" s="2" t="inlineStr">
        <is>
          <t>Support Lead</t>
        </is>
      </c>
      <c r="D601" s="2" t="n">
        <v>26</v>
      </c>
      <c r="E601" s="2" t="n">
        <v>2.9</v>
      </c>
      <c r="F601" s="2" t="n">
        <v>483000</v>
      </c>
      <c r="G601" s="2" t="inlineStr">
        <is>
          <t>No</t>
        </is>
      </c>
      <c r="H601" s="2" t="n">
        <v>24</v>
      </c>
      <c r="I601" s="2" t="n">
        <v>3</v>
      </c>
      <c r="J601" s="2" t="n">
        <v>4.9</v>
      </c>
      <c r="K601" s="2" t="n">
        <v>3.3</v>
      </c>
      <c r="L601" s="2" t="inlineStr">
        <is>
          <t>Active</t>
        </is>
      </c>
    </row>
    <row r="602">
      <c r="A602" s="2" t="inlineStr">
        <is>
          <t>EMP00324</t>
        </is>
      </c>
      <c r="B602" s="2" t="inlineStr">
        <is>
          <t>Operations</t>
        </is>
      </c>
      <c r="C602" s="2" t="inlineStr">
        <is>
          <t>Ops Manager</t>
        </is>
      </c>
      <c r="D602" s="2" t="n">
        <v>28</v>
      </c>
      <c r="E602" s="2" t="n">
        <v>0.4</v>
      </c>
      <c r="F602" s="2" t="n">
        <v>643000</v>
      </c>
      <c r="G602" s="2" t="inlineStr">
        <is>
          <t>Yes</t>
        </is>
      </c>
      <c r="H602" s="2" t="n">
        <v>33</v>
      </c>
      <c r="I602" s="2" t="n">
        <v>3.6</v>
      </c>
      <c r="J602" s="2" t="n">
        <v>2.4</v>
      </c>
      <c r="K602" s="2" t="n">
        <v>2.6</v>
      </c>
      <c r="L602" s="2" t="inlineStr">
        <is>
          <t>Active</t>
        </is>
      </c>
    </row>
    <row r="603">
      <c r="A603" s="2" t="inlineStr">
        <is>
          <t>EMP00968</t>
        </is>
      </c>
      <c r="B603" s="2" t="inlineStr">
        <is>
          <t>Sales</t>
        </is>
      </c>
      <c r="C603" s="2" t="inlineStr">
        <is>
          <t>Sales Executive</t>
        </is>
      </c>
      <c r="D603" s="2" t="n">
        <v>35</v>
      </c>
      <c r="E603" s="2" t="n">
        <v>4.8</v>
      </c>
      <c r="F603" s="2" t="n">
        <v>818000</v>
      </c>
      <c r="G603" s="2" t="inlineStr">
        <is>
          <t>No</t>
        </is>
      </c>
      <c r="H603" s="2" t="n">
        <v>43</v>
      </c>
      <c r="I603" s="2" t="n">
        <v>3.1</v>
      </c>
      <c r="J603" s="2" t="n">
        <v>2.9</v>
      </c>
      <c r="K603" s="2" t="n">
        <v>3.1</v>
      </c>
      <c r="L603" s="2" t="inlineStr">
        <is>
          <t>Active</t>
        </is>
      </c>
    </row>
    <row r="604">
      <c r="A604" s="2" t="inlineStr">
        <is>
          <t>EMP00894</t>
        </is>
      </c>
      <c r="B604" s="2" t="inlineStr">
        <is>
          <t>Sales</t>
        </is>
      </c>
      <c r="C604" s="2" t="inlineStr">
        <is>
          <t>Sales Executive</t>
        </is>
      </c>
      <c r="D604" s="2" t="n">
        <v>44</v>
      </c>
      <c r="E604" s="2" t="n">
        <v>0.9</v>
      </c>
      <c r="F604" s="2" t="n">
        <v>690000</v>
      </c>
      <c r="G604" s="2" t="inlineStr">
        <is>
          <t>No</t>
        </is>
      </c>
      <c r="H604" s="2" t="n">
        <v>41</v>
      </c>
      <c r="I604" s="2" t="n">
        <v>3.6</v>
      </c>
      <c r="J604" s="2" t="n">
        <v>1.9</v>
      </c>
      <c r="K604" s="2" t="n">
        <v>3.3</v>
      </c>
      <c r="L604" s="2" t="inlineStr">
        <is>
          <t>Active</t>
        </is>
      </c>
    </row>
    <row r="605">
      <c r="A605" s="2" t="inlineStr">
        <is>
          <t>EMP00688</t>
        </is>
      </c>
      <c r="B605" s="2" t="inlineStr">
        <is>
          <t>Customer Support</t>
        </is>
      </c>
      <c r="C605" s="2" t="inlineStr">
        <is>
          <t>Support Associate</t>
        </is>
      </c>
      <c r="D605" s="2" t="n">
        <v>52</v>
      </c>
      <c r="E605" s="2" t="n">
        <v>3.6</v>
      </c>
      <c r="F605" s="2" t="n">
        <v>522000</v>
      </c>
      <c r="G605" s="2" t="inlineStr">
        <is>
          <t>Yes</t>
        </is>
      </c>
      <c r="H605" s="2" t="n">
        <v>51</v>
      </c>
      <c r="I605" s="2" t="n">
        <v>3.4</v>
      </c>
      <c r="J605" s="2" t="n">
        <v>2</v>
      </c>
      <c r="K605" s="2" t="n">
        <v>3.4</v>
      </c>
      <c r="L605" s="2" t="inlineStr">
        <is>
          <t>Active</t>
        </is>
      </c>
    </row>
    <row r="606">
      <c r="A606" s="2" t="inlineStr">
        <is>
          <t>EMP00438</t>
        </is>
      </c>
      <c r="B606" s="2" t="inlineStr">
        <is>
          <t>Operations</t>
        </is>
      </c>
      <c r="C606" s="2" t="inlineStr">
        <is>
          <t>Process Lead</t>
        </is>
      </c>
      <c r="D606" s="2" t="n">
        <v>56</v>
      </c>
      <c r="E606" s="2" t="n">
        <v>2</v>
      </c>
      <c r="F606" s="2" t="n">
        <v>706000</v>
      </c>
      <c r="G606" s="2" t="inlineStr">
        <is>
          <t>No</t>
        </is>
      </c>
      <c r="H606" s="2" t="n">
        <v>37</v>
      </c>
      <c r="I606" s="2" t="n">
        <v>2.7</v>
      </c>
      <c r="J606" s="2" t="n">
        <v>3.6</v>
      </c>
      <c r="K606" s="2" t="n">
        <v>2.8</v>
      </c>
      <c r="L606" s="2" t="inlineStr">
        <is>
          <t>Active</t>
        </is>
      </c>
    </row>
    <row r="607">
      <c r="A607" s="2" t="inlineStr">
        <is>
          <t>EMP00807</t>
        </is>
      </c>
      <c r="B607" s="2" t="inlineStr">
        <is>
          <t>Finance</t>
        </is>
      </c>
      <c r="C607" s="2" t="inlineStr">
        <is>
          <t>Finance Manager</t>
        </is>
      </c>
      <c r="D607" s="2" t="n">
        <v>37</v>
      </c>
      <c r="E607" s="2" t="n">
        <v>2.9</v>
      </c>
      <c r="F607" s="2" t="n">
        <v>889000</v>
      </c>
      <c r="G607" s="2" t="inlineStr">
        <is>
          <t>No</t>
        </is>
      </c>
      <c r="H607" s="2" t="n">
        <v>11</v>
      </c>
      <c r="I607" s="2" t="n">
        <v>3.1</v>
      </c>
      <c r="J607" s="2" t="n">
        <v>4.3</v>
      </c>
      <c r="K607" s="2" t="n">
        <v>3.3</v>
      </c>
      <c r="L607" s="2" t="inlineStr">
        <is>
          <t>Active</t>
        </is>
      </c>
    </row>
    <row r="608">
      <c r="A608" s="2" t="inlineStr">
        <is>
          <t>EMP00877</t>
        </is>
      </c>
      <c r="B608" s="2" t="inlineStr">
        <is>
          <t>Engineering</t>
        </is>
      </c>
      <c r="C608" s="2" t="inlineStr">
        <is>
          <t>Software Engineer</t>
        </is>
      </c>
      <c r="D608" s="2" t="n">
        <v>31</v>
      </c>
      <c r="E608" s="2" t="n">
        <v>0.7</v>
      </c>
      <c r="F608" s="2" t="n">
        <v>923000</v>
      </c>
      <c r="G608" s="2" t="inlineStr">
        <is>
          <t>Yes</t>
        </is>
      </c>
      <c r="H608" s="2" t="n">
        <v>12</v>
      </c>
      <c r="I608" s="2" t="n">
        <v>4.8</v>
      </c>
      <c r="J608" s="2" t="n">
        <v>4.4</v>
      </c>
      <c r="K608" s="2" t="n">
        <v>4.4</v>
      </c>
      <c r="L608" s="2" t="inlineStr">
        <is>
          <t>Active</t>
        </is>
      </c>
    </row>
    <row r="609">
      <c r="A609" s="2" t="inlineStr">
        <is>
          <t>EMP00342</t>
        </is>
      </c>
      <c r="B609" s="2" t="inlineStr">
        <is>
          <t>Customer Support</t>
        </is>
      </c>
      <c r="C609" s="2" t="inlineStr">
        <is>
          <t>Support Associate</t>
        </is>
      </c>
      <c r="D609" s="2" t="n">
        <v>33</v>
      </c>
      <c r="E609" s="2" t="n">
        <v>0.4</v>
      </c>
      <c r="F609" s="2" t="n">
        <v>545000</v>
      </c>
      <c r="G609" s="2" t="inlineStr">
        <is>
          <t>No</t>
        </is>
      </c>
      <c r="H609" s="2" t="n">
        <v>13</v>
      </c>
      <c r="I609" s="2" t="n">
        <v>3</v>
      </c>
      <c r="J609" s="2" t="n">
        <v>1.8</v>
      </c>
      <c r="K609" s="2" t="n">
        <v>4</v>
      </c>
      <c r="L609" s="2" t="inlineStr">
        <is>
          <t>Active</t>
        </is>
      </c>
    </row>
    <row r="610">
      <c r="A610" s="2" t="inlineStr">
        <is>
          <t>EMP00003</t>
        </is>
      </c>
      <c r="B610" s="2" t="inlineStr">
        <is>
          <t>Customer Support</t>
        </is>
      </c>
      <c r="C610" s="2" t="inlineStr">
        <is>
          <t>Support Manager</t>
        </is>
      </c>
      <c r="D610" s="2" t="n">
        <v>53</v>
      </c>
      <c r="E610" s="2" t="n">
        <v>1.5</v>
      </c>
      <c r="F610" s="2" t="n">
        <v>518000</v>
      </c>
      <c r="G610" s="2" t="inlineStr">
        <is>
          <t>Yes</t>
        </is>
      </c>
      <c r="H610" s="2" t="n">
        <v>10</v>
      </c>
      <c r="I610" s="2" t="n">
        <v>3.4</v>
      </c>
      <c r="J610" s="2" t="n">
        <v>3.7</v>
      </c>
      <c r="K610" s="2" t="n">
        <v>3.2</v>
      </c>
      <c r="L610" s="2" t="inlineStr">
        <is>
          <t>Active</t>
        </is>
      </c>
    </row>
    <row r="611">
      <c r="A611" s="2" t="inlineStr">
        <is>
          <t>EMP00230</t>
        </is>
      </c>
      <c r="B611" s="2" t="inlineStr">
        <is>
          <t>Sales</t>
        </is>
      </c>
      <c r="C611" s="2" t="inlineStr">
        <is>
          <t>Sales Executive</t>
        </is>
      </c>
      <c r="D611" s="2" t="n">
        <v>50</v>
      </c>
      <c r="E611" s="2" t="n">
        <v>11.5</v>
      </c>
      <c r="F611" s="2" t="n">
        <v>1003000</v>
      </c>
      <c r="G611" s="2" t="inlineStr">
        <is>
          <t>Yes</t>
        </is>
      </c>
      <c r="H611" s="2" t="n">
        <v>15</v>
      </c>
      <c r="I611" s="2" t="n">
        <v>3.7</v>
      </c>
      <c r="J611" s="2" t="n">
        <v>5</v>
      </c>
      <c r="K611" s="2" t="n">
        <v>3</v>
      </c>
      <c r="L611" s="2" t="inlineStr">
        <is>
          <t>Active</t>
        </is>
      </c>
    </row>
    <row r="612">
      <c r="A612" s="2" t="inlineStr">
        <is>
          <t>EMP00740</t>
        </is>
      </c>
      <c r="B612" s="2" t="inlineStr">
        <is>
          <t>Engineering</t>
        </is>
      </c>
      <c r="C612" s="2" t="inlineStr">
        <is>
          <t>Senior Engineer</t>
        </is>
      </c>
      <c r="D612" s="2" t="n">
        <v>32</v>
      </c>
      <c r="E612" s="2" t="n">
        <v>2.9</v>
      </c>
      <c r="F612" s="2" t="n">
        <v>1075000</v>
      </c>
      <c r="G612" s="2" t="inlineStr">
        <is>
          <t>No</t>
        </is>
      </c>
      <c r="H612" s="2" t="n">
        <v>20</v>
      </c>
      <c r="I612" s="2" t="n">
        <v>4.2</v>
      </c>
      <c r="J612" s="2" t="n">
        <v>3.3</v>
      </c>
      <c r="K612" s="2" t="n">
        <v>3.7</v>
      </c>
      <c r="L612" s="2" t="inlineStr">
        <is>
          <t>Active</t>
        </is>
      </c>
    </row>
    <row r="613">
      <c r="A613" s="2" t="inlineStr">
        <is>
          <t>EMP00683</t>
        </is>
      </c>
      <c r="B613" s="2" t="inlineStr">
        <is>
          <t>Sales</t>
        </is>
      </c>
      <c r="C613" s="2" t="inlineStr">
        <is>
          <t>Sales Executive</t>
        </is>
      </c>
      <c r="D613" s="2" t="n">
        <v>42</v>
      </c>
      <c r="E613" s="2" t="n">
        <v>10.3</v>
      </c>
      <c r="F613" s="2" t="n">
        <v>945000</v>
      </c>
      <c r="G613" s="2" t="inlineStr">
        <is>
          <t>Yes</t>
        </is>
      </c>
      <c r="H613" s="2" t="n">
        <v>8</v>
      </c>
      <c r="I613" s="2" t="n">
        <v>2.4</v>
      </c>
      <c r="J613" s="2" t="n">
        <v>2.7</v>
      </c>
      <c r="K613" s="2" t="n">
        <v>2.9</v>
      </c>
      <c r="L613" s="2" t="inlineStr">
        <is>
          <t>Active</t>
        </is>
      </c>
    </row>
    <row r="614">
      <c r="A614" s="2" t="inlineStr">
        <is>
          <t>EMP00077</t>
        </is>
      </c>
      <c r="B614" s="2" t="inlineStr">
        <is>
          <t>Engineering</t>
        </is>
      </c>
      <c r="C614" s="2" t="inlineStr">
        <is>
          <t>Senior Engineer</t>
        </is>
      </c>
      <c r="D614" s="2" t="n">
        <v>45</v>
      </c>
      <c r="E614" s="2" t="n">
        <v>6.1</v>
      </c>
      <c r="F614" s="2" t="n">
        <v>1324000</v>
      </c>
      <c r="G614" s="2" t="inlineStr">
        <is>
          <t>No</t>
        </is>
      </c>
      <c r="H614" s="2" t="n">
        <v>53</v>
      </c>
      <c r="I614" s="2" t="n">
        <v>2.7</v>
      </c>
      <c r="J614" s="2" t="n">
        <v>1.9</v>
      </c>
      <c r="K614" s="2" t="n">
        <v>2.1</v>
      </c>
      <c r="L614" s="2" t="inlineStr">
        <is>
          <t>Active</t>
        </is>
      </c>
    </row>
    <row r="615">
      <c r="A615" s="2" t="inlineStr">
        <is>
          <t>EMP01126</t>
        </is>
      </c>
      <c r="B615" s="2" t="inlineStr">
        <is>
          <t>Operations</t>
        </is>
      </c>
      <c r="C615" s="2" t="inlineStr">
        <is>
          <t>Ops Analyst</t>
        </is>
      </c>
      <c r="D615" s="2" t="n">
        <v>36</v>
      </c>
      <c r="E615" s="2" t="n">
        <v>4.6</v>
      </c>
      <c r="F615" s="2" t="n">
        <v>711000</v>
      </c>
      <c r="G615" s="2" t="inlineStr">
        <is>
          <t>No</t>
        </is>
      </c>
      <c r="H615" s="2" t="n">
        <v>25</v>
      </c>
      <c r="I615" s="2" t="n">
        <v>3</v>
      </c>
      <c r="J615" s="2" t="n">
        <v>3.1</v>
      </c>
      <c r="K615" s="2" t="n">
        <v>3.7</v>
      </c>
      <c r="L615" s="2" t="inlineStr">
        <is>
          <t>Resigned</t>
        </is>
      </c>
    </row>
    <row r="616">
      <c r="A616" s="2" t="inlineStr">
        <is>
          <t>EMP00372</t>
        </is>
      </c>
      <c r="B616" s="2" t="inlineStr">
        <is>
          <t>Engineering</t>
        </is>
      </c>
      <c r="C616" s="2" t="inlineStr">
        <is>
          <t>Software Engineer</t>
        </is>
      </c>
      <c r="D616" s="2" t="n">
        <v>29</v>
      </c>
      <c r="E616" s="2" t="n">
        <v>3</v>
      </c>
      <c r="F616" s="2" t="n">
        <v>1028000</v>
      </c>
      <c r="G616" s="2" t="inlineStr">
        <is>
          <t>No</t>
        </is>
      </c>
      <c r="H616" s="2" t="n">
        <v>52</v>
      </c>
      <c r="I616" s="2" t="n">
        <v>2.2</v>
      </c>
      <c r="J616" s="2" t="n">
        <v>2.5</v>
      </c>
      <c r="K616" s="2" t="n">
        <v>3.4</v>
      </c>
      <c r="L616" s="2" t="inlineStr">
        <is>
          <t>Active</t>
        </is>
      </c>
    </row>
    <row r="617">
      <c r="A617" s="2" t="inlineStr">
        <is>
          <t>EMP00181</t>
        </is>
      </c>
      <c r="B617" s="2" t="inlineStr">
        <is>
          <t>Customer Support</t>
        </is>
      </c>
      <c r="C617" s="2" t="inlineStr">
        <is>
          <t>Support Lead</t>
        </is>
      </c>
      <c r="D617" s="2" t="n">
        <v>41</v>
      </c>
      <c r="E617" s="2" t="n">
        <v>11.6</v>
      </c>
      <c r="F617" s="2" t="n">
        <v>779000</v>
      </c>
      <c r="G617" s="2" t="inlineStr">
        <is>
          <t>No</t>
        </is>
      </c>
      <c r="H617" s="2" t="n">
        <v>60</v>
      </c>
      <c r="I617" s="2" t="n">
        <v>3.1</v>
      </c>
      <c r="J617" s="2" t="n">
        <v>1.5</v>
      </c>
      <c r="K617" s="2" t="n">
        <v>2</v>
      </c>
      <c r="L617" s="2" t="inlineStr">
        <is>
          <t>Active</t>
        </is>
      </c>
    </row>
    <row r="618">
      <c r="A618" s="2" t="inlineStr">
        <is>
          <t>EMP00745</t>
        </is>
      </c>
      <c r="B618" s="2" t="inlineStr">
        <is>
          <t>Operations</t>
        </is>
      </c>
      <c r="C618" s="2" t="inlineStr">
        <is>
          <t>Process Lead</t>
        </is>
      </c>
      <c r="D618" s="2" t="n">
        <v>43</v>
      </c>
      <c r="E618" s="2" t="n">
        <v>1.1</v>
      </c>
      <c r="F618" s="2" t="n">
        <v>719000</v>
      </c>
      <c r="G618" s="2" t="inlineStr">
        <is>
          <t>No</t>
        </is>
      </c>
      <c r="H618" s="2" t="n">
        <v>27</v>
      </c>
      <c r="I618" s="2" t="n">
        <v>3.1</v>
      </c>
      <c r="J618" s="2" t="n">
        <v>3</v>
      </c>
      <c r="K618" s="2" t="n">
        <v>2.6</v>
      </c>
      <c r="L618" s="2" t="inlineStr">
        <is>
          <t>Active</t>
        </is>
      </c>
    </row>
    <row r="619">
      <c r="A619" s="2" t="inlineStr">
        <is>
          <t>EMP00578</t>
        </is>
      </c>
      <c r="B619" s="2" t="inlineStr">
        <is>
          <t>Operations</t>
        </is>
      </c>
      <c r="C619" s="2" t="inlineStr">
        <is>
          <t>Process Lead</t>
        </is>
      </c>
      <c r="D619" s="2" t="n">
        <v>27</v>
      </c>
      <c r="E619" s="2" t="n">
        <v>3.7</v>
      </c>
      <c r="F619" s="2" t="n">
        <v>676000</v>
      </c>
      <c r="G619" s="2" t="inlineStr">
        <is>
          <t>Yes</t>
        </is>
      </c>
      <c r="H619" s="2" t="n">
        <v>27</v>
      </c>
      <c r="I619" s="2" t="n">
        <v>3.8</v>
      </c>
      <c r="J619" s="2" t="n">
        <v>2.2</v>
      </c>
      <c r="K619" s="2" t="n">
        <v>3.1</v>
      </c>
      <c r="L619" s="2" t="inlineStr">
        <is>
          <t>Active</t>
        </is>
      </c>
    </row>
    <row r="620">
      <c r="A620" s="2" t="inlineStr">
        <is>
          <t>EMP00770</t>
        </is>
      </c>
      <c r="B620" s="2" t="inlineStr">
        <is>
          <t>Finance</t>
        </is>
      </c>
      <c r="C620" s="2" t="inlineStr">
        <is>
          <t>Accountant</t>
        </is>
      </c>
      <c r="D620" s="2" t="n">
        <v>44</v>
      </c>
      <c r="E620" s="2" t="n">
        <v>3.3</v>
      </c>
      <c r="F620" s="2" t="n">
        <v>780000</v>
      </c>
      <c r="G620" s="2" t="inlineStr">
        <is>
          <t>No</t>
        </is>
      </c>
      <c r="H620" s="2" t="n">
        <v>42</v>
      </c>
      <c r="I620" s="2" t="n">
        <v>2.4</v>
      </c>
      <c r="J620" s="2" t="n">
        <v>4.9</v>
      </c>
      <c r="K620" s="2" t="n">
        <v>3.5</v>
      </c>
      <c r="L620" s="2" t="inlineStr">
        <is>
          <t>Active</t>
        </is>
      </c>
    </row>
    <row r="621">
      <c r="A621" s="2" t="inlineStr">
        <is>
          <t>EMP00795</t>
        </is>
      </c>
      <c r="B621" s="2" t="inlineStr">
        <is>
          <t>Sales</t>
        </is>
      </c>
      <c r="C621" s="2" t="inlineStr">
        <is>
          <t>Sales Manager</t>
        </is>
      </c>
      <c r="D621" s="2" t="n">
        <v>30</v>
      </c>
      <c r="E621" s="2" t="n">
        <v>3.5</v>
      </c>
      <c r="F621" s="2" t="n">
        <v>839000</v>
      </c>
      <c r="G621" s="2" t="inlineStr">
        <is>
          <t>No</t>
        </is>
      </c>
      <c r="H621" s="2" t="n">
        <v>26</v>
      </c>
      <c r="I621" s="2" t="n">
        <v>3.8</v>
      </c>
      <c r="J621" s="2" t="n">
        <v>4.4</v>
      </c>
      <c r="K621" s="2" t="n">
        <v>3.5</v>
      </c>
      <c r="L621" s="2" t="inlineStr">
        <is>
          <t>Active</t>
        </is>
      </c>
    </row>
    <row r="622">
      <c r="A622" s="2" t="inlineStr">
        <is>
          <t>EMP01172</t>
        </is>
      </c>
      <c r="B622" s="2" t="inlineStr">
        <is>
          <t>Finance</t>
        </is>
      </c>
      <c r="C622" s="2" t="inlineStr">
        <is>
          <t>Finance Manager</t>
        </is>
      </c>
      <c r="D622" s="2" t="n">
        <v>43</v>
      </c>
      <c r="E622" s="2" t="n">
        <v>5.1</v>
      </c>
      <c r="F622" s="2" t="n">
        <v>1093000</v>
      </c>
      <c r="G622" s="2" t="inlineStr">
        <is>
          <t>Yes</t>
        </is>
      </c>
      <c r="H622" s="2" t="n">
        <v>32</v>
      </c>
      <c r="I622" s="2" t="n">
        <v>5</v>
      </c>
      <c r="J622" s="2" t="n">
        <v>3.6</v>
      </c>
      <c r="K622" s="2" t="n">
        <v>3</v>
      </c>
      <c r="L622" s="2" t="inlineStr">
        <is>
          <t>Active</t>
        </is>
      </c>
    </row>
    <row r="623">
      <c r="A623" s="2" t="inlineStr">
        <is>
          <t>EMP01035</t>
        </is>
      </c>
      <c r="B623" s="2" t="inlineStr">
        <is>
          <t>Engineering</t>
        </is>
      </c>
      <c r="C623" s="2" t="inlineStr">
        <is>
          <t>Software Engineer</t>
        </is>
      </c>
      <c r="D623" s="2" t="n">
        <v>29</v>
      </c>
      <c r="E623" s="2" t="n">
        <v>2.8</v>
      </c>
      <c r="F623" s="2" t="n">
        <v>1029000</v>
      </c>
      <c r="G623" s="2" t="inlineStr">
        <is>
          <t>No</t>
        </is>
      </c>
      <c r="H623" s="2" t="n">
        <v>34</v>
      </c>
      <c r="I623" s="2" t="n">
        <v>3.5</v>
      </c>
      <c r="J623" s="2" t="n">
        <v>2.1</v>
      </c>
      <c r="K623" s="2" t="n">
        <v>3.8</v>
      </c>
      <c r="L623" s="2" t="inlineStr">
        <is>
          <t>Active</t>
        </is>
      </c>
    </row>
    <row r="624">
      <c r="A624" s="2" t="inlineStr">
        <is>
          <t>EMP00870</t>
        </is>
      </c>
      <c r="B624" s="2" t="inlineStr">
        <is>
          <t>Sales</t>
        </is>
      </c>
      <c r="C624" s="2" t="inlineStr">
        <is>
          <t>Sales Manager</t>
        </is>
      </c>
      <c r="D624" s="2" t="n">
        <v>38</v>
      </c>
      <c r="E624" s="2" t="n">
        <v>3.9</v>
      </c>
      <c r="F624" s="2" t="n">
        <v>793000</v>
      </c>
      <c r="G624" s="2" t="inlineStr">
        <is>
          <t>No</t>
        </is>
      </c>
      <c r="H624" s="2" t="n">
        <v>50</v>
      </c>
      <c r="I624" s="2" t="n">
        <v>3.3</v>
      </c>
      <c r="J624" s="2" t="n">
        <v>3.5</v>
      </c>
      <c r="K624" s="2" t="n">
        <v>3.6</v>
      </c>
      <c r="L624" s="2" t="inlineStr">
        <is>
          <t>Active</t>
        </is>
      </c>
    </row>
    <row r="625">
      <c r="A625" s="2" t="inlineStr">
        <is>
          <t>EMP00590</t>
        </is>
      </c>
      <c r="B625" s="2" t="inlineStr">
        <is>
          <t>Sales</t>
        </is>
      </c>
      <c r="C625" s="2" t="inlineStr">
        <is>
          <t>Account Manager</t>
        </is>
      </c>
      <c r="D625" s="2" t="n">
        <v>36</v>
      </c>
      <c r="E625" s="2" t="n">
        <v>2.3</v>
      </c>
      <c r="F625" s="2" t="n">
        <v>660000</v>
      </c>
      <c r="G625" s="2" t="inlineStr">
        <is>
          <t>No</t>
        </is>
      </c>
      <c r="H625" s="2" t="n">
        <v>19</v>
      </c>
      <c r="I625" s="2" t="n">
        <v>4.2</v>
      </c>
      <c r="J625" s="2" t="n">
        <v>4.3</v>
      </c>
      <c r="K625" s="2" t="n">
        <v>3</v>
      </c>
      <c r="L625" s="2" t="inlineStr">
        <is>
          <t>Active</t>
        </is>
      </c>
    </row>
    <row r="626">
      <c r="A626" s="2" t="inlineStr">
        <is>
          <t>EMP01045</t>
        </is>
      </c>
      <c r="B626" s="2" t="inlineStr">
        <is>
          <t>Sales</t>
        </is>
      </c>
      <c r="C626" s="2" t="inlineStr">
        <is>
          <t>Sales Manager</t>
        </is>
      </c>
      <c r="D626" s="2" t="n">
        <v>38</v>
      </c>
      <c r="E626" s="2" t="n">
        <v>3.8</v>
      </c>
      <c r="F626" s="2" t="n">
        <v>717000</v>
      </c>
      <c r="G626" s="2" t="inlineStr">
        <is>
          <t>No</t>
        </is>
      </c>
      <c r="H626" s="2" t="n">
        <v>28</v>
      </c>
      <c r="I626" s="2" t="n">
        <v>3.8</v>
      </c>
      <c r="J626" s="2" t="n">
        <v>3.8</v>
      </c>
      <c r="K626" s="2" t="n">
        <v>3.3</v>
      </c>
      <c r="L626" s="2" t="inlineStr">
        <is>
          <t>Active</t>
        </is>
      </c>
    </row>
    <row r="627">
      <c r="A627" s="2" t="inlineStr">
        <is>
          <t>EMP00854</t>
        </is>
      </c>
      <c r="B627" s="2" t="inlineStr">
        <is>
          <t>Customer Support</t>
        </is>
      </c>
      <c r="C627" s="2" t="inlineStr">
        <is>
          <t>Support Lead</t>
        </is>
      </c>
      <c r="D627" s="2" t="n">
        <v>44</v>
      </c>
      <c r="E627" s="2" t="n">
        <v>5.9</v>
      </c>
      <c r="F627" s="2" t="n">
        <v>578000</v>
      </c>
      <c r="G627" s="2" t="inlineStr">
        <is>
          <t>No</t>
        </is>
      </c>
      <c r="H627" s="2" t="n">
        <v>50</v>
      </c>
      <c r="I627" s="2" t="n">
        <v>2.7</v>
      </c>
      <c r="J627" s="2" t="n">
        <v>1.6</v>
      </c>
      <c r="K627" s="2" t="n">
        <v>4.1</v>
      </c>
      <c r="L627" s="2" t="inlineStr">
        <is>
          <t>Resigned</t>
        </is>
      </c>
    </row>
    <row r="628">
      <c r="A628" s="2" t="inlineStr">
        <is>
          <t>EMP01028</t>
        </is>
      </c>
      <c r="B628" s="2" t="inlineStr">
        <is>
          <t>Engineering</t>
        </is>
      </c>
      <c r="C628" s="2" t="inlineStr">
        <is>
          <t>Engineering Manager</t>
        </is>
      </c>
      <c r="D628" s="2" t="n">
        <v>31</v>
      </c>
      <c r="E628" s="2" t="n">
        <v>2.6</v>
      </c>
      <c r="F628" s="2" t="n">
        <v>1127000</v>
      </c>
      <c r="G628" s="2" t="inlineStr">
        <is>
          <t>No</t>
        </is>
      </c>
      <c r="H628" s="2" t="n">
        <v>59</v>
      </c>
      <c r="I628" s="2" t="n">
        <v>4.2</v>
      </c>
      <c r="J628" s="2" t="n">
        <v>3.4</v>
      </c>
      <c r="K628" s="2" t="n">
        <v>4.1</v>
      </c>
      <c r="L628" s="2" t="inlineStr">
        <is>
          <t>Active</t>
        </is>
      </c>
    </row>
    <row r="629">
      <c r="A629" s="2" t="inlineStr">
        <is>
          <t>EMP00931</t>
        </is>
      </c>
      <c r="B629" s="2" t="inlineStr">
        <is>
          <t>Engineering</t>
        </is>
      </c>
      <c r="C629" s="2" t="inlineStr">
        <is>
          <t>Senior Engineer</t>
        </is>
      </c>
      <c r="D629" s="2" t="n">
        <v>35</v>
      </c>
      <c r="E629" s="2" t="n">
        <v>7.3</v>
      </c>
      <c r="F629" s="2" t="n">
        <v>1364000</v>
      </c>
      <c r="G629" s="2" t="inlineStr">
        <is>
          <t>Yes</t>
        </is>
      </c>
      <c r="H629" s="2" t="n">
        <v>33</v>
      </c>
      <c r="I629" s="2" t="n">
        <v>4</v>
      </c>
      <c r="J629" s="2" t="n">
        <v>2.1</v>
      </c>
      <c r="K629" s="2" t="n">
        <v>1.9</v>
      </c>
      <c r="L629" s="2" t="inlineStr">
        <is>
          <t>Active</t>
        </is>
      </c>
    </row>
    <row r="630">
      <c r="A630" s="2" t="inlineStr">
        <is>
          <t>EMP00038</t>
        </is>
      </c>
      <c r="B630" s="2" t="inlineStr">
        <is>
          <t>Operations</t>
        </is>
      </c>
      <c r="C630" s="2" t="inlineStr">
        <is>
          <t>Process Lead</t>
        </is>
      </c>
      <c r="D630" s="2" t="n">
        <v>49</v>
      </c>
      <c r="E630" s="2" t="n">
        <v>3.2</v>
      </c>
      <c r="F630" s="2" t="n">
        <v>741000</v>
      </c>
      <c r="G630" s="2" t="inlineStr">
        <is>
          <t>No</t>
        </is>
      </c>
      <c r="H630" s="2" t="n">
        <v>1</v>
      </c>
      <c r="I630" s="2" t="n">
        <v>1.8</v>
      </c>
      <c r="J630" s="2" t="n">
        <v>2.8</v>
      </c>
      <c r="K630" s="2" t="n">
        <v>3</v>
      </c>
      <c r="L630" s="2" t="inlineStr">
        <is>
          <t>Active</t>
        </is>
      </c>
    </row>
    <row r="631">
      <c r="A631" s="2" t="inlineStr">
        <is>
          <t>EMP00354</t>
        </is>
      </c>
      <c r="B631" s="2" t="inlineStr">
        <is>
          <t>Operations</t>
        </is>
      </c>
      <c r="C631" s="2" t="inlineStr">
        <is>
          <t>Ops Manager</t>
        </is>
      </c>
      <c r="D631" s="2" t="n">
        <v>35</v>
      </c>
      <c r="E631" s="2" t="n">
        <v>3.5</v>
      </c>
      <c r="F631" s="2" t="n">
        <v>777000</v>
      </c>
      <c r="G631" s="2" t="inlineStr">
        <is>
          <t>Yes</t>
        </is>
      </c>
      <c r="H631" s="2" t="n">
        <v>57</v>
      </c>
      <c r="I631" s="2" t="n">
        <v>3.1</v>
      </c>
      <c r="J631" s="2" t="n">
        <v>2.8</v>
      </c>
      <c r="K631" s="2" t="n">
        <v>2.4</v>
      </c>
      <c r="L631" s="2" t="inlineStr">
        <is>
          <t>Active</t>
        </is>
      </c>
    </row>
    <row r="632">
      <c r="A632" s="2" t="inlineStr">
        <is>
          <t>EMP01118</t>
        </is>
      </c>
      <c r="B632" s="2" t="inlineStr">
        <is>
          <t>HR</t>
        </is>
      </c>
      <c r="C632" s="2" t="inlineStr">
        <is>
          <t>HR Manager</t>
        </is>
      </c>
      <c r="D632" s="2" t="n">
        <v>42</v>
      </c>
      <c r="E632" s="2" t="n">
        <v>8</v>
      </c>
      <c r="F632" s="2" t="n">
        <v>834000</v>
      </c>
      <c r="G632" s="2" t="inlineStr">
        <is>
          <t>Yes</t>
        </is>
      </c>
      <c r="H632" s="2" t="n">
        <v>32</v>
      </c>
      <c r="I632" s="2" t="n">
        <v>2.3</v>
      </c>
      <c r="J632" s="2" t="n">
        <v>1.4</v>
      </c>
      <c r="K632" s="2" t="n">
        <v>3</v>
      </c>
      <c r="L632" s="2" t="inlineStr">
        <is>
          <t>Active</t>
        </is>
      </c>
    </row>
    <row r="633">
      <c r="A633" s="2" t="inlineStr">
        <is>
          <t>EMP00237</t>
        </is>
      </c>
      <c r="B633" s="2" t="inlineStr">
        <is>
          <t>Operations</t>
        </is>
      </c>
      <c r="C633" s="2" t="inlineStr">
        <is>
          <t>Ops Manager</t>
        </is>
      </c>
      <c r="D633" s="2" t="n">
        <v>36</v>
      </c>
      <c r="E633" s="2" t="n">
        <v>0.8</v>
      </c>
      <c r="F633" s="2" t="n">
        <v>569000</v>
      </c>
      <c r="G633" s="2" t="inlineStr">
        <is>
          <t>No</t>
        </is>
      </c>
      <c r="H633" s="2" t="n">
        <v>20</v>
      </c>
      <c r="I633" s="2" t="n">
        <v>4.3</v>
      </c>
      <c r="J633" s="2" t="n">
        <v>3.5</v>
      </c>
      <c r="K633" s="2" t="n">
        <v>3.4</v>
      </c>
      <c r="L633" s="2" t="inlineStr">
        <is>
          <t>Active</t>
        </is>
      </c>
    </row>
    <row r="634">
      <c r="A634" s="2" t="inlineStr">
        <is>
          <t>EMP00500</t>
        </is>
      </c>
      <c r="B634" s="2" t="inlineStr">
        <is>
          <t>Operations</t>
        </is>
      </c>
      <c r="C634" s="2" t="inlineStr">
        <is>
          <t>Ops Analyst</t>
        </is>
      </c>
      <c r="D634" s="2" t="n">
        <v>48</v>
      </c>
      <c r="E634" s="2" t="n">
        <v>4.5</v>
      </c>
      <c r="F634" s="2" t="n">
        <v>844000</v>
      </c>
      <c r="G634" s="2" t="inlineStr">
        <is>
          <t>No</t>
        </is>
      </c>
      <c r="H634" s="2" t="n">
        <v>21</v>
      </c>
      <c r="I634" s="2" t="n">
        <v>2.7</v>
      </c>
      <c r="J634" s="2" t="n">
        <v>4.6</v>
      </c>
      <c r="K634" s="2" t="n">
        <v>2.2</v>
      </c>
      <c r="L634" s="2" t="inlineStr">
        <is>
          <t>Active</t>
        </is>
      </c>
    </row>
    <row r="635">
      <c r="A635" s="2" t="inlineStr">
        <is>
          <t>EMP00554</t>
        </is>
      </c>
      <c r="B635" s="2" t="inlineStr">
        <is>
          <t>Customer Support</t>
        </is>
      </c>
      <c r="C635" s="2" t="inlineStr">
        <is>
          <t>Support Lead</t>
        </is>
      </c>
      <c r="D635" s="2" t="n">
        <v>32</v>
      </c>
      <c r="E635" s="2" t="n">
        <v>4</v>
      </c>
      <c r="F635" s="2" t="n">
        <v>578000</v>
      </c>
      <c r="G635" s="2" t="inlineStr">
        <is>
          <t>Yes</t>
        </is>
      </c>
      <c r="H635" s="2" t="n">
        <v>23</v>
      </c>
      <c r="I635" s="2" t="n">
        <v>4.8</v>
      </c>
      <c r="J635" s="2" t="n">
        <v>3</v>
      </c>
      <c r="K635" s="2" t="n">
        <v>2.8</v>
      </c>
      <c r="L635" s="2" t="inlineStr">
        <is>
          <t>Active</t>
        </is>
      </c>
    </row>
    <row r="636">
      <c r="A636" s="2" t="inlineStr">
        <is>
          <t>EMP00056</t>
        </is>
      </c>
      <c r="B636" s="2" t="inlineStr">
        <is>
          <t>HR</t>
        </is>
      </c>
      <c r="C636" s="2" t="inlineStr">
        <is>
          <t>Recruiter</t>
        </is>
      </c>
      <c r="D636" s="2" t="n">
        <v>36</v>
      </c>
      <c r="E636" s="2" t="n">
        <v>1.9</v>
      </c>
      <c r="F636" s="2" t="n">
        <v>566000</v>
      </c>
      <c r="G636" s="2" t="inlineStr">
        <is>
          <t>No</t>
        </is>
      </c>
      <c r="H636" s="2" t="n">
        <v>14</v>
      </c>
      <c r="I636" s="2" t="n">
        <v>4.2</v>
      </c>
      <c r="J636" s="2" t="n">
        <v>4.4</v>
      </c>
      <c r="K636" s="2" t="n">
        <v>3.5</v>
      </c>
      <c r="L636" s="2" t="inlineStr">
        <is>
          <t>Active</t>
        </is>
      </c>
    </row>
    <row r="637">
      <c r="A637" s="2" t="inlineStr">
        <is>
          <t>EMP00303</t>
        </is>
      </c>
      <c r="B637" s="2" t="inlineStr">
        <is>
          <t>Operations</t>
        </is>
      </c>
      <c r="C637" s="2" t="inlineStr">
        <is>
          <t>Ops Analyst</t>
        </is>
      </c>
      <c r="D637" s="2" t="n">
        <v>37</v>
      </c>
      <c r="E637" s="2" t="n">
        <v>3.1</v>
      </c>
      <c r="F637" s="2" t="n">
        <v>750000</v>
      </c>
      <c r="G637" s="2" t="inlineStr">
        <is>
          <t>Yes</t>
        </is>
      </c>
      <c r="H637" s="2" t="n">
        <v>10</v>
      </c>
      <c r="I637" s="2" t="n">
        <v>2.5</v>
      </c>
      <c r="J637" s="2" t="n">
        <v>1.2</v>
      </c>
      <c r="K637" s="2" t="n">
        <v>3.4</v>
      </c>
      <c r="L637" s="2" t="inlineStr">
        <is>
          <t>Active</t>
        </is>
      </c>
    </row>
    <row r="638">
      <c r="A638" s="2" t="inlineStr">
        <is>
          <t>EMP00287</t>
        </is>
      </c>
      <c r="B638" s="2" t="inlineStr">
        <is>
          <t>Sales</t>
        </is>
      </c>
      <c r="C638" s="2" t="inlineStr">
        <is>
          <t>Sales Executive</t>
        </is>
      </c>
      <c r="D638" s="2" t="n">
        <v>32</v>
      </c>
      <c r="E638" s="2" t="n">
        <v>2.6</v>
      </c>
      <c r="F638" s="2" t="n">
        <v>756000</v>
      </c>
      <c r="G638" s="2" t="inlineStr">
        <is>
          <t>No</t>
        </is>
      </c>
      <c r="H638" s="2" t="n">
        <v>46</v>
      </c>
      <c r="I638" s="2" t="n">
        <v>3.2</v>
      </c>
      <c r="J638" s="2" t="n">
        <v>1.7</v>
      </c>
      <c r="K638" s="2" t="n">
        <v>3.5</v>
      </c>
      <c r="L638" s="2" t="inlineStr">
        <is>
          <t>Active</t>
        </is>
      </c>
    </row>
    <row r="639">
      <c r="A639" s="2" t="inlineStr">
        <is>
          <t>EMP00994</t>
        </is>
      </c>
      <c r="B639" s="2" t="inlineStr">
        <is>
          <t>Sales</t>
        </is>
      </c>
      <c r="C639" s="2" t="inlineStr">
        <is>
          <t>Sales Executive</t>
        </is>
      </c>
      <c r="D639" s="2" t="n">
        <v>51</v>
      </c>
      <c r="E639" s="2" t="n">
        <v>3.8</v>
      </c>
      <c r="F639" s="2" t="n">
        <v>889000</v>
      </c>
      <c r="G639" s="2" t="inlineStr">
        <is>
          <t>No</t>
        </is>
      </c>
      <c r="H639" s="2" t="n">
        <v>12</v>
      </c>
      <c r="I639" s="2" t="n">
        <v>3.3</v>
      </c>
      <c r="J639" s="2" t="n">
        <v>3.8</v>
      </c>
      <c r="K639" s="2" t="n">
        <v>2.8</v>
      </c>
      <c r="L639" s="2" t="inlineStr">
        <is>
          <t>Active</t>
        </is>
      </c>
    </row>
    <row r="640">
      <c r="A640" s="2" t="inlineStr">
        <is>
          <t>EMP00220</t>
        </is>
      </c>
      <c r="B640" s="2" t="inlineStr">
        <is>
          <t>Engineering</t>
        </is>
      </c>
      <c r="C640" s="2" t="inlineStr">
        <is>
          <t>Engineering Manager</t>
        </is>
      </c>
      <c r="D640" s="2" t="n">
        <v>35</v>
      </c>
      <c r="E640" s="2" t="n">
        <v>4.7</v>
      </c>
      <c r="F640" s="2" t="n">
        <v>1144000</v>
      </c>
      <c r="G640" s="2" t="inlineStr">
        <is>
          <t>No</t>
        </is>
      </c>
      <c r="H640" s="2" t="n">
        <v>38</v>
      </c>
      <c r="I640" s="2" t="n">
        <v>3.4</v>
      </c>
      <c r="J640" s="2" t="n">
        <v>3.2</v>
      </c>
      <c r="K640" s="2" t="n">
        <v>3.4</v>
      </c>
      <c r="L640" s="2" t="inlineStr">
        <is>
          <t>Resigned</t>
        </is>
      </c>
    </row>
    <row r="641">
      <c r="A641" s="2" t="inlineStr">
        <is>
          <t>EMP00665</t>
        </is>
      </c>
      <c r="B641" s="2" t="inlineStr">
        <is>
          <t>Engineering</t>
        </is>
      </c>
      <c r="C641" s="2" t="inlineStr">
        <is>
          <t>Engineering Manager</t>
        </is>
      </c>
      <c r="D641" s="2" t="n">
        <v>43</v>
      </c>
      <c r="E641" s="2" t="n">
        <v>6.2</v>
      </c>
      <c r="F641" s="2" t="n">
        <v>1274000</v>
      </c>
      <c r="G641" s="2" t="inlineStr">
        <is>
          <t>No</t>
        </is>
      </c>
      <c r="H641" s="2" t="n">
        <v>11</v>
      </c>
      <c r="I641" s="2" t="n">
        <v>2.2</v>
      </c>
      <c r="J641" s="2" t="n">
        <v>3.2</v>
      </c>
      <c r="K641" s="2" t="n">
        <v>2.5</v>
      </c>
      <c r="L641" s="2" t="inlineStr">
        <is>
          <t>Active</t>
        </is>
      </c>
    </row>
    <row r="642">
      <c r="A642" s="2" t="inlineStr">
        <is>
          <t>EMP00388</t>
        </is>
      </c>
      <c r="B642" s="2" t="inlineStr">
        <is>
          <t>Customer Support</t>
        </is>
      </c>
      <c r="C642" s="2" t="inlineStr">
        <is>
          <t>Support Associate</t>
        </is>
      </c>
      <c r="D642" s="2" t="n">
        <v>43</v>
      </c>
      <c r="E642" s="2" t="n">
        <v>10.6</v>
      </c>
      <c r="F642" s="2" t="n">
        <v>847000</v>
      </c>
      <c r="G642" s="2" t="inlineStr">
        <is>
          <t>No</t>
        </is>
      </c>
      <c r="H642" s="2" t="n">
        <v>44</v>
      </c>
      <c r="I642" s="2" t="n">
        <v>4.1</v>
      </c>
      <c r="J642" s="2" t="n">
        <v>3.8</v>
      </c>
      <c r="K642" s="2" t="n">
        <v>2.8</v>
      </c>
      <c r="L642" s="2" t="inlineStr">
        <is>
          <t>Active</t>
        </is>
      </c>
    </row>
    <row r="643">
      <c r="A643" s="2" t="inlineStr">
        <is>
          <t>EMP00771</t>
        </is>
      </c>
      <c r="B643" s="2" t="inlineStr">
        <is>
          <t>Engineering</t>
        </is>
      </c>
      <c r="C643" s="2" t="inlineStr">
        <is>
          <t>Senior Engineer</t>
        </is>
      </c>
      <c r="D643" s="2" t="n">
        <v>29</v>
      </c>
      <c r="E643" s="2" t="n">
        <v>5.5</v>
      </c>
      <c r="F643" s="2" t="n">
        <v>1366000</v>
      </c>
      <c r="G643" s="2" t="inlineStr">
        <is>
          <t>No</t>
        </is>
      </c>
      <c r="H643" s="2" t="n">
        <v>48</v>
      </c>
      <c r="I643" s="2" t="n">
        <v>2.9</v>
      </c>
      <c r="J643" s="2" t="n">
        <v>2.6</v>
      </c>
      <c r="K643" s="2" t="n">
        <v>3.4</v>
      </c>
      <c r="L643" s="2" t="inlineStr">
        <is>
          <t>Active</t>
        </is>
      </c>
    </row>
    <row r="644">
      <c r="A644" s="2" t="inlineStr">
        <is>
          <t>EMP00391</t>
        </is>
      </c>
      <c r="B644" s="2" t="inlineStr">
        <is>
          <t>Finance</t>
        </is>
      </c>
      <c r="C644" s="2" t="inlineStr">
        <is>
          <t>Finance Manager</t>
        </is>
      </c>
      <c r="D644" s="2" t="n">
        <v>47</v>
      </c>
      <c r="E644" s="2" t="n">
        <v>0.3</v>
      </c>
      <c r="F644" s="2" t="n">
        <v>840000</v>
      </c>
      <c r="G644" s="2" t="inlineStr">
        <is>
          <t>No</t>
        </is>
      </c>
      <c r="H644" s="2" t="n">
        <v>30</v>
      </c>
      <c r="I644" s="2" t="n">
        <v>3.1</v>
      </c>
      <c r="J644" s="2" t="n">
        <v>3.3</v>
      </c>
      <c r="K644" s="2" t="n">
        <v>4</v>
      </c>
      <c r="L644" s="2" t="inlineStr">
        <is>
          <t>Active</t>
        </is>
      </c>
    </row>
    <row r="645">
      <c r="A645" s="2" t="inlineStr">
        <is>
          <t>EMP00353</t>
        </is>
      </c>
      <c r="B645" s="2" t="inlineStr">
        <is>
          <t>Operations</t>
        </is>
      </c>
      <c r="C645" s="2" t="inlineStr">
        <is>
          <t>Ops Manager</t>
        </is>
      </c>
      <c r="D645" s="2" t="n">
        <v>25</v>
      </c>
      <c r="E645" s="2" t="n">
        <v>9.5</v>
      </c>
      <c r="F645" s="2" t="n">
        <v>983000</v>
      </c>
      <c r="G645" s="2" t="inlineStr">
        <is>
          <t>Yes</t>
        </is>
      </c>
      <c r="H645" s="2" t="n">
        <v>54</v>
      </c>
      <c r="I645" s="2" t="n">
        <v>4</v>
      </c>
      <c r="J645" s="2" t="n">
        <v>2.9</v>
      </c>
      <c r="K645" s="2" t="n">
        <v>3.5</v>
      </c>
      <c r="L645" s="2" t="inlineStr">
        <is>
          <t>Active</t>
        </is>
      </c>
    </row>
    <row r="646">
      <c r="A646" s="2" t="inlineStr">
        <is>
          <t>EMP00194</t>
        </is>
      </c>
      <c r="B646" s="2" t="inlineStr">
        <is>
          <t>HR</t>
        </is>
      </c>
      <c r="C646" s="2" t="inlineStr">
        <is>
          <t>HR Generalist</t>
        </is>
      </c>
      <c r="D646" s="2" t="n">
        <v>41</v>
      </c>
      <c r="E646" s="2" t="n">
        <v>1.4</v>
      </c>
      <c r="F646" s="2" t="n">
        <v>642000</v>
      </c>
      <c r="G646" s="2" t="inlineStr">
        <is>
          <t>Yes</t>
        </is>
      </c>
      <c r="H646" s="2" t="n">
        <v>33</v>
      </c>
      <c r="I646" s="2" t="n">
        <v>3.4</v>
      </c>
      <c r="J646" s="2" t="n">
        <v>2.2</v>
      </c>
      <c r="K646" s="2" t="n">
        <v>3.1</v>
      </c>
      <c r="L646" s="2" t="inlineStr">
        <is>
          <t>Active</t>
        </is>
      </c>
    </row>
    <row r="647">
      <c r="A647" s="2" t="inlineStr">
        <is>
          <t>EMP00236</t>
        </is>
      </c>
      <c r="B647" s="2" t="inlineStr">
        <is>
          <t>HR</t>
        </is>
      </c>
      <c r="C647" s="2" t="inlineStr">
        <is>
          <t>HR Generalist</t>
        </is>
      </c>
      <c r="D647" s="2" t="n">
        <v>46</v>
      </c>
      <c r="E647" s="2" t="n">
        <v>6.9</v>
      </c>
      <c r="F647" s="2" t="n">
        <v>677000</v>
      </c>
      <c r="G647" s="2" t="inlineStr">
        <is>
          <t>No</t>
        </is>
      </c>
      <c r="H647" s="2" t="n">
        <v>44</v>
      </c>
      <c r="I647" s="2" t="n">
        <v>3.2</v>
      </c>
      <c r="J647" s="2" t="n">
        <v>2.2</v>
      </c>
      <c r="K647" s="2" t="n">
        <v>3</v>
      </c>
      <c r="L647" s="2" t="inlineStr">
        <is>
          <t>Active</t>
        </is>
      </c>
    </row>
    <row r="648">
      <c r="A648" s="2" t="inlineStr">
        <is>
          <t>EMP01032</t>
        </is>
      </c>
      <c r="B648" s="2" t="inlineStr">
        <is>
          <t>Finance</t>
        </is>
      </c>
      <c r="C648" s="2" t="inlineStr">
        <is>
          <t>Finance Manager</t>
        </is>
      </c>
      <c r="D648" s="2" t="n">
        <v>29</v>
      </c>
      <c r="E648" s="2" t="n">
        <v>0.8</v>
      </c>
      <c r="F648" s="2" t="n">
        <v>726000</v>
      </c>
      <c r="G648" s="2" t="inlineStr">
        <is>
          <t>No</t>
        </is>
      </c>
      <c r="H648" s="2" t="n">
        <v>34</v>
      </c>
      <c r="I648" s="2" t="n">
        <v>3</v>
      </c>
      <c r="J648" s="2" t="n">
        <v>2.9</v>
      </c>
      <c r="K648" s="2" t="n">
        <v>4.4</v>
      </c>
      <c r="L648" s="2" t="inlineStr">
        <is>
          <t>Active</t>
        </is>
      </c>
    </row>
    <row r="649">
      <c r="A649" s="2" t="inlineStr">
        <is>
          <t>EMP00481</t>
        </is>
      </c>
      <c r="B649" s="2" t="inlineStr">
        <is>
          <t>Engineering</t>
        </is>
      </c>
      <c r="C649" s="2" t="inlineStr">
        <is>
          <t>Software Engineer</t>
        </is>
      </c>
      <c r="D649" s="2" t="n">
        <v>31</v>
      </c>
      <c r="E649" s="2" t="n">
        <v>2</v>
      </c>
      <c r="F649" s="2" t="n">
        <v>939000</v>
      </c>
      <c r="G649" s="2" t="inlineStr">
        <is>
          <t>No</t>
        </is>
      </c>
      <c r="H649" s="2" t="n">
        <v>36</v>
      </c>
      <c r="I649" s="2" t="n">
        <v>4.9</v>
      </c>
      <c r="J649" s="2" t="n">
        <v>3.6</v>
      </c>
      <c r="K649" s="2" t="n">
        <v>2.8</v>
      </c>
      <c r="L649" s="2" t="inlineStr">
        <is>
          <t>Resigned</t>
        </is>
      </c>
    </row>
    <row r="650">
      <c r="A650" s="2" t="inlineStr">
        <is>
          <t>EMP00568</t>
        </is>
      </c>
      <c r="B650" s="2" t="inlineStr">
        <is>
          <t>Sales</t>
        </is>
      </c>
      <c r="C650" s="2" t="inlineStr">
        <is>
          <t>Sales Executive</t>
        </is>
      </c>
      <c r="D650" s="2" t="n">
        <v>26</v>
      </c>
      <c r="E650" s="2" t="n">
        <v>3</v>
      </c>
      <c r="F650" s="2" t="n">
        <v>734000</v>
      </c>
      <c r="G650" s="2" t="inlineStr">
        <is>
          <t>No</t>
        </is>
      </c>
      <c r="H650" s="2" t="n">
        <v>56</v>
      </c>
      <c r="I650" s="2" t="n">
        <v>3.3</v>
      </c>
      <c r="J650" s="2" t="n">
        <v>2.3</v>
      </c>
      <c r="K650" s="2" t="n">
        <v>3.1</v>
      </c>
      <c r="L650" s="2" t="inlineStr">
        <is>
          <t>Resigned</t>
        </is>
      </c>
    </row>
    <row r="651">
      <c r="A651" s="2" t="inlineStr">
        <is>
          <t>EMP00117</t>
        </is>
      </c>
      <c r="B651" s="2" t="inlineStr">
        <is>
          <t>HR</t>
        </is>
      </c>
      <c r="C651" s="2" t="inlineStr">
        <is>
          <t>HR Manager</t>
        </is>
      </c>
      <c r="D651" s="2" t="n">
        <v>29</v>
      </c>
      <c r="E651" s="2" t="n">
        <v>2.8</v>
      </c>
      <c r="F651" s="2" t="n">
        <v>688000</v>
      </c>
      <c r="G651" s="2" t="inlineStr">
        <is>
          <t>Yes</t>
        </is>
      </c>
      <c r="H651" s="2" t="n">
        <v>49</v>
      </c>
      <c r="I651" s="2" t="n">
        <v>4.5</v>
      </c>
      <c r="J651" s="2" t="n">
        <v>3.1</v>
      </c>
      <c r="K651" s="2" t="n">
        <v>3.7</v>
      </c>
      <c r="L651" s="2" t="inlineStr">
        <is>
          <t>Resigned</t>
        </is>
      </c>
    </row>
    <row r="652">
      <c r="A652" s="2" t="inlineStr">
        <is>
          <t>EMP00982</t>
        </is>
      </c>
      <c r="B652" s="2" t="inlineStr">
        <is>
          <t>HR</t>
        </is>
      </c>
      <c r="C652" s="2" t="inlineStr">
        <is>
          <t>HR Manager</t>
        </is>
      </c>
      <c r="D652" s="2" t="n">
        <v>47</v>
      </c>
      <c r="E652" s="2" t="n">
        <v>2</v>
      </c>
      <c r="F652" s="2" t="n">
        <v>646000</v>
      </c>
      <c r="G652" s="2" t="inlineStr">
        <is>
          <t>No</t>
        </is>
      </c>
      <c r="H652" s="2" t="n">
        <v>31</v>
      </c>
      <c r="I652" s="2" t="n">
        <v>4.1</v>
      </c>
      <c r="J652" s="2" t="n">
        <v>4.5</v>
      </c>
      <c r="K652" s="2" t="n">
        <v>4.5</v>
      </c>
      <c r="L652" s="2" t="inlineStr">
        <is>
          <t>Active</t>
        </is>
      </c>
    </row>
    <row r="653">
      <c r="A653" s="2" t="inlineStr">
        <is>
          <t>EMP00654</t>
        </is>
      </c>
      <c r="B653" s="2" t="inlineStr">
        <is>
          <t>Engineering</t>
        </is>
      </c>
      <c r="C653" s="2" t="inlineStr">
        <is>
          <t>Senior Engineer</t>
        </is>
      </c>
      <c r="D653" s="2" t="n">
        <v>21</v>
      </c>
      <c r="E653" s="2" t="n">
        <v>1.1</v>
      </c>
      <c r="F653" s="2" t="n">
        <v>1034000</v>
      </c>
      <c r="G653" s="2" t="inlineStr">
        <is>
          <t>No</t>
        </is>
      </c>
      <c r="H653" s="2" t="n">
        <v>56</v>
      </c>
      <c r="I653" s="2" t="n">
        <v>3.2</v>
      </c>
      <c r="J653" s="2" t="n">
        <v>2.5</v>
      </c>
      <c r="K653" s="2" t="n">
        <v>2.8</v>
      </c>
      <c r="L653" s="2" t="inlineStr">
        <is>
          <t>Active</t>
        </is>
      </c>
    </row>
    <row r="654">
      <c r="A654" s="2" t="inlineStr">
        <is>
          <t>EMP01011</t>
        </is>
      </c>
      <c r="B654" s="2" t="inlineStr">
        <is>
          <t>Finance</t>
        </is>
      </c>
      <c r="C654" s="2" t="inlineStr">
        <is>
          <t>Financial Analyst</t>
        </is>
      </c>
      <c r="D654" s="2" t="n">
        <v>39</v>
      </c>
      <c r="E654" s="2" t="n">
        <v>2.9</v>
      </c>
      <c r="F654" s="2" t="n">
        <v>1004000</v>
      </c>
      <c r="G654" s="2" t="inlineStr">
        <is>
          <t>Yes</t>
        </is>
      </c>
      <c r="H654" s="2" t="n">
        <v>18</v>
      </c>
      <c r="I654" s="2" t="n">
        <v>2.9</v>
      </c>
      <c r="J654" s="2" t="n">
        <v>3</v>
      </c>
      <c r="K654" s="2" t="n">
        <v>4.5</v>
      </c>
      <c r="L654" s="2" t="inlineStr">
        <is>
          <t>Resigned</t>
        </is>
      </c>
    </row>
    <row r="655">
      <c r="A655" s="2" t="inlineStr">
        <is>
          <t>EMP01129</t>
        </is>
      </c>
      <c r="B655" s="2" t="inlineStr">
        <is>
          <t>Finance</t>
        </is>
      </c>
      <c r="C655" s="2" t="inlineStr">
        <is>
          <t>Financial Analyst</t>
        </is>
      </c>
      <c r="D655" s="2" t="n">
        <v>40</v>
      </c>
      <c r="E655" s="2" t="n">
        <v>1.7</v>
      </c>
      <c r="F655" s="2" t="n">
        <v>899000</v>
      </c>
      <c r="G655" s="2" t="inlineStr">
        <is>
          <t>No</t>
        </is>
      </c>
      <c r="H655" s="2" t="n">
        <v>10</v>
      </c>
      <c r="I655" s="2" t="n">
        <v>2.7</v>
      </c>
      <c r="J655" s="2" t="n">
        <v>2.6</v>
      </c>
      <c r="K655" s="2" t="n">
        <v>3.1</v>
      </c>
      <c r="L655" s="2" t="inlineStr">
        <is>
          <t>Active</t>
        </is>
      </c>
    </row>
    <row r="656">
      <c r="A656" s="2" t="inlineStr">
        <is>
          <t>EMP00802</t>
        </is>
      </c>
      <c r="B656" s="2" t="inlineStr">
        <is>
          <t>Engineering</t>
        </is>
      </c>
      <c r="C656" s="2" t="inlineStr">
        <is>
          <t>Engineering Manager</t>
        </is>
      </c>
      <c r="D656" s="2" t="n">
        <v>22</v>
      </c>
      <c r="E656" s="2" t="n">
        <v>4.7</v>
      </c>
      <c r="F656" s="2" t="n">
        <v>1344000</v>
      </c>
      <c r="G656" s="2" t="inlineStr">
        <is>
          <t>No</t>
        </is>
      </c>
      <c r="H656" s="2" t="n">
        <v>54</v>
      </c>
      <c r="I656" s="2" t="n">
        <v>3.6</v>
      </c>
      <c r="J656" s="2" t="n">
        <v>2</v>
      </c>
      <c r="K656" s="2" t="n">
        <v>2.8</v>
      </c>
      <c r="L656" s="2" t="inlineStr">
        <is>
          <t>Active</t>
        </is>
      </c>
    </row>
    <row r="657">
      <c r="A657" s="2" t="inlineStr">
        <is>
          <t>EMP00814</t>
        </is>
      </c>
      <c r="B657" s="2" t="inlineStr">
        <is>
          <t>Operations</t>
        </is>
      </c>
      <c r="C657" s="2" t="inlineStr">
        <is>
          <t>Process Lead</t>
        </is>
      </c>
      <c r="D657" s="2" t="n">
        <v>38</v>
      </c>
      <c r="E657" s="2" t="n">
        <v>1.6</v>
      </c>
      <c r="F657" s="2" t="n">
        <v>581000</v>
      </c>
      <c r="G657" s="2" t="inlineStr">
        <is>
          <t>Yes</t>
        </is>
      </c>
      <c r="H657" s="2" t="n">
        <v>56</v>
      </c>
      <c r="I657" s="2" t="n">
        <v>3.8</v>
      </c>
      <c r="J657" s="2" t="n">
        <v>2.7</v>
      </c>
      <c r="K657" s="2" t="n">
        <v>3.2</v>
      </c>
      <c r="L657" s="2" t="inlineStr">
        <is>
          <t>Active</t>
        </is>
      </c>
    </row>
    <row r="658">
      <c r="A658" s="2" t="inlineStr">
        <is>
          <t>EMP00121</t>
        </is>
      </c>
      <c r="B658" s="2" t="inlineStr">
        <is>
          <t>Operations</t>
        </is>
      </c>
      <c r="C658" s="2" t="inlineStr">
        <is>
          <t>Ops Manager</t>
        </is>
      </c>
      <c r="D658" s="2" t="n">
        <v>45</v>
      </c>
      <c r="E658" s="2" t="n">
        <v>6.4</v>
      </c>
      <c r="F658" s="2" t="n">
        <v>811000</v>
      </c>
      <c r="G658" s="2" t="inlineStr">
        <is>
          <t>No</t>
        </is>
      </c>
      <c r="H658" s="2" t="n">
        <v>24</v>
      </c>
      <c r="I658" s="2" t="n">
        <v>3.5</v>
      </c>
      <c r="J658" s="2" t="n">
        <v>3.5</v>
      </c>
      <c r="K658" s="2" t="n">
        <v>2.6</v>
      </c>
      <c r="L658" s="2" t="inlineStr">
        <is>
          <t>Resigned</t>
        </is>
      </c>
    </row>
    <row r="659">
      <c r="A659" s="2" t="inlineStr">
        <is>
          <t>EMP00857</t>
        </is>
      </c>
      <c r="B659" s="2" t="inlineStr">
        <is>
          <t>Finance</t>
        </is>
      </c>
      <c r="C659" s="2" t="inlineStr">
        <is>
          <t>Financial Analyst</t>
        </is>
      </c>
      <c r="D659" s="2" t="n">
        <v>29</v>
      </c>
      <c r="E659" s="2" t="n">
        <v>3.2</v>
      </c>
      <c r="F659" s="2" t="n">
        <v>876000</v>
      </c>
      <c r="G659" s="2" t="inlineStr">
        <is>
          <t>Yes</t>
        </is>
      </c>
      <c r="H659" s="2" t="n">
        <v>6</v>
      </c>
      <c r="I659" s="2" t="n">
        <v>3.1</v>
      </c>
      <c r="J659" s="2" t="n">
        <v>2.8</v>
      </c>
      <c r="K659" s="2" t="n">
        <v>2.4</v>
      </c>
      <c r="L659" s="2" t="inlineStr">
        <is>
          <t>Active</t>
        </is>
      </c>
    </row>
    <row r="660">
      <c r="A660" s="2" t="inlineStr">
        <is>
          <t>EMP01041</t>
        </is>
      </c>
      <c r="B660" s="2" t="inlineStr">
        <is>
          <t>Sales</t>
        </is>
      </c>
      <c r="C660" s="2" t="inlineStr">
        <is>
          <t>Sales Manager</t>
        </is>
      </c>
      <c r="D660" s="2" t="n">
        <v>21</v>
      </c>
      <c r="E660" s="2" t="n">
        <v>2.1</v>
      </c>
      <c r="F660" s="2" t="n">
        <v>812000</v>
      </c>
      <c r="G660" s="2" t="inlineStr">
        <is>
          <t>No</t>
        </is>
      </c>
      <c r="H660" s="2" t="n">
        <v>11</v>
      </c>
      <c r="I660" s="2" t="n">
        <v>3.4</v>
      </c>
      <c r="J660" s="2" t="n">
        <v>4</v>
      </c>
      <c r="K660" s="2" t="n">
        <v>2.1</v>
      </c>
      <c r="L660" s="2" t="inlineStr">
        <is>
          <t>Active</t>
        </is>
      </c>
    </row>
    <row r="661">
      <c r="A661" s="2" t="inlineStr">
        <is>
          <t>EMP01154</t>
        </is>
      </c>
      <c r="B661" s="2" t="inlineStr">
        <is>
          <t>Sales</t>
        </is>
      </c>
      <c r="C661" s="2" t="inlineStr">
        <is>
          <t>Sales Manager</t>
        </is>
      </c>
      <c r="D661" s="2" t="n">
        <v>43</v>
      </c>
      <c r="E661" s="2" t="n">
        <v>2.1</v>
      </c>
      <c r="F661" s="2" t="n">
        <v>809000</v>
      </c>
      <c r="G661" s="2" t="inlineStr">
        <is>
          <t>No</t>
        </is>
      </c>
      <c r="H661" s="2" t="n">
        <v>57</v>
      </c>
      <c r="I661" s="2" t="n">
        <v>3.8</v>
      </c>
      <c r="J661" s="2" t="n">
        <v>3.5</v>
      </c>
      <c r="K661" s="2" t="n">
        <v>2</v>
      </c>
      <c r="L661" s="2" t="inlineStr">
        <is>
          <t>Active</t>
        </is>
      </c>
    </row>
    <row r="662">
      <c r="A662" s="2" t="inlineStr">
        <is>
          <t>EMP00063</t>
        </is>
      </c>
      <c r="B662" s="2" t="inlineStr">
        <is>
          <t>Operations</t>
        </is>
      </c>
      <c r="C662" s="2" t="inlineStr">
        <is>
          <t>Ops Manager</t>
        </is>
      </c>
      <c r="D662" s="2" t="n">
        <v>29</v>
      </c>
      <c r="E662" s="2" t="n">
        <v>3.7</v>
      </c>
      <c r="F662" s="2" t="n">
        <v>733000</v>
      </c>
      <c r="G662" s="2" t="inlineStr">
        <is>
          <t>Yes</t>
        </is>
      </c>
      <c r="H662" s="2" t="n">
        <v>44</v>
      </c>
      <c r="I662" s="2" t="n">
        <v>2.5</v>
      </c>
      <c r="J662" s="2" t="n">
        <v>3.1</v>
      </c>
      <c r="K662" s="2" t="n">
        <v>3.4</v>
      </c>
      <c r="L662" s="2" t="inlineStr">
        <is>
          <t>Active</t>
        </is>
      </c>
    </row>
    <row r="663">
      <c r="A663" s="2" t="inlineStr">
        <is>
          <t>EMP00697</t>
        </is>
      </c>
      <c r="B663" s="2" t="inlineStr">
        <is>
          <t>HR</t>
        </is>
      </c>
      <c r="C663" s="2" t="inlineStr">
        <is>
          <t>HR Generalist</t>
        </is>
      </c>
      <c r="D663" s="2" t="n">
        <v>39</v>
      </c>
      <c r="E663" s="2" t="n">
        <v>1.8</v>
      </c>
      <c r="F663" s="2" t="n">
        <v>590000</v>
      </c>
      <c r="G663" s="2" t="inlineStr">
        <is>
          <t>No</t>
        </is>
      </c>
      <c r="H663" s="2" t="n">
        <v>40</v>
      </c>
      <c r="I663" s="2" t="n">
        <v>2.4</v>
      </c>
      <c r="J663" s="2" t="n">
        <v>1.1</v>
      </c>
      <c r="K663" s="2" t="n">
        <v>3</v>
      </c>
      <c r="L663" s="2" t="inlineStr">
        <is>
          <t>Active</t>
        </is>
      </c>
    </row>
    <row r="664">
      <c r="A664" s="2" t="inlineStr">
        <is>
          <t>EMP00454</t>
        </is>
      </c>
      <c r="B664" s="2" t="inlineStr">
        <is>
          <t>Sales</t>
        </is>
      </c>
      <c r="C664" s="2" t="inlineStr">
        <is>
          <t>Sales Executive</t>
        </is>
      </c>
      <c r="D664" s="2" t="n">
        <v>38</v>
      </c>
      <c r="E664" s="2" t="n">
        <v>4.2</v>
      </c>
      <c r="F664" s="2" t="n">
        <v>768000</v>
      </c>
      <c r="G664" s="2" t="inlineStr">
        <is>
          <t>No</t>
        </is>
      </c>
      <c r="H664" s="2" t="n">
        <v>34</v>
      </c>
      <c r="I664" s="2" t="n">
        <v>4.7</v>
      </c>
      <c r="J664" s="2" t="n">
        <v>3.3</v>
      </c>
      <c r="K664" s="2" t="n">
        <v>3.1</v>
      </c>
      <c r="L664" s="2" t="inlineStr">
        <is>
          <t>Active</t>
        </is>
      </c>
    </row>
    <row r="665">
      <c r="A665" s="2" t="inlineStr">
        <is>
          <t>EMP00516</t>
        </is>
      </c>
      <c r="B665" s="2" t="inlineStr">
        <is>
          <t>Sales</t>
        </is>
      </c>
      <c r="C665" s="2" t="inlineStr">
        <is>
          <t>Account Manager</t>
        </is>
      </c>
      <c r="D665" s="2" t="n">
        <v>40</v>
      </c>
      <c r="E665" s="2" t="n">
        <v>1.2</v>
      </c>
      <c r="F665" s="2" t="n">
        <v>774000</v>
      </c>
      <c r="G665" s="2" t="inlineStr">
        <is>
          <t>Yes</t>
        </is>
      </c>
      <c r="H665" s="2" t="n">
        <v>59</v>
      </c>
      <c r="I665" s="2" t="n">
        <v>3.2</v>
      </c>
      <c r="J665" s="2" t="n">
        <v>2.7</v>
      </c>
      <c r="K665" s="2" t="n">
        <v>2.3</v>
      </c>
      <c r="L665" s="2" t="inlineStr">
        <is>
          <t>Active</t>
        </is>
      </c>
    </row>
    <row r="666">
      <c r="A666" s="2" t="inlineStr">
        <is>
          <t>EMP00571</t>
        </is>
      </c>
      <c r="B666" s="2" t="inlineStr">
        <is>
          <t>Engineering</t>
        </is>
      </c>
      <c r="C666" s="2" t="inlineStr">
        <is>
          <t>Senior Engineer</t>
        </is>
      </c>
      <c r="D666" s="2" t="n">
        <v>36</v>
      </c>
      <c r="E666" s="2" t="n">
        <v>0.2</v>
      </c>
      <c r="F666" s="2" t="n">
        <v>873000</v>
      </c>
      <c r="G666" s="2" t="inlineStr">
        <is>
          <t>No</t>
        </is>
      </c>
      <c r="H666" s="2" t="n">
        <v>9</v>
      </c>
      <c r="I666" s="2" t="n">
        <v>2.2</v>
      </c>
      <c r="J666" s="2" t="n">
        <v>4.7</v>
      </c>
      <c r="K666" s="2" t="n">
        <v>3.8</v>
      </c>
      <c r="L666" s="2" t="inlineStr">
        <is>
          <t>Active</t>
        </is>
      </c>
    </row>
    <row r="667">
      <c r="A667" s="2" t="inlineStr">
        <is>
          <t>EMP00224</t>
        </is>
      </c>
      <c r="B667" s="2" t="inlineStr">
        <is>
          <t>Customer Support</t>
        </is>
      </c>
      <c r="C667" s="2" t="inlineStr">
        <is>
          <t>Support Manager</t>
        </is>
      </c>
      <c r="D667" s="2" t="n">
        <v>34</v>
      </c>
      <c r="E667" s="2" t="n">
        <v>3</v>
      </c>
      <c r="F667" s="2" t="n">
        <v>634000</v>
      </c>
      <c r="G667" s="2" t="inlineStr">
        <is>
          <t>No</t>
        </is>
      </c>
      <c r="H667" s="2" t="n">
        <v>16</v>
      </c>
      <c r="I667" s="2" t="n">
        <v>4</v>
      </c>
      <c r="J667" s="2" t="n">
        <v>2.5</v>
      </c>
      <c r="K667" s="2" t="n">
        <v>3.5</v>
      </c>
      <c r="L667" s="2" t="inlineStr">
        <is>
          <t>Active</t>
        </is>
      </c>
    </row>
    <row r="668">
      <c r="A668" s="2" t="inlineStr">
        <is>
          <t>EMP00614</t>
        </is>
      </c>
      <c r="B668" s="2" t="inlineStr">
        <is>
          <t>Customer Support</t>
        </is>
      </c>
      <c r="C668" s="2" t="inlineStr">
        <is>
          <t>Support Manager</t>
        </is>
      </c>
      <c r="D668" s="2" t="n">
        <v>44</v>
      </c>
      <c r="E668" s="2" t="n">
        <v>2.3</v>
      </c>
      <c r="F668" s="2" t="n">
        <v>520000</v>
      </c>
      <c r="G668" s="2" t="inlineStr">
        <is>
          <t>No</t>
        </is>
      </c>
      <c r="H668" s="2" t="n">
        <v>52</v>
      </c>
      <c r="I668" s="2" t="n">
        <v>3.9</v>
      </c>
      <c r="J668" s="2" t="n">
        <v>2.4</v>
      </c>
      <c r="K668" s="2" t="n">
        <v>1.9</v>
      </c>
      <c r="L668" s="2" t="inlineStr">
        <is>
          <t>Active</t>
        </is>
      </c>
    </row>
    <row r="669">
      <c r="A669" s="2" t="inlineStr">
        <is>
          <t>EMP00222</t>
        </is>
      </c>
      <c r="B669" s="2" t="inlineStr">
        <is>
          <t>Operations</t>
        </is>
      </c>
      <c r="C669" s="2" t="inlineStr">
        <is>
          <t>Ops Manager</t>
        </is>
      </c>
      <c r="D669" s="2" t="n">
        <v>31</v>
      </c>
      <c r="E669" s="2" t="n">
        <v>7.1</v>
      </c>
      <c r="F669" s="2" t="n">
        <v>955000</v>
      </c>
      <c r="G669" s="2" t="inlineStr">
        <is>
          <t>No</t>
        </is>
      </c>
      <c r="H669" s="2" t="n">
        <v>12</v>
      </c>
      <c r="I669" s="2" t="n">
        <v>3.2</v>
      </c>
      <c r="J669" s="2" t="n">
        <v>2.2</v>
      </c>
      <c r="K669" s="2" t="n">
        <v>3.2</v>
      </c>
      <c r="L669" s="2" t="inlineStr">
        <is>
          <t>Active</t>
        </is>
      </c>
    </row>
    <row r="670">
      <c r="A670" s="2" t="inlineStr">
        <is>
          <t>EMP00704</t>
        </is>
      </c>
      <c r="B670" s="2" t="inlineStr">
        <is>
          <t>Customer Support</t>
        </is>
      </c>
      <c r="C670" s="2" t="inlineStr">
        <is>
          <t>Support Lead</t>
        </is>
      </c>
      <c r="D670" s="2" t="n">
        <v>37</v>
      </c>
      <c r="E670" s="2" t="n">
        <v>0.7</v>
      </c>
      <c r="F670" s="2" t="n">
        <v>515000</v>
      </c>
      <c r="G670" s="2" t="inlineStr">
        <is>
          <t>No</t>
        </is>
      </c>
      <c r="H670" s="2" t="n">
        <v>6</v>
      </c>
      <c r="I670" s="2" t="n">
        <v>4.8</v>
      </c>
      <c r="J670" s="2" t="n">
        <v>2.2</v>
      </c>
      <c r="K670" s="2" t="n">
        <v>2</v>
      </c>
      <c r="L670" s="2" t="inlineStr">
        <is>
          <t>Active</t>
        </is>
      </c>
    </row>
    <row r="671">
      <c r="A671" s="2" t="inlineStr">
        <is>
          <t>EMP00831</t>
        </is>
      </c>
      <c r="B671" s="2" t="inlineStr">
        <is>
          <t>Finance</t>
        </is>
      </c>
      <c r="C671" s="2" t="inlineStr">
        <is>
          <t>Finance Manager</t>
        </is>
      </c>
      <c r="D671" s="2" t="n">
        <v>24</v>
      </c>
      <c r="E671" s="2" t="n">
        <v>1.7</v>
      </c>
      <c r="F671" s="2" t="n">
        <v>919000</v>
      </c>
      <c r="G671" s="2" t="inlineStr">
        <is>
          <t>No</t>
        </is>
      </c>
      <c r="H671" s="2" t="n">
        <v>46</v>
      </c>
      <c r="I671" s="2" t="n">
        <v>3.3</v>
      </c>
      <c r="J671" s="2" t="n">
        <v>3.7</v>
      </c>
      <c r="K671" s="2" t="n">
        <v>2.4</v>
      </c>
      <c r="L671" s="2" t="inlineStr">
        <is>
          <t>Active</t>
        </is>
      </c>
    </row>
    <row r="672">
      <c r="A672" s="2" t="inlineStr">
        <is>
          <t>EMP00466</t>
        </is>
      </c>
      <c r="B672" s="2" t="inlineStr">
        <is>
          <t>Finance</t>
        </is>
      </c>
      <c r="C672" s="2" t="inlineStr">
        <is>
          <t>Financial Analyst</t>
        </is>
      </c>
      <c r="D672" s="2" t="n">
        <v>36</v>
      </c>
      <c r="E672" s="2" t="n">
        <v>6.7</v>
      </c>
      <c r="F672" s="2" t="n">
        <v>963000</v>
      </c>
      <c r="G672" s="2" t="inlineStr">
        <is>
          <t>Yes</t>
        </is>
      </c>
      <c r="H672" s="2" t="n">
        <v>18</v>
      </c>
      <c r="I672" s="2" t="n">
        <v>3.2</v>
      </c>
      <c r="J672" s="2" t="n">
        <v>2.5</v>
      </c>
      <c r="K672" s="2" t="n">
        <v>3.4</v>
      </c>
      <c r="L672" s="2" t="inlineStr">
        <is>
          <t>Active</t>
        </is>
      </c>
    </row>
    <row r="673">
      <c r="A673" s="2" t="inlineStr">
        <is>
          <t>EMP00053</t>
        </is>
      </c>
      <c r="B673" s="2" t="inlineStr">
        <is>
          <t>HR</t>
        </is>
      </c>
      <c r="C673" s="2" t="inlineStr">
        <is>
          <t>HR Generalist</t>
        </is>
      </c>
      <c r="D673" s="2" t="n">
        <v>46</v>
      </c>
      <c r="E673" s="2" t="n">
        <v>3.4</v>
      </c>
      <c r="F673" s="2" t="n">
        <v>583000</v>
      </c>
      <c r="G673" s="2" t="inlineStr">
        <is>
          <t>No</t>
        </is>
      </c>
      <c r="H673" s="2" t="n">
        <v>9</v>
      </c>
      <c r="I673" s="2" t="n">
        <v>3.4</v>
      </c>
      <c r="J673" s="2" t="n">
        <v>1</v>
      </c>
      <c r="K673" s="2" t="n">
        <v>3.3</v>
      </c>
      <c r="L673" s="2" t="inlineStr">
        <is>
          <t>Active</t>
        </is>
      </c>
    </row>
    <row r="674">
      <c r="A674" s="2" t="inlineStr">
        <is>
          <t>EMP01116</t>
        </is>
      </c>
      <c r="B674" s="2" t="inlineStr">
        <is>
          <t>Sales</t>
        </is>
      </c>
      <c r="C674" s="2" t="inlineStr">
        <is>
          <t>Sales Manager</t>
        </is>
      </c>
      <c r="D674" s="2" t="n">
        <v>30</v>
      </c>
      <c r="E674" s="2" t="n">
        <v>4.9</v>
      </c>
      <c r="F674" s="2" t="n">
        <v>945000</v>
      </c>
      <c r="G674" s="2" t="inlineStr">
        <is>
          <t>Yes</t>
        </is>
      </c>
      <c r="H674" s="2" t="n">
        <v>31</v>
      </c>
      <c r="I674" s="2" t="n">
        <v>3.2</v>
      </c>
      <c r="J674" s="2" t="n">
        <v>3.7</v>
      </c>
      <c r="K674" s="2" t="n">
        <v>2.2</v>
      </c>
      <c r="L674" s="2" t="inlineStr">
        <is>
          <t>Active</t>
        </is>
      </c>
    </row>
    <row r="675">
      <c r="A675" s="2" t="inlineStr">
        <is>
          <t>EMP00486</t>
        </is>
      </c>
      <c r="B675" s="2" t="inlineStr">
        <is>
          <t>Engineering</t>
        </is>
      </c>
      <c r="C675" s="2" t="inlineStr">
        <is>
          <t>Software Engineer</t>
        </is>
      </c>
      <c r="D675" s="2" t="n">
        <v>44</v>
      </c>
      <c r="E675" s="2" t="n">
        <v>0.5</v>
      </c>
      <c r="F675" s="2" t="n">
        <v>942000</v>
      </c>
      <c r="G675" s="2" t="inlineStr">
        <is>
          <t>No</t>
        </is>
      </c>
      <c r="H675" s="2" t="n">
        <v>35</v>
      </c>
      <c r="I675" s="2" t="n">
        <v>4.3</v>
      </c>
      <c r="J675" s="2" t="n">
        <v>2.8</v>
      </c>
      <c r="K675" s="2" t="n">
        <v>2.4</v>
      </c>
      <c r="L675" s="2" t="inlineStr">
        <is>
          <t>Active</t>
        </is>
      </c>
    </row>
    <row r="676">
      <c r="A676" s="2" t="inlineStr">
        <is>
          <t>EMP01163</t>
        </is>
      </c>
      <c r="B676" s="2" t="inlineStr">
        <is>
          <t>HR</t>
        </is>
      </c>
      <c r="C676" s="2" t="inlineStr">
        <is>
          <t>Recruiter</t>
        </is>
      </c>
      <c r="D676" s="2" t="n">
        <v>21</v>
      </c>
      <c r="E676" s="2" t="n">
        <v>0.2</v>
      </c>
      <c r="F676" s="2" t="n">
        <v>558000</v>
      </c>
      <c r="G676" s="2" t="inlineStr">
        <is>
          <t>Yes</t>
        </is>
      </c>
      <c r="H676" s="2" t="n">
        <v>33</v>
      </c>
      <c r="I676" s="2" t="n">
        <v>1.9</v>
      </c>
      <c r="J676" s="2" t="n">
        <v>3.7</v>
      </c>
      <c r="K676" s="2" t="n">
        <v>3</v>
      </c>
      <c r="L676" s="2" t="inlineStr">
        <is>
          <t>Active</t>
        </is>
      </c>
    </row>
    <row r="677">
      <c r="A677" s="2" t="inlineStr">
        <is>
          <t>EMP00965</t>
        </is>
      </c>
      <c r="B677" s="2" t="inlineStr">
        <is>
          <t>Customer Support</t>
        </is>
      </c>
      <c r="C677" s="2" t="inlineStr">
        <is>
          <t>Support Associate</t>
        </is>
      </c>
      <c r="D677" s="2" t="n">
        <v>35</v>
      </c>
      <c r="E677" s="2" t="n">
        <v>2.5</v>
      </c>
      <c r="F677" s="2" t="n">
        <v>488000</v>
      </c>
      <c r="G677" s="2" t="inlineStr">
        <is>
          <t>No</t>
        </is>
      </c>
      <c r="H677" s="2" t="n">
        <v>22</v>
      </c>
      <c r="I677" s="2" t="n">
        <v>3.2</v>
      </c>
      <c r="J677" s="2" t="n">
        <v>3.8</v>
      </c>
      <c r="K677" s="2" t="n">
        <v>3.8</v>
      </c>
      <c r="L677" s="2" t="inlineStr">
        <is>
          <t>Active</t>
        </is>
      </c>
    </row>
    <row r="678">
      <c r="A678" s="2" t="inlineStr">
        <is>
          <t>EMP00156</t>
        </is>
      </c>
      <c r="B678" s="2" t="inlineStr">
        <is>
          <t>Finance</t>
        </is>
      </c>
      <c r="C678" s="2" t="inlineStr">
        <is>
          <t>Financial Analyst</t>
        </is>
      </c>
      <c r="D678" s="2" t="n">
        <v>36</v>
      </c>
      <c r="E678" s="2" t="n">
        <v>3.1</v>
      </c>
      <c r="F678" s="2" t="n">
        <v>942000</v>
      </c>
      <c r="G678" s="2" t="inlineStr">
        <is>
          <t>No</t>
        </is>
      </c>
      <c r="H678" s="2" t="n">
        <v>57</v>
      </c>
      <c r="I678" s="2" t="n">
        <v>2.2</v>
      </c>
      <c r="J678" s="2" t="n">
        <v>3.1</v>
      </c>
      <c r="K678" s="2" t="n">
        <v>2.7</v>
      </c>
      <c r="L678" s="2" t="inlineStr">
        <is>
          <t>Active</t>
        </is>
      </c>
    </row>
    <row r="679">
      <c r="A679" s="2" t="inlineStr">
        <is>
          <t>EMP00963</t>
        </is>
      </c>
      <c r="B679" s="2" t="inlineStr">
        <is>
          <t>Sales</t>
        </is>
      </c>
      <c r="C679" s="2" t="inlineStr">
        <is>
          <t>Sales Executive</t>
        </is>
      </c>
      <c r="D679" s="2" t="n">
        <v>43</v>
      </c>
      <c r="E679" s="2" t="n">
        <v>1.4</v>
      </c>
      <c r="F679" s="2" t="n">
        <v>809000</v>
      </c>
      <c r="G679" s="2" t="inlineStr">
        <is>
          <t>No</t>
        </is>
      </c>
      <c r="H679" s="2" t="n">
        <v>7</v>
      </c>
      <c r="I679" s="2" t="n">
        <v>3.4</v>
      </c>
      <c r="J679" s="2" t="n">
        <v>3.1</v>
      </c>
      <c r="K679" s="2" t="n">
        <v>3</v>
      </c>
      <c r="L679" s="2" t="inlineStr">
        <is>
          <t>Active</t>
        </is>
      </c>
    </row>
    <row r="680">
      <c r="A680" s="2" t="inlineStr">
        <is>
          <t>EMP00601</t>
        </is>
      </c>
      <c r="B680" s="2" t="inlineStr">
        <is>
          <t>Operations</t>
        </is>
      </c>
      <c r="C680" s="2" t="inlineStr">
        <is>
          <t>Process Lead</t>
        </is>
      </c>
      <c r="D680" s="2" t="n">
        <v>45</v>
      </c>
      <c r="E680" s="2" t="n">
        <v>3.3</v>
      </c>
      <c r="F680" s="2" t="n">
        <v>629000</v>
      </c>
      <c r="G680" s="2" t="inlineStr">
        <is>
          <t>No</t>
        </is>
      </c>
      <c r="H680" s="2" t="n">
        <v>43</v>
      </c>
      <c r="I680" s="2" t="n">
        <v>1.6</v>
      </c>
      <c r="J680" s="2" t="n">
        <v>2.1</v>
      </c>
      <c r="K680" s="2" t="n">
        <v>2.8</v>
      </c>
      <c r="L680" s="2" t="inlineStr">
        <is>
          <t>Active</t>
        </is>
      </c>
    </row>
    <row r="681">
      <c r="A681" s="2" t="inlineStr">
        <is>
          <t>EMP00921</t>
        </is>
      </c>
      <c r="B681" s="2" t="inlineStr">
        <is>
          <t>Sales</t>
        </is>
      </c>
      <c r="C681" s="2" t="inlineStr">
        <is>
          <t>Sales Executive</t>
        </is>
      </c>
      <c r="D681" s="2" t="n">
        <v>47</v>
      </c>
      <c r="E681" s="2" t="n">
        <v>1.6</v>
      </c>
      <c r="F681" s="2" t="n">
        <v>693000</v>
      </c>
      <c r="G681" s="2" t="inlineStr">
        <is>
          <t>No</t>
        </is>
      </c>
      <c r="H681" s="2" t="n">
        <v>20</v>
      </c>
      <c r="I681" s="2" t="n">
        <v>2.7</v>
      </c>
      <c r="J681" s="2" t="n">
        <v>3.4</v>
      </c>
      <c r="K681" s="2" t="n">
        <v>3</v>
      </c>
      <c r="L681" s="2" t="inlineStr">
        <is>
          <t>Active</t>
        </is>
      </c>
    </row>
    <row r="682">
      <c r="A682" s="2" t="inlineStr">
        <is>
          <t>EMP00249</t>
        </is>
      </c>
      <c r="B682" s="2" t="inlineStr">
        <is>
          <t>Engineering</t>
        </is>
      </c>
      <c r="C682" s="2" t="inlineStr">
        <is>
          <t>Engineering Manager</t>
        </is>
      </c>
      <c r="D682" s="2" t="n">
        <v>23</v>
      </c>
      <c r="E682" s="2" t="n">
        <v>4.6</v>
      </c>
      <c r="F682" s="2" t="n">
        <v>1118000</v>
      </c>
      <c r="G682" s="2" t="inlineStr">
        <is>
          <t>No</t>
        </is>
      </c>
      <c r="H682" s="2" t="n">
        <v>28</v>
      </c>
      <c r="I682" s="2" t="n">
        <v>2.5</v>
      </c>
      <c r="J682" s="2" t="n">
        <v>4.8</v>
      </c>
      <c r="K682" s="2" t="n">
        <v>4.3</v>
      </c>
      <c r="L682" s="2" t="inlineStr">
        <is>
          <t>Resigned</t>
        </is>
      </c>
    </row>
    <row r="683">
      <c r="A683" s="2" t="inlineStr">
        <is>
          <t>EMP00442</t>
        </is>
      </c>
      <c r="B683" s="2" t="inlineStr">
        <is>
          <t>Sales</t>
        </is>
      </c>
      <c r="C683" s="2" t="inlineStr">
        <is>
          <t>Sales Manager</t>
        </is>
      </c>
      <c r="D683" s="2" t="n">
        <v>35</v>
      </c>
      <c r="E683" s="2" t="n">
        <v>1.8</v>
      </c>
      <c r="F683" s="2" t="n">
        <v>711000</v>
      </c>
      <c r="G683" s="2" t="inlineStr">
        <is>
          <t>No</t>
        </is>
      </c>
      <c r="H683" s="2" t="n">
        <v>39</v>
      </c>
      <c r="I683" s="2" t="n">
        <v>3.4</v>
      </c>
      <c r="J683" s="2" t="n">
        <v>4.4</v>
      </c>
      <c r="K683" s="2" t="n">
        <v>2.2</v>
      </c>
      <c r="L683" s="2" t="inlineStr">
        <is>
          <t>Resigned</t>
        </is>
      </c>
    </row>
    <row r="684">
      <c r="A684" s="2" t="inlineStr">
        <is>
          <t>EMP01106</t>
        </is>
      </c>
      <c r="B684" s="2" t="inlineStr">
        <is>
          <t>HR</t>
        </is>
      </c>
      <c r="C684" s="2" t="inlineStr">
        <is>
          <t>HR Manager</t>
        </is>
      </c>
      <c r="D684" s="2" t="n">
        <v>27</v>
      </c>
      <c r="E684" s="2" t="n">
        <v>2.3</v>
      </c>
      <c r="F684" s="2" t="n">
        <v>556000</v>
      </c>
      <c r="G684" s="2" t="inlineStr">
        <is>
          <t>Yes</t>
        </is>
      </c>
      <c r="H684" s="2" t="n">
        <v>40</v>
      </c>
      <c r="I684" s="2" t="n">
        <v>2.9</v>
      </c>
      <c r="J684" s="2" t="n">
        <v>3.9</v>
      </c>
      <c r="K684" s="2" t="n">
        <v>3.4</v>
      </c>
      <c r="L684" s="2" t="inlineStr">
        <is>
          <t>Resigned</t>
        </is>
      </c>
    </row>
    <row r="685">
      <c r="A685" s="2" t="inlineStr">
        <is>
          <t>EMP01119</t>
        </is>
      </c>
      <c r="B685" s="2" t="inlineStr">
        <is>
          <t>Engineering</t>
        </is>
      </c>
      <c r="C685" s="2" t="inlineStr">
        <is>
          <t>Engineering Manager</t>
        </is>
      </c>
      <c r="D685" s="2" t="n">
        <v>38</v>
      </c>
      <c r="E685" s="2" t="n">
        <v>2.3</v>
      </c>
      <c r="F685" s="2" t="n">
        <v>984000</v>
      </c>
      <c r="G685" s="2" t="inlineStr">
        <is>
          <t>No</t>
        </is>
      </c>
      <c r="H685" s="2" t="n">
        <v>46</v>
      </c>
      <c r="I685" s="2" t="n">
        <v>5</v>
      </c>
      <c r="J685" s="2" t="n">
        <v>4.8</v>
      </c>
      <c r="K685" s="2" t="n">
        <v>2.3</v>
      </c>
      <c r="L685" s="2" t="inlineStr">
        <is>
          <t>Active</t>
        </is>
      </c>
    </row>
    <row r="686">
      <c r="A686" s="2" t="inlineStr">
        <is>
          <t>EMP00543</t>
        </is>
      </c>
      <c r="B686" s="2" t="inlineStr">
        <is>
          <t>HR</t>
        </is>
      </c>
      <c r="C686" s="2" t="inlineStr">
        <is>
          <t>HR Manager</t>
        </is>
      </c>
      <c r="D686" s="2" t="n">
        <v>32</v>
      </c>
      <c r="E686" s="2" t="n">
        <v>3.3</v>
      </c>
      <c r="F686" s="2" t="n">
        <v>728000</v>
      </c>
      <c r="G686" s="2" t="inlineStr">
        <is>
          <t>No</t>
        </is>
      </c>
      <c r="H686" s="2" t="n">
        <v>58</v>
      </c>
      <c r="I686" s="2" t="n">
        <v>4.7</v>
      </c>
      <c r="J686" s="2" t="n">
        <v>3.8</v>
      </c>
      <c r="K686" s="2" t="n">
        <v>2.6</v>
      </c>
      <c r="L686" s="2" t="inlineStr">
        <is>
          <t>Active</t>
        </is>
      </c>
    </row>
    <row r="687">
      <c r="A687" s="2" t="inlineStr">
        <is>
          <t>EMP00702</t>
        </is>
      </c>
      <c r="B687" s="2" t="inlineStr">
        <is>
          <t>Engineering</t>
        </is>
      </c>
      <c r="C687" s="2" t="inlineStr">
        <is>
          <t>Software Engineer</t>
        </is>
      </c>
      <c r="D687" s="2" t="n">
        <v>30</v>
      </c>
      <c r="E687" s="2" t="n">
        <v>3.4</v>
      </c>
      <c r="F687" s="2" t="n">
        <v>1230000</v>
      </c>
      <c r="G687" s="2" t="inlineStr">
        <is>
          <t>No</t>
        </is>
      </c>
      <c r="H687" s="2" t="n">
        <v>23</v>
      </c>
      <c r="I687" s="2" t="n">
        <v>1.1</v>
      </c>
      <c r="J687" s="2" t="n">
        <v>3.2</v>
      </c>
      <c r="K687" s="2" t="n">
        <v>3.9</v>
      </c>
      <c r="L687" s="2" t="inlineStr">
        <is>
          <t>Active</t>
        </is>
      </c>
    </row>
    <row r="688">
      <c r="A688" s="2" t="inlineStr">
        <is>
          <t>EMP00118</t>
        </is>
      </c>
      <c r="B688" s="2" t="inlineStr">
        <is>
          <t>Finance</t>
        </is>
      </c>
      <c r="C688" s="2" t="inlineStr">
        <is>
          <t>Accountant</t>
        </is>
      </c>
      <c r="D688" s="2" t="n">
        <v>52</v>
      </c>
      <c r="E688" s="2" t="n">
        <v>11.6</v>
      </c>
      <c r="F688" s="2" t="n">
        <v>1297000</v>
      </c>
      <c r="G688" s="2" t="inlineStr">
        <is>
          <t>No</t>
        </is>
      </c>
      <c r="H688" s="2" t="n">
        <v>6</v>
      </c>
      <c r="I688" s="2" t="n">
        <v>3.3</v>
      </c>
      <c r="J688" s="2" t="n">
        <v>3.2</v>
      </c>
      <c r="K688" s="2" t="n">
        <v>3.6</v>
      </c>
      <c r="L688" s="2" t="inlineStr">
        <is>
          <t>Active</t>
        </is>
      </c>
    </row>
    <row r="689">
      <c r="A689" s="2" t="inlineStr">
        <is>
          <t>EMP00758</t>
        </is>
      </c>
      <c r="B689" s="2" t="inlineStr">
        <is>
          <t>Customer Support</t>
        </is>
      </c>
      <c r="C689" s="2" t="inlineStr">
        <is>
          <t>Support Manager</t>
        </is>
      </c>
      <c r="D689" s="2" t="n">
        <v>42</v>
      </c>
      <c r="E689" s="2" t="n">
        <v>6.2</v>
      </c>
      <c r="F689" s="2" t="n">
        <v>718000</v>
      </c>
      <c r="G689" s="2" t="inlineStr">
        <is>
          <t>Yes</t>
        </is>
      </c>
      <c r="H689" s="2" t="n">
        <v>21</v>
      </c>
      <c r="I689" s="2" t="n">
        <v>2.8</v>
      </c>
      <c r="J689" s="2" t="n">
        <v>3.1</v>
      </c>
      <c r="K689" s="2" t="n">
        <v>2</v>
      </c>
      <c r="L689" s="2" t="inlineStr">
        <is>
          <t>Active</t>
        </is>
      </c>
    </row>
    <row r="690">
      <c r="A690" s="2" t="inlineStr">
        <is>
          <t>EMP00629</t>
        </is>
      </c>
      <c r="B690" s="2" t="inlineStr">
        <is>
          <t>Operations</t>
        </is>
      </c>
      <c r="C690" s="2" t="inlineStr">
        <is>
          <t>Ops Analyst</t>
        </is>
      </c>
      <c r="D690" s="2" t="n">
        <v>35</v>
      </c>
      <c r="E690" s="2" t="n">
        <v>4.5</v>
      </c>
      <c r="F690" s="2" t="n">
        <v>690000</v>
      </c>
      <c r="G690" s="2" t="inlineStr">
        <is>
          <t>Yes</t>
        </is>
      </c>
      <c r="H690" s="2" t="n">
        <v>13</v>
      </c>
      <c r="I690" s="2" t="n">
        <v>4.3</v>
      </c>
      <c r="J690" s="2" t="n">
        <v>3.1</v>
      </c>
      <c r="K690" s="2" t="n">
        <v>2</v>
      </c>
      <c r="L690" s="2" t="inlineStr">
        <is>
          <t>Active</t>
        </is>
      </c>
    </row>
    <row r="691">
      <c r="A691" s="2" t="inlineStr">
        <is>
          <t>EMP01182</t>
        </is>
      </c>
      <c r="B691" s="2" t="inlineStr">
        <is>
          <t>Sales</t>
        </is>
      </c>
      <c r="C691" s="2" t="inlineStr">
        <is>
          <t>Sales Manager</t>
        </is>
      </c>
      <c r="D691" s="2" t="n">
        <v>50</v>
      </c>
      <c r="E691" s="2" t="n">
        <v>2.2</v>
      </c>
      <c r="F691" s="2" t="n">
        <v>638000</v>
      </c>
      <c r="G691" s="2" t="inlineStr">
        <is>
          <t>No</t>
        </is>
      </c>
      <c r="H691" s="2" t="n">
        <v>2</v>
      </c>
      <c r="I691" s="2" t="n">
        <v>3.4</v>
      </c>
      <c r="J691" s="2" t="n">
        <v>2.2</v>
      </c>
      <c r="K691" s="2" t="n">
        <v>3.3</v>
      </c>
      <c r="L691" s="2" t="inlineStr">
        <is>
          <t>Active</t>
        </is>
      </c>
    </row>
    <row r="692">
      <c r="A692" s="2" t="inlineStr">
        <is>
          <t>EMP00967</t>
        </is>
      </c>
      <c r="B692" s="2" t="inlineStr">
        <is>
          <t>Customer Support</t>
        </is>
      </c>
      <c r="C692" s="2" t="inlineStr">
        <is>
          <t>Support Lead</t>
        </is>
      </c>
      <c r="D692" s="2" t="n">
        <v>28</v>
      </c>
      <c r="E692" s="2" t="n">
        <v>2.4</v>
      </c>
      <c r="F692" s="2" t="n">
        <v>597000</v>
      </c>
      <c r="G692" s="2" t="inlineStr">
        <is>
          <t>Yes</t>
        </is>
      </c>
      <c r="H692" s="2" t="n">
        <v>5</v>
      </c>
      <c r="I692" s="2" t="n">
        <v>3.3</v>
      </c>
      <c r="J692" s="2" t="n">
        <v>3</v>
      </c>
      <c r="K692" s="2" t="n">
        <v>4.2</v>
      </c>
      <c r="L692" s="2" t="inlineStr">
        <is>
          <t>Active</t>
        </is>
      </c>
    </row>
    <row r="693">
      <c r="A693" s="2" t="inlineStr">
        <is>
          <t>EMP00292</t>
        </is>
      </c>
      <c r="B693" s="2" t="inlineStr">
        <is>
          <t>Sales</t>
        </is>
      </c>
      <c r="C693" s="2" t="inlineStr">
        <is>
          <t>Account Manager</t>
        </is>
      </c>
      <c r="D693" s="2" t="n">
        <v>49</v>
      </c>
      <c r="E693" s="2" t="n">
        <v>3.4</v>
      </c>
      <c r="F693" s="2" t="n">
        <v>807000</v>
      </c>
      <c r="G693" s="2" t="inlineStr">
        <is>
          <t>No</t>
        </is>
      </c>
      <c r="H693" s="2" t="n">
        <v>36</v>
      </c>
      <c r="I693" s="2" t="n">
        <v>3.5</v>
      </c>
      <c r="J693" s="2" t="n">
        <v>3.8</v>
      </c>
      <c r="K693" s="2" t="n">
        <v>3</v>
      </c>
      <c r="L693" s="2" t="inlineStr">
        <is>
          <t>Active</t>
        </is>
      </c>
    </row>
    <row r="694">
      <c r="A694" s="2" t="inlineStr">
        <is>
          <t>EMP01063</t>
        </is>
      </c>
      <c r="B694" s="2" t="inlineStr">
        <is>
          <t>Engineering</t>
        </is>
      </c>
      <c r="C694" s="2" t="inlineStr">
        <is>
          <t>Engineering Manager</t>
        </is>
      </c>
      <c r="D694" s="2" t="n">
        <v>41</v>
      </c>
      <c r="E694" s="2" t="n">
        <v>1.2</v>
      </c>
      <c r="F694" s="2" t="n">
        <v>1063000</v>
      </c>
      <c r="G694" s="2" t="inlineStr">
        <is>
          <t>Yes</t>
        </is>
      </c>
      <c r="H694" s="2" t="n">
        <v>41</v>
      </c>
      <c r="I694" s="2" t="n">
        <v>4.6</v>
      </c>
      <c r="J694" s="2" t="n">
        <v>3.3</v>
      </c>
      <c r="K694" s="2" t="n">
        <v>3.1</v>
      </c>
      <c r="L694" s="2" t="inlineStr">
        <is>
          <t>Resigned</t>
        </is>
      </c>
    </row>
    <row r="695">
      <c r="A695" s="2" t="inlineStr">
        <is>
          <t>EMP00382</t>
        </is>
      </c>
      <c r="B695" s="2" t="inlineStr">
        <is>
          <t>Customer Support</t>
        </is>
      </c>
      <c r="C695" s="2" t="inlineStr">
        <is>
          <t>Support Manager</t>
        </is>
      </c>
      <c r="D695" s="2" t="n">
        <v>37</v>
      </c>
      <c r="E695" s="2" t="n">
        <v>1.4</v>
      </c>
      <c r="F695" s="2" t="n">
        <v>534000</v>
      </c>
      <c r="G695" s="2" t="inlineStr">
        <is>
          <t>No</t>
        </is>
      </c>
      <c r="H695" s="2" t="n">
        <v>12</v>
      </c>
      <c r="I695" s="2" t="n">
        <v>3.1</v>
      </c>
      <c r="J695" s="2" t="n">
        <v>2.4</v>
      </c>
      <c r="K695" s="2" t="n">
        <v>4.1</v>
      </c>
      <c r="L695" s="2" t="inlineStr">
        <is>
          <t>Resigned</t>
        </is>
      </c>
    </row>
    <row r="696">
      <c r="A696" s="2" t="inlineStr">
        <is>
          <t>EMP00908</t>
        </is>
      </c>
      <c r="B696" s="2" t="inlineStr">
        <is>
          <t>Sales</t>
        </is>
      </c>
      <c r="C696" s="2" t="inlineStr">
        <is>
          <t>Sales Executive</t>
        </is>
      </c>
      <c r="D696" s="2" t="n">
        <v>25</v>
      </c>
      <c r="E696" s="2" t="n">
        <v>7.3</v>
      </c>
      <c r="F696" s="2" t="n">
        <v>851000</v>
      </c>
      <c r="G696" s="2" t="inlineStr">
        <is>
          <t>No</t>
        </is>
      </c>
      <c r="H696" s="2" t="n">
        <v>23</v>
      </c>
      <c r="I696" s="2" t="n">
        <v>2.1</v>
      </c>
      <c r="J696" s="2" t="n">
        <v>3.2</v>
      </c>
      <c r="K696" s="2" t="n">
        <v>3.5</v>
      </c>
      <c r="L696" s="2" t="inlineStr">
        <is>
          <t>Active</t>
        </is>
      </c>
    </row>
    <row r="697">
      <c r="A697" s="2" t="inlineStr">
        <is>
          <t>EMP00954</t>
        </is>
      </c>
      <c r="B697" s="2" t="inlineStr">
        <is>
          <t>Sales</t>
        </is>
      </c>
      <c r="C697" s="2" t="inlineStr">
        <is>
          <t>Sales Manager</t>
        </is>
      </c>
      <c r="D697" s="2" t="n">
        <v>30</v>
      </c>
      <c r="E697" s="2" t="n">
        <v>2.1</v>
      </c>
      <c r="F697" s="2" t="n">
        <v>681000</v>
      </c>
      <c r="G697" s="2" t="inlineStr">
        <is>
          <t>No</t>
        </is>
      </c>
      <c r="H697" s="2" t="n">
        <v>59</v>
      </c>
      <c r="I697" s="2" t="n">
        <v>3.9</v>
      </c>
      <c r="J697" s="2" t="n">
        <v>3.7</v>
      </c>
      <c r="K697" s="2" t="n">
        <v>2.5</v>
      </c>
      <c r="L697" s="2" t="inlineStr">
        <is>
          <t>Active</t>
        </is>
      </c>
    </row>
    <row r="698">
      <c r="A698" s="2" t="inlineStr">
        <is>
          <t>EMP00201</t>
        </is>
      </c>
      <c r="B698" s="2" t="inlineStr">
        <is>
          <t>HR</t>
        </is>
      </c>
      <c r="C698" s="2" t="inlineStr">
        <is>
          <t>HR Manager</t>
        </is>
      </c>
      <c r="D698" s="2" t="n">
        <v>37</v>
      </c>
      <c r="E698" s="2" t="n">
        <v>1.6</v>
      </c>
      <c r="F698" s="2" t="n">
        <v>652000</v>
      </c>
      <c r="G698" s="2" t="inlineStr">
        <is>
          <t>No</t>
        </is>
      </c>
      <c r="H698" s="2" t="n">
        <v>19</v>
      </c>
      <c r="I698" s="2" t="n">
        <v>2.1</v>
      </c>
      <c r="J698" s="2" t="n">
        <v>3.1</v>
      </c>
      <c r="K698" s="2" t="n">
        <v>3.3</v>
      </c>
      <c r="L698" s="2" t="inlineStr">
        <is>
          <t>Resigned</t>
        </is>
      </c>
    </row>
    <row r="699">
      <c r="A699" s="2" t="inlineStr">
        <is>
          <t>EMP00597</t>
        </is>
      </c>
      <c r="B699" s="2" t="inlineStr">
        <is>
          <t>Finance</t>
        </is>
      </c>
      <c r="C699" s="2" t="inlineStr">
        <is>
          <t>Financial Analyst</t>
        </is>
      </c>
      <c r="D699" s="2" t="n">
        <v>26</v>
      </c>
      <c r="E699" s="2" t="n">
        <v>7.6</v>
      </c>
      <c r="F699" s="2" t="n">
        <v>1249000</v>
      </c>
      <c r="G699" s="2" t="inlineStr">
        <is>
          <t>Yes</t>
        </is>
      </c>
      <c r="H699" s="2" t="n">
        <v>51</v>
      </c>
      <c r="I699" s="2" t="n">
        <v>3.9</v>
      </c>
      <c r="J699" s="2" t="n">
        <v>1.2</v>
      </c>
      <c r="K699" s="2" t="n">
        <v>1.4</v>
      </c>
      <c r="L699" s="2" t="inlineStr">
        <is>
          <t>Active</t>
        </is>
      </c>
    </row>
    <row r="700">
      <c r="A700" s="2" t="inlineStr">
        <is>
          <t>EMP01026</t>
        </is>
      </c>
      <c r="B700" s="2" t="inlineStr">
        <is>
          <t>Engineering</t>
        </is>
      </c>
      <c r="C700" s="2" t="inlineStr">
        <is>
          <t>Engineering Manager</t>
        </is>
      </c>
      <c r="D700" s="2" t="n">
        <v>23</v>
      </c>
      <c r="E700" s="2" t="n">
        <v>3.6</v>
      </c>
      <c r="F700" s="2" t="n">
        <v>1041000</v>
      </c>
      <c r="G700" s="2" t="inlineStr">
        <is>
          <t>No</t>
        </is>
      </c>
      <c r="H700" s="2" t="n">
        <v>40</v>
      </c>
      <c r="I700" s="2" t="n">
        <v>3.5</v>
      </c>
      <c r="J700" s="2" t="n">
        <v>4.9</v>
      </c>
      <c r="K700" s="2" t="n">
        <v>2.8</v>
      </c>
      <c r="L700" s="2" t="inlineStr">
        <is>
          <t>Active</t>
        </is>
      </c>
    </row>
    <row r="701">
      <c r="A701" s="2" t="inlineStr">
        <is>
          <t>EMP01160</t>
        </is>
      </c>
      <c r="B701" s="2" t="inlineStr">
        <is>
          <t>HR</t>
        </is>
      </c>
      <c r="C701" s="2" t="inlineStr">
        <is>
          <t>Recruiter</t>
        </is>
      </c>
      <c r="D701" s="2" t="n">
        <v>37</v>
      </c>
      <c r="E701" s="2" t="n">
        <v>4.5</v>
      </c>
      <c r="F701" s="2" t="n">
        <v>771000</v>
      </c>
      <c r="G701" s="2" t="inlineStr">
        <is>
          <t>No</t>
        </is>
      </c>
      <c r="H701" s="2" t="n">
        <v>43</v>
      </c>
      <c r="I701" s="2" t="n">
        <v>3.2</v>
      </c>
      <c r="J701" s="2" t="n">
        <v>2.6</v>
      </c>
      <c r="K701" s="2" t="n">
        <v>3.9</v>
      </c>
      <c r="L701" s="2" t="inlineStr">
        <is>
          <t>Active</t>
        </is>
      </c>
    </row>
    <row r="702">
      <c r="A702" s="2" t="inlineStr">
        <is>
          <t>EMP00900</t>
        </is>
      </c>
      <c r="B702" s="2" t="inlineStr">
        <is>
          <t>Operations</t>
        </is>
      </c>
      <c r="C702" s="2" t="inlineStr">
        <is>
          <t>Process Lead</t>
        </is>
      </c>
      <c r="D702" s="2" t="n">
        <v>27</v>
      </c>
      <c r="E702" s="2" t="n">
        <v>2.9</v>
      </c>
      <c r="F702" s="2" t="n">
        <v>644000</v>
      </c>
      <c r="G702" s="2" t="inlineStr">
        <is>
          <t>No</t>
        </is>
      </c>
      <c r="H702" s="2" t="n">
        <v>10</v>
      </c>
      <c r="I702" s="2" t="n">
        <v>2.6</v>
      </c>
      <c r="J702" s="2" t="n">
        <v>4.5</v>
      </c>
      <c r="K702" s="2" t="n">
        <v>2.8</v>
      </c>
      <c r="L702" s="2" t="inlineStr">
        <is>
          <t>Active</t>
        </is>
      </c>
    </row>
    <row r="703">
      <c r="A703" s="2" t="inlineStr">
        <is>
          <t>EMP00506</t>
        </is>
      </c>
      <c r="B703" s="2" t="inlineStr">
        <is>
          <t>HR</t>
        </is>
      </c>
      <c r="C703" s="2" t="inlineStr">
        <is>
          <t>HR Manager</t>
        </is>
      </c>
      <c r="D703" s="2" t="n">
        <v>26</v>
      </c>
      <c r="E703" s="2" t="n">
        <v>6.2</v>
      </c>
      <c r="F703" s="2" t="n">
        <v>655000</v>
      </c>
      <c r="G703" s="2" t="inlineStr">
        <is>
          <t>Yes</t>
        </is>
      </c>
      <c r="H703" s="2" t="n">
        <v>14</v>
      </c>
      <c r="I703" s="2" t="n">
        <v>3.8</v>
      </c>
      <c r="J703" s="2" t="n">
        <v>3.1</v>
      </c>
      <c r="K703" s="2" t="n">
        <v>4.7</v>
      </c>
      <c r="L703" s="2" t="inlineStr">
        <is>
          <t>Active</t>
        </is>
      </c>
    </row>
    <row r="704">
      <c r="A704" s="2" t="inlineStr">
        <is>
          <t>EMP00349</t>
        </is>
      </c>
      <c r="B704" s="2" t="inlineStr">
        <is>
          <t>Operations</t>
        </is>
      </c>
      <c r="C704" s="2" t="inlineStr">
        <is>
          <t>Ops Manager</t>
        </is>
      </c>
      <c r="D704" s="2" t="n">
        <v>46</v>
      </c>
      <c r="E704" s="2" t="n">
        <v>3.8</v>
      </c>
      <c r="F704" s="2" t="n">
        <v>749000</v>
      </c>
      <c r="G704" s="2" t="inlineStr">
        <is>
          <t>No</t>
        </is>
      </c>
      <c r="H704" s="2" t="n">
        <v>47</v>
      </c>
      <c r="I704" s="2" t="n">
        <v>3.5</v>
      </c>
      <c r="J704" s="2" t="n">
        <v>3</v>
      </c>
      <c r="K704" s="2" t="n">
        <v>4.4</v>
      </c>
      <c r="L704" s="2" t="inlineStr">
        <is>
          <t>Active</t>
        </is>
      </c>
    </row>
    <row r="705">
      <c r="A705" s="2" t="inlineStr">
        <is>
          <t>EMP00969</t>
        </is>
      </c>
      <c r="B705" s="2" t="inlineStr">
        <is>
          <t>Operations</t>
        </is>
      </c>
      <c r="C705" s="2" t="inlineStr">
        <is>
          <t>Ops Manager</t>
        </is>
      </c>
      <c r="D705" s="2" t="n">
        <v>24</v>
      </c>
      <c r="E705" s="2" t="n">
        <v>3.2</v>
      </c>
      <c r="F705" s="2" t="n">
        <v>661000</v>
      </c>
      <c r="G705" s="2" t="inlineStr">
        <is>
          <t>No</t>
        </is>
      </c>
      <c r="H705" s="2" t="n">
        <v>26</v>
      </c>
      <c r="I705" s="2" t="n">
        <v>4.4</v>
      </c>
      <c r="J705" s="2" t="n">
        <v>3</v>
      </c>
      <c r="K705" s="2" t="n">
        <v>3.2</v>
      </c>
      <c r="L705" s="2" t="inlineStr">
        <is>
          <t>Active</t>
        </is>
      </c>
    </row>
    <row r="706">
      <c r="A706" s="2" t="inlineStr">
        <is>
          <t>EMP00341</t>
        </is>
      </c>
      <c r="B706" s="2" t="inlineStr">
        <is>
          <t>Sales</t>
        </is>
      </c>
      <c r="C706" s="2" t="inlineStr">
        <is>
          <t>Sales Executive</t>
        </is>
      </c>
      <c r="D706" s="2" t="n">
        <v>38</v>
      </c>
      <c r="E706" s="2" t="n">
        <v>6</v>
      </c>
      <c r="F706" s="2" t="n">
        <v>1015000</v>
      </c>
      <c r="G706" s="2" t="inlineStr">
        <is>
          <t>No</t>
        </is>
      </c>
      <c r="H706" s="2" t="n">
        <v>37</v>
      </c>
      <c r="I706" s="2" t="n">
        <v>3.9</v>
      </c>
      <c r="J706" s="2" t="n">
        <v>3.1</v>
      </c>
      <c r="K706" s="2" t="n">
        <v>3.4</v>
      </c>
      <c r="L706" s="2" t="inlineStr">
        <is>
          <t>Active</t>
        </is>
      </c>
    </row>
    <row r="707">
      <c r="A707" s="2" t="inlineStr">
        <is>
          <t>EMP00616</t>
        </is>
      </c>
      <c r="B707" s="2" t="inlineStr">
        <is>
          <t>Finance</t>
        </is>
      </c>
      <c r="C707" s="2" t="inlineStr">
        <is>
          <t>Accountant</t>
        </is>
      </c>
      <c r="D707" s="2" t="n">
        <v>37</v>
      </c>
      <c r="E707" s="2" t="n">
        <v>0.6</v>
      </c>
      <c r="F707" s="2" t="n">
        <v>735000</v>
      </c>
      <c r="G707" s="2" t="inlineStr">
        <is>
          <t>No</t>
        </is>
      </c>
      <c r="H707" s="2" t="n">
        <v>35</v>
      </c>
      <c r="I707" s="2" t="n">
        <v>4.2</v>
      </c>
      <c r="J707" s="2" t="n">
        <v>2.6</v>
      </c>
      <c r="K707" s="2" t="n">
        <v>3.4</v>
      </c>
      <c r="L707" s="2" t="inlineStr">
        <is>
          <t>Active</t>
        </is>
      </c>
    </row>
    <row r="708">
      <c r="A708" s="2" t="inlineStr">
        <is>
          <t>EMP00155</t>
        </is>
      </c>
      <c r="B708" s="2" t="inlineStr">
        <is>
          <t>Sales</t>
        </is>
      </c>
      <c r="C708" s="2" t="inlineStr">
        <is>
          <t>Sales Manager</t>
        </is>
      </c>
      <c r="D708" s="2" t="n">
        <v>27</v>
      </c>
      <c r="E708" s="2" t="n">
        <v>0.4</v>
      </c>
      <c r="F708" s="2" t="n">
        <v>608000</v>
      </c>
      <c r="G708" s="2" t="inlineStr">
        <is>
          <t>No</t>
        </is>
      </c>
      <c r="H708" s="2" t="n">
        <v>40</v>
      </c>
      <c r="I708" s="2" t="n">
        <v>3.5</v>
      </c>
      <c r="J708" s="2" t="n">
        <v>3.4</v>
      </c>
      <c r="K708" s="2" t="n">
        <v>3.3</v>
      </c>
      <c r="L708" s="2" t="inlineStr">
        <is>
          <t>Active</t>
        </is>
      </c>
    </row>
    <row r="709">
      <c r="A709" s="2" t="inlineStr">
        <is>
          <t>EMP01127</t>
        </is>
      </c>
      <c r="B709" s="2" t="inlineStr">
        <is>
          <t>Operations</t>
        </is>
      </c>
      <c r="C709" s="2" t="inlineStr">
        <is>
          <t>Ops Analyst</t>
        </is>
      </c>
      <c r="D709" s="2" t="n">
        <v>32</v>
      </c>
      <c r="E709" s="2" t="n">
        <v>1.6</v>
      </c>
      <c r="F709" s="2" t="n">
        <v>583000</v>
      </c>
      <c r="G709" s="2" t="inlineStr">
        <is>
          <t>Yes</t>
        </is>
      </c>
      <c r="H709" s="2" t="n">
        <v>48</v>
      </c>
      <c r="I709" s="2" t="n">
        <v>2.5</v>
      </c>
      <c r="J709" s="2" t="n">
        <v>5</v>
      </c>
      <c r="K709" s="2" t="n">
        <v>3.1</v>
      </c>
      <c r="L709" s="2" t="inlineStr">
        <is>
          <t>Resigned</t>
        </is>
      </c>
    </row>
    <row r="710">
      <c r="A710" s="2" t="inlineStr">
        <is>
          <t>EMP00799</t>
        </is>
      </c>
      <c r="B710" s="2" t="inlineStr">
        <is>
          <t>Finance</t>
        </is>
      </c>
      <c r="C710" s="2" t="inlineStr">
        <is>
          <t>Finance Manager</t>
        </is>
      </c>
      <c r="D710" s="2" t="n">
        <v>29</v>
      </c>
      <c r="E710" s="2" t="n">
        <v>2.4</v>
      </c>
      <c r="F710" s="2" t="n">
        <v>819000</v>
      </c>
      <c r="G710" s="2" t="inlineStr">
        <is>
          <t>No</t>
        </is>
      </c>
      <c r="H710" s="2" t="n">
        <v>7</v>
      </c>
      <c r="I710" s="2" t="n">
        <v>3.8</v>
      </c>
      <c r="J710" s="2" t="n">
        <v>4</v>
      </c>
      <c r="K710" s="2" t="n">
        <v>3.2</v>
      </c>
      <c r="L710" s="2" t="inlineStr">
        <is>
          <t>Active</t>
        </is>
      </c>
    </row>
    <row r="711">
      <c r="A711" s="2" t="inlineStr">
        <is>
          <t>EMP00078</t>
        </is>
      </c>
      <c r="B711" s="2" t="inlineStr">
        <is>
          <t>Finance</t>
        </is>
      </c>
      <c r="C711" s="2" t="inlineStr">
        <is>
          <t>Financial Analyst</t>
        </is>
      </c>
      <c r="D711" s="2" t="n">
        <v>46</v>
      </c>
      <c r="E711" s="2" t="n">
        <v>0.7</v>
      </c>
      <c r="F711" s="2" t="n">
        <v>733000</v>
      </c>
      <c r="G711" s="2" t="inlineStr">
        <is>
          <t>No</t>
        </is>
      </c>
      <c r="H711" s="2" t="n">
        <v>18</v>
      </c>
      <c r="I711" s="2" t="n">
        <v>3.2</v>
      </c>
      <c r="J711" s="2" t="n">
        <v>3.8</v>
      </c>
      <c r="K711" s="2" t="n">
        <v>3.9</v>
      </c>
      <c r="L711" s="2" t="inlineStr">
        <is>
          <t>Active</t>
        </is>
      </c>
    </row>
    <row r="712">
      <c r="A712" s="2" t="inlineStr">
        <is>
          <t>EMP00288</t>
        </is>
      </c>
      <c r="B712" s="2" t="inlineStr">
        <is>
          <t>Engineering</t>
        </is>
      </c>
      <c r="C712" s="2" t="inlineStr">
        <is>
          <t>Senior Engineer</t>
        </is>
      </c>
      <c r="D712" s="2" t="n">
        <v>56</v>
      </c>
      <c r="E712" s="2" t="n">
        <v>8</v>
      </c>
      <c r="F712" s="2" t="n">
        <v>1578000</v>
      </c>
      <c r="G712" s="2" t="inlineStr">
        <is>
          <t>No</t>
        </is>
      </c>
      <c r="H712" s="2" t="n">
        <v>43</v>
      </c>
      <c r="I712" s="2" t="n">
        <v>3.3</v>
      </c>
      <c r="J712" s="2" t="n">
        <v>3.2</v>
      </c>
      <c r="K712" s="2" t="n">
        <v>3.6</v>
      </c>
      <c r="L712" s="2" t="inlineStr">
        <is>
          <t>Active</t>
        </is>
      </c>
    </row>
    <row r="713">
      <c r="A713" s="2" t="inlineStr">
        <is>
          <t>EMP00323</t>
        </is>
      </c>
      <c r="B713" s="2" t="inlineStr">
        <is>
          <t>Engineering</t>
        </is>
      </c>
      <c r="C713" s="2" t="inlineStr">
        <is>
          <t>Software Engineer</t>
        </is>
      </c>
      <c r="D713" s="2" t="n">
        <v>42</v>
      </c>
      <c r="E713" s="2" t="n">
        <v>4.7</v>
      </c>
      <c r="F713" s="2" t="n">
        <v>1157000</v>
      </c>
      <c r="G713" s="2" t="inlineStr">
        <is>
          <t>Yes</t>
        </is>
      </c>
      <c r="H713" s="2" t="n">
        <v>12</v>
      </c>
      <c r="I713" s="2" t="n">
        <v>4.7</v>
      </c>
      <c r="J713" s="2" t="n">
        <v>2.4</v>
      </c>
      <c r="K713" s="2" t="n">
        <v>4.2</v>
      </c>
      <c r="L713" s="2" t="inlineStr">
        <is>
          <t>Active</t>
        </is>
      </c>
    </row>
    <row r="714">
      <c r="A714" s="2" t="inlineStr">
        <is>
          <t>EMP00861</t>
        </is>
      </c>
      <c r="B714" s="2" t="inlineStr">
        <is>
          <t>HR</t>
        </is>
      </c>
      <c r="C714" s="2" t="inlineStr">
        <is>
          <t>Recruiter</t>
        </is>
      </c>
      <c r="D714" s="2" t="n">
        <v>29</v>
      </c>
      <c r="E714" s="2" t="n">
        <v>6</v>
      </c>
      <c r="F714" s="2" t="n">
        <v>834000</v>
      </c>
      <c r="G714" s="2" t="inlineStr">
        <is>
          <t>No</t>
        </is>
      </c>
      <c r="H714" s="2" t="n">
        <v>29</v>
      </c>
      <c r="I714" s="2" t="n">
        <v>3.1</v>
      </c>
      <c r="J714" s="2" t="n">
        <v>3.2</v>
      </c>
      <c r="K714" s="2" t="n">
        <v>3.3</v>
      </c>
      <c r="L714" s="2" t="inlineStr">
        <is>
          <t>Active</t>
        </is>
      </c>
    </row>
    <row r="715">
      <c r="A715" s="2" t="inlineStr">
        <is>
          <t>EMP00901</t>
        </is>
      </c>
      <c r="B715" s="2" t="inlineStr">
        <is>
          <t>Operations</t>
        </is>
      </c>
      <c r="C715" s="2" t="inlineStr">
        <is>
          <t>Ops Manager</t>
        </is>
      </c>
      <c r="D715" s="2" t="n">
        <v>30</v>
      </c>
      <c r="E715" s="2" t="n">
        <v>3.5</v>
      </c>
      <c r="F715" s="2" t="n">
        <v>621000</v>
      </c>
      <c r="G715" s="2" t="inlineStr">
        <is>
          <t>No</t>
        </is>
      </c>
      <c r="H715" s="2" t="n">
        <v>49</v>
      </c>
      <c r="I715" s="2" t="n">
        <v>4.4</v>
      </c>
      <c r="J715" s="2" t="n">
        <v>3.4</v>
      </c>
      <c r="K715" s="2" t="n">
        <v>2.4</v>
      </c>
      <c r="L715" s="2" t="inlineStr">
        <is>
          <t>Active</t>
        </is>
      </c>
    </row>
    <row r="716">
      <c r="A716" s="2" t="inlineStr">
        <is>
          <t>EMP00834</t>
        </is>
      </c>
      <c r="B716" s="2" t="inlineStr">
        <is>
          <t>Finance</t>
        </is>
      </c>
      <c r="C716" s="2" t="inlineStr">
        <is>
          <t>Financial Analyst</t>
        </is>
      </c>
      <c r="D716" s="2" t="n">
        <v>38</v>
      </c>
      <c r="E716" s="2" t="n">
        <v>3.2</v>
      </c>
      <c r="F716" s="2" t="n">
        <v>881000</v>
      </c>
      <c r="G716" s="2" t="inlineStr">
        <is>
          <t>No</t>
        </is>
      </c>
      <c r="H716" s="2" t="n">
        <v>42</v>
      </c>
      <c r="I716" s="2" t="n">
        <v>3.9</v>
      </c>
      <c r="J716" s="2" t="n">
        <v>4.1</v>
      </c>
      <c r="K716" s="2" t="n">
        <v>4.5</v>
      </c>
      <c r="L716" s="2" t="inlineStr">
        <is>
          <t>Active</t>
        </is>
      </c>
    </row>
    <row r="717">
      <c r="A717" s="2" t="inlineStr">
        <is>
          <t>EMP00083</t>
        </is>
      </c>
      <c r="B717" s="2" t="inlineStr">
        <is>
          <t>HR</t>
        </is>
      </c>
      <c r="C717" s="2" t="inlineStr">
        <is>
          <t>HR Generalist</t>
        </is>
      </c>
      <c r="D717" s="2" t="n">
        <v>42</v>
      </c>
      <c r="E717" s="2" t="n">
        <v>5</v>
      </c>
      <c r="F717" s="2" t="n">
        <v>733000</v>
      </c>
      <c r="G717" s="2" t="inlineStr">
        <is>
          <t>No</t>
        </is>
      </c>
      <c r="H717" s="2" t="n">
        <v>42</v>
      </c>
      <c r="I717" s="2" t="n">
        <v>4.6</v>
      </c>
      <c r="J717" s="2" t="n">
        <v>3.8</v>
      </c>
      <c r="K717" s="2" t="n">
        <v>3.3</v>
      </c>
      <c r="L717" s="2" t="inlineStr">
        <is>
          <t>Active</t>
        </is>
      </c>
    </row>
    <row r="718">
      <c r="A718" s="2" t="inlineStr">
        <is>
          <t>EMP00830</t>
        </is>
      </c>
      <c r="B718" s="2" t="inlineStr">
        <is>
          <t>Engineering</t>
        </is>
      </c>
      <c r="C718" s="2" t="inlineStr">
        <is>
          <t>Engineering Manager</t>
        </is>
      </c>
      <c r="D718" s="2" t="n">
        <v>40</v>
      </c>
      <c r="E718" s="2" t="n">
        <v>0.9</v>
      </c>
      <c r="F718" s="2" t="n">
        <v>1066000</v>
      </c>
      <c r="G718" s="2" t="inlineStr">
        <is>
          <t>Yes</t>
        </is>
      </c>
      <c r="H718" s="2" t="n">
        <v>53</v>
      </c>
      <c r="I718" s="2" t="n">
        <v>3.1</v>
      </c>
      <c r="J718" s="2" t="n">
        <v>2.1</v>
      </c>
      <c r="K718" s="2" t="n">
        <v>3.3</v>
      </c>
      <c r="L718" s="2" t="inlineStr">
        <is>
          <t>Resigned</t>
        </is>
      </c>
    </row>
    <row r="719">
      <c r="A719" s="2" t="inlineStr">
        <is>
          <t>EMP00465</t>
        </is>
      </c>
      <c r="B719" s="2" t="inlineStr">
        <is>
          <t>Operations</t>
        </is>
      </c>
      <c r="C719" s="2" t="inlineStr">
        <is>
          <t>Ops Analyst</t>
        </is>
      </c>
      <c r="D719" s="2" t="n">
        <v>27</v>
      </c>
      <c r="E719" s="2" t="n">
        <v>1.1</v>
      </c>
      <c r="F719" s="2" t="n">
        <v>730000</v>
      </c>
      <c r="G719" s="2" t="inlineStr">
        <is>
          <t>No</t>
        </is>
      </c>
      <c r="H719" s="2" t="n">
        <v>21</v>
      </c>
      <c r="I719" s="2" t="n">
        <v>4.3</v>
      </c>
      <c r="J719" s="2" t="n">
        <v>4.3</v>
      </c>
      <c r="K719" s="2" t="n">
        <v>2.8</v>
      </c>
      <c r="L719" s="2" t="inlineStr">
        <is>
          <t>Active</t>
        </is>
      </c>
    </row>
    <row r="720">
      <c r="A720" s="2" t="inlineStr">
        <is>
          <t>EMP00884</t>
        </is>
      </c>
      <c r="B720" s="2" t="inlineStr">
        <is>
          <t>Operations</t>
        </is>
      </c>
      <c r="C720" s="2" t="inlineStr">
        <is>
          <t>Ops Analyst</t>
        </is>
      </c>
      <c r="D720" s="2" t="n">
        <v>32</v>
      </c>
      <c r="E720" s="2" t="n">
        <v>2.7</v>
      </c>
      <c r="F720" s="2" t="n">
        <v>621000</v>
      </c>
      <c r="G720" s="2" t="inlineStr">
        <is>
          <t>No</t>
        </is>
      </c>
      <c r="H720" s="2" t="n">
        <v>53</v>
      </c>
      <c r="I720" s="2" t="n">
        <v>2.9</v>
      </c>
      <c r="J720" s="2" t="n">
        <v>4.1</v>
      </c>
      <c r="K720" s="2" t="n">
        <v>4</v>
      </c>
      <c r="L720" s="2" t="inlineStr">
        <is>
          <t>Active</t>
        </is>
      </c>
    </row>
    <row r="721">
      <c r="A721" s="2" t="inlineStr">
        <is>
          <t>EMP00793</t>
        </is>
      </c>
      <c r="B721" s="2" t="inlineStr">
        <is>
          <t>Engineering</t>
        </is>
      </c>
      <c r="C721" s="2" t="inlineStr">
        <is>
          <t>Engineering Manager</t>
        </is>
      </c>
      <c r="D721" s="2" t="n">
        <v>21</v>
      </c>
      <c r="E721" s="2" t="n">
        <v>1.2</v>
      </c>
      <c r="F721" s="2" t="n">
        <v>1025000</v>
      </c>
      <c r="G721" s="2" t="inlineStr">
        <is>
          <t>Yes</t>
        </is>
      </c>
      <c r="H721" s="2" t="n">
        <v>28</v>
      </c>
      <c r="I721" s="2" t="n">
        <v>3.4</v>
      </c>
      <c r="J721" s="2" t="n">
        <v>2.5</v>
      </c>
      <c r="K721" s="2" t="n">
        <v>3.2</v>
      </c>
      <c r="L721" s="2" t="inlineStr">
        <is>
          <t>Active</t>
        </is>
      </c>
    </row>
    <row r="722">
      <c r="A722" s="2" t="inlineStr">
        <is>
          <t>EMP01194</t>
        </is>
      </c>
      <c r="B722" s="2" t="inlineStr">
        <is>
          <t>Customer Support</t>
        </is>
      </c>
      <c r="C722" s="2" t="inlineStr">
        <is>
          <t>Support Lead</t>
        </is>
      </c>
      <c r="D722" s="2" t="n">
        <v>35</v>
      </c>
      <c r="E722" s="2" t="n">
        <v>1.2</v>
      </c>
      <c r="F722" s="2" t="n">
        <v>456000</v>
      </c>
      <c r="G722" s="2" t="inlineStr">
        <is>
          <t>No</t>
        </is>
      </c>
      <c r="H722" s="2" t="n">
        <v>35</v>
      </c>
      <c r="I722" s="2" t="n">
        <v>1.6</v>
      </c>
      <c r="J722" s="2" t="n">
        <v>2.7</v>
      </c>
      <c r="K722" s="2" t="n">
        <v>4</v>
      </c>
      <c r="L722" s="2" t="inlineStr">
        <is>
          <t>Active</t>
        </is>
      </c>
    </row>
    <row r="723">
      <c r="A723" s="2" t="inlineStr">
        <is>
          <t>EMP00833</t>
        </is>
      </c>
      <c r="B723" s="2" t="inlineStr">
        <is>
          <t>Engineering</t>
        </is>
      </c>
      <c r="C723" s="2" t="inlineStr">
        <is>
          <t>Engineering Manager</t>
        </is>
      </c>
      <c r="D723" s="2" t="n">
        <v>51</v>
      </c>
      <c r="E723" s="2" t="n">
        <v>10.4</v>
      </c>
      <c r="F723" s="2" t="n">
        <v>1694000</v>
      </c>
      <c r="G723" s="2" t="inlineStr">
        <is>
          <t>No</t>
        </is>
      </c>
      <c r="H723" s="2" t="n">
        <v>52</v>
      </c>
      <c r="I723" s="2" t="n">
        <v>1.7</v>
      </c>
      <c r="J723" s="2" t="n">
        <v>2.1</v>
      </c>
      <c r="K723" s="2" t="n">
        <v>4.2</v>
      </c>
      <c r="L723" s="2" t="inlineStr">
        <is>
          <t>Resigned</t>
        </is>
      </c>
    </row>
    <row r="724">
      <c r="A724" s="2" t="inlineStr">
        <is>
          <t>EMP00334</t>
        </is>
      </c>
      <c r="B724" s="2" t="inlineStr">
        <is>
          <t>Customer Support</t>
        </is>
      </c>
      <c r="C724" s="2" t="inlineStr">
        <is>
          <t>Support Associate</t>
        </is>
      </c>
      <c r="D724" s="2" t="n">
        <v>35</v>
      </c>
      <c r="E724" s="2" t="n">
        <v>1.3</v>
      </c>
      <c r="F724" s="2" t="n">
        <v>528000</v>
      </c>
      <c r="G724" s="2" t="inlineStr">
        <is>
          <t>Yes</t>
        </is>
      </c>
      <c r="H724" s="2" t="n">
        <v>1</v>
      </c>
      <c r="I724" s="2" t="n">
        <v>4.2</v>
      </c>
      <c r="J724" s="2" t="n">
        <v>2.5</v>
      </c>
      <c r="K724" s="2" t="n">
        <v>2.5</v>
      </c>
      <c r="L724" s="2" t="inlineStr">
        <is>
          <t>Active</t>
        </is>
      </c>
    </row>
    <row r="725">
      <c r="A725" s="2" t="inlineStr">
        <is>
          <t>EMP00011</t>
        </is>
      </c>
      <c r="B725" s="2" t="inlineStr">
        <is>
          <t>Engineering</t>
        </is>
      </c>
      <c r="C725" s="2" t="inlineStr">
        <is>
          <t>Senior Engineer</t>
        </is>
      </c>
      <c r="D725" s="2" t="n">
        <v>42</v>
      </c>
      <c r="E725" s="2" t="n">
        <v>3.7</v>
      </c>
      <c r="F725" s="2" t="n">
        <v>1141000</v>
      </c>
      <c r="G725" s="2" t="inlineStr">
        <is>
          <t>No</t>
        </is>
      </c>
      <c r="H725" s="2" t="n">
        <v>47</v>
      </c>
      <c r="I725" s="2" t="n">
        <v>1.2</v>
      </c>
      <c r="J725" s="2" t="n">
        <v>3.4</v>
      </c>
      <c r="K725" s="2" t="n">
        <v>3.5</v>
      </c>
      <c r="L725" s="2" t="inlineStr">
        <is>
          <t>Active</t>
        </is>
      </c>
    </row>
    <row r="726">
      <c r="A726" s="2" t="inlineStr">
        <is>
          <t>EMP00739</t>
        </is>
      </c>
      <c r="B726" s="2" t="inlineStr">
        <is>
          <t>Engineering</t>
        </is>
      </c>
      <c r="C726" s="2" t="inlineStr">
        <is>
          <t>Senior Engineer</t>
        </is>
      </c>
      <c r="D726" s="2" t="n">
        <v>43</v>
      </c>
      <c r="E726" s="2" t="n">
        <v>3.5</v>
      </c>
      <c r="F726" s="2" t="n">
        <v>1190000</v>
      </c>
      <c r="G726" s="2" t="inlineStr">
        <is>
          <t>No</t>
        </is>
      </c>
      <c r="H726" s="2" t="n">
        <v>48</v>
      </c>
      <c r="I726" s="2" t="n">
        <v>3.2</v>
      </c>
      <c r="J726" s="2" t="n">
        <v>1.2</v>
      </c>
      <c r="K726" s="2" t="n">
        <v>3.8</v>
      </c>
      <c r="L726" s="2" t="inlineStr">
        <is>
          <t>Active</t>
        </is>
      </c>
    </row>
    <row r="727">
      <c r="A727" s="2" t="inlineStr">
        <is>
          <t>EMP00471</t>
        </is>
      </c>
      <c r="B727" s="2" t="inlineStr">
        <is>
          <t>Engineering</t>
        </is>
      </c>
      <c r="C727" s="2" t="inlineStr">
        <is>
          <t>Software Engineer</t>
        </is>
      </c>
      <c r="D727" s="2" t="n">
        <v>42</v>
      </c>
      <c r="E727" s="2" t="n">
        <v>1.1</v>
      </c>
      <c r="F727" s="2" t="n">
        <v>1013000</v>
      </c>
      <c r="G727" s="2" t="inlineStr">
        <is>
          <t>Yes</t>
        </is>
      </c>
      <c r="H727" s="2" t="n">
        <v>39</v>
      </c>
      <c r="I727" s="2" t="n">
        <v>2.4</v>
      </c>
      <c r="J727" s="2" t="n">
        <v>2.1</v>
      </c>
      <c r="K727" s="2" t="n">
        <v>3.6</v>
      </c>
      <c r="L727" s="2" t="inlineStr">
        <is>
          <t>Resigned</t>
        </is>
      </c>
    </row>
    <row r="728">
      <c r="A728" s="2" t="inlineStr">
        <is>
          <t>EMP00033</t>
        </is>
      </c>
      <c r="B728" s="2" t="inlineStr">
        <is>
          <t>Engineering</t>
        </is>
      </c>
      <c r="C728" s="2" t="inlineStr">
        <is>
          <t>Software Engineer</t>
        </is>
      </c>
      <c r="D728" s="2" t="n">
        <v>34</v>
      </c>
      <c r="E728" s="2" t="n">
        <v>4.8</v>
      </c>
      <c r="F728" s="2" t="n">
        <v>1260000</v>
      </c>
      <c r="G728" s="2" t="inlineStr">
        <is>
          <t>Yes</t>
        </is>
      </c>
      <c r="H728" s="2" t="n">
        <v>18</v>
      </c>
      <c r="I728" s="2" t="n">
        <v>4.8</v>
      </c>
      <c r="J728" s="2" t="n">
        <v>3.1</v>
      </c>
      <c r="K728" s="2" t="n">
        <v>2.4</v>
      </c>
      <c r="L728" s="2" t="inlineStr">
        <is>
          <t>Resigned</t>
        </is>
      </c>
    </row>
    <row r="729">
      <c r="A729" s="2" t="inlineStr">
        <is>
          <t>EMP00819</t>
        </is>
      </c>
      <c r="B729" s="2" t="inlineStr">
        <is>
          <t>Finance</t>
        </is>
      </c>
      <c r="C729" s="2" t="inlineStr">
        <is>
          <t>Finance Manager</t>
        </is>
      </c>
      <c r="D729" s="2" t="n">
        <v>27</v>
      </c>
      <c r="E729" s="2" t="n">
        <v>0.7</v>
      </c>
      <c r="F729" s="2" t="n">
        <v>759000</v>
      </c>
      <c r="G729" s="2" t="inlineStr">
        <is>
          <t>No</t>
        </is>
      </c>
      <c r="H729" s="2" t="n">
        <v>47</v>
      </c>
      <c r="I729" s="2" t="n">
        <v>3.8</v>
      </c>
      <c r="J729" s="2" t="n">
        <v>2.2</v>
      </c>
      <c r="K729" s="2" t="n">
        <v>4</v>
      </c>
      <c r="L729" s="2" t="inlineStr">
        <is>
          <t>Active</t>
        </is>
      </c>
    </row>
    <row r="730">
      <c r="A730" s="2" t="inlineStr">
        <is>
          <t>EMP00414</t>
        </is>
      </c>
      <c r="B730" s="2" t="inlineStr">
        <is>
          <t>Customer Support</t>
        </is>
      </c>
      <c r="C730" s="2" t="inlineStr">
        <is>
          <t>Support Manager</t>
        </is>
      </c>
      <c r="D730" s="2" t="n">
        <v>42</v>
      </c>
      <c r="E730" s="2" t="n">
        <v>6.1</v>
      </c>
      <c r="F730" s="2" t="n">
        <v>617000</v>
      </c>
      <c r="G730" s="2" t="inlineStr">
        <is>
          <t>No</t>
        </is>
      </c>
      <c r="H730" s="2" t="n">
        <v>35</v>
      </c>
      <c r="I730" s="2" t="n">
        <v>2.1</v>
      </c>
      <c r="J730" s="2" t="n">
        <v>5</v>
      </c>
      <c r="K730" s="2" t="n">
        <v>2.6</v>
      </c>
      <c r="L730" s="2" t="inlineStr">
        <is>
          <t>Active</t>
        </is>
      </c>
    </row>
    <row r="731">
      <c r="A731" s="2" t="inlineStr">
        <is>
          <t>EMP00581</t>
        </is>
      </c>
      <c r="B731" s="2" t="inlineStr">
        <is>
          <t>Operations</t>
        </is>
      </c>
      <c r="C731" s="2" t="inlineStr">
        <is>
          <t>Process Lead</t>
        </is>
      </c>
      <c r="D731" s="2" t="n">
        <v>59</v>
      </c>
      <c r="E731" s="2" t="n">
        <v>6.2</v>
      </c>
      <c r="F731" s="2" t="n">
        <v>716000</v>
      </c>
      <c r="G731" s="2" t="inlineStr">
        <is>
          <t>No</t>
        </is>
      </c>
      <c r="H731" s="2" t="n">
        <v>20</v>
      </c>
      <c r="I731" s="2" t="n">
        <v>2.9</v>
      </c>
      <c r="J731" s="2" t="n">
        <v>3.2</v>
      </c>
      <c r="K731" s="2" t="n">
        <v>3.6</v>
      </c>
      <c r="L731" s="2" t="inlineStr">
        <is>
          <t>Resigned</t>
        </is>
      </c>
    </row>
    <row r="732">
      <c r="A732" s="2" t="inlineStr">
        <is>
          <t>EMP00383</t>
        </is>
      </c>
      <c r="B732" s="2" t="inlineStr">
        <is>
          <t>HR</t>
        </is>
      </c>
      <c r="C732" s="2" t="inlineStr">
        <is>
          <t>HR Manager</t>
        </is>
      </c>
      <c r="D732" s="2" t="n">
        <v>32</v>
      </c>
      <c r="E732" s="2" t="n">
        <v>0.6</v>
      </c>
      <c r="F732" s="2" t="n">
        <v>573000</v>
      </c>
      <c r="G732" s="2" t="inlineStr">
        <is>
          <t>No</t>
        </is>
      </c>
      <c r="H732" s="2" t="n">
        <v>45</v>
      </c>
      <c r="I732" s="2" t="n">
        <v>3.9</v>
      </c>
      <c r="J732" s="2" t="n">
        <v>2.6</v>
      </c>
      <c r="K732" s="2" t="n">
        <v>2.9</v>
      </c>
      <c r="L732" s="2" t="inlineStr">
        <is>
          <t>Resigned</t>
        </is>
      </c>
    </row>
    <row r="733">
      <c r="A733" s="2" t="inlineStr">
        <is>
          <t>EMP00864</t>
        </is>
      </c>
      <c r="B733" s="2" t="inlineStr">
        <is>
          <t>Operations</t>
        </is>
      </c>
      <c r="C733" s="2" t="inlineStr">
        <is>
          <t>Process Lead</t>
        </is>
      </c>
      <c r="D733" s="2" t="n">
        <v>21</v>
      </c>
      <c r="E733" s="2" t="n">
        <v>4.7</v>
      </c>
      <c r="F733" s="2" t="n">
        <v>816000</v>
      </c>
      <c r="G733" s="2" t="inlineStr">
        <is>
          <t>No</t>
        </is>
      </c>
      <c r="H733" s="2" t="n">
        <v>34</v>
      </c>
      <c r="I733" s="2" t="n">
        <v>2.4</v>
      </c>
      <c r="J733" s="2" t="n">
        <v>3.7</v>
      </c>
      <c r="K733" s="2" t="n">
        <v>3.2</v>
      </c>
      <c r="L733" s="2" t="inlineStr">
        <is>
          <t>Resigned</t>
        </is>
      </c>
    </row>
    <row r="734">
      <c r="A734" s="2" t="inlineStr">
        <is>
          <t>EMP00797</t>
        </is>
      </c>
      <c r="B734" s="2" t="inlineStr">
        <is>
          <t>Sales</t>
        </is>
      </c>
      <c r="C734" s="2" t="inlineStr">
        <is>
          <t>Sales Executive</t>
        </is>
      </c>
      <c r="D734" s="2" t="n">
        <v>39</v>
      </c>
      <c r="E734" s="2" t="n">
        <v>3.1</v>
      </c>
      <c r="F734" s="2" t="n">
        <v>816000</v>
      </c>
      <c r="G734" s="2" t="inlineStr">
        <is>
          <t>No</t>
        </is>
      </c>
      <c r="H734" s="2" t="n">
        <v>39</v>
      </c>
      <c r="I734" s="2" t="n">
        <v>3.5</v>
      </c>
      <c r="J734" s="2" t="n">
        <v>2.8</v>
      </c>
      <c r="K734" s="2" t="n">
        <v>2.6</v>
      </c>
      <c r="L734" s="2" t="inlineStr">
        <is>
          <t>Active</t>
        </is>
      </c>
    </row>
    <row r="735">
      <c r="A735" s="2" t="inlineStr">
        <is>
          <t>EMP01156</t>
        </is>
      </c>
      <c r="B735" s="2" t="inlineStr">
        <is>
          <t>Sales</t>
        </is>
      </c>
      <c r="C735" s="2" t="inlineStr">
        <is>
          <t>Account Manager</t>
        </is>
      </c>
      <c r="D735" s="2" t="n">
        <v>40</v>
      </c>
      <c r="E735" s="2" t="n">
        <v>1.5</v>
      </c>
      <c r="F735" s="2" t="n">
        <v>754000</v>
      </c>
      <c r="G735" s="2" t="inlineStr">
        <is>
          <t>No</t>
        </is>
      </c>
      <c r="H735" s="2" t="n">
        <v>4</v>
      </c>
      <c r="I735" s="2" t="n">
        <v>3.5</v>
      </c>
      <c r="J735" s="2" t="n">
        <v>4.2</v>
      </c>
      <c r="K735" s="2" t="n">
        <v>3.3</v>
      </c>
      <c r="L735" s="2" t="inlineStr">
        <is>
          <t>Active</t>
        </is>
      </c>
    </row>
    <row r="736">
      <c r="A736" s="2" t="inlineStr">
        <is>
          <t>EMP00878</t>
        </is>
      </c>
      <c r="B736" s="2" t="inlineStr">
        <is>
          <t>Engineering</t>
        </is>
      </c>
      <c r="C736" s="2" t="inlineStr">
        <is>
          <t>Software Engineer</t>
        </is>
      </c>
      <c r="D736" s="2" t="n">
        <v>37</v>
      </c>
      <c r="E736" s="2" t="n">
        <v>8.300000000000001</v>
      </c>
      <c r="F736" s="2" t="n">
        <v>1264000</v>
      </c>
      <c r="G736" s="2" t="inlineStr">
        <is>
          <t>No</t>
        </is>
      </c>
      <c r="H736" s="2" t="n">
        <v>2</v>
      </c>
      <c r="I736" s="2" t="n">
        <v>2.7</v>
      </c>
      <c r="J736" s="2" t="n">
        <v>2.9</v>
      </c>
      <c r="K736" s="2" t="n">
        <v>3.8</v>
      </c>
      <c r="L736" s="2" t="inlineStr">
        <is>
          <t>Active</t>
        </is>
      </c>
    </row>
    <row r="737">
      <c r="A737" s="2" t="inlineStr">
        <is>
          <t>EMP01191</t>
        </is>
      </c>
      <c r="B737" s="2" t="inlineStr">
        <is>
          <t>Operations</t>
        </is>
      </c>
      <c r="C737" s="2" t="inlineStr">
        <is>
          <t>Ops Analyst</t>
        </is>
      </c>
      <c r="D737" s="2" t="n">
        <v>36</v>
      </c>
      <c r="E737" s="2" t="n">
        <v>0.9</v>
      </c>
      <c r="F737" s="2" t="n">
        <v>582000</v>
      </c>
      <c r="G737" s="2" t="inlineStr">
        <is>
          <t>No</t>
        </is>
      </c>
      <c r="H737" s="2" t="n">
        <v>21</v>
      </c>
      <c r="I737" s="2" t="n">
        <v>5</v>
      </c>
      <c r="J737" s="2" t="n">
        <v>3.4</v>
      </c>
      <c r="K737" s="2" t="n">
        <v>3.2</v>
      </c>
      <c r="L737" s="2" t="inlineStr">
        <is>
          <t>Active</t>
        </is>
      </c>
    </row>
    <row r="738">
      <c r="A738" s="2" t="inlineStr">
        <is>
          <t>EMP00379</t>
        </is>
      </c>
      <c r="B738" s="2" t="inlineStr">
        <is>
          <t>Engineering</t>
        </is>
      </c>
      <c r="C738" s="2" t="inlineStr">
        <is>
          <t>Senior Engineer</t>
        </is>
      </c>
      <c r="D738" s="2" t="n">
        <v>26</v>
      </c>
      <c r="E738" s="2" t="n">
        <v>6.5</v>
      </c>
      <c r="F738" s="2" t="n">
        <v>1456000</v>
      </c>
      <c r="G738" s="2" t="inlineStr">
        <is>
          <t>Yes</t>
        </is>
      </c>
      <c r="H738" s="2" t="n">
        <v>14</v>
      </c>
      <c r="I738" s="2" t="n">
        <v>3.6</v>
      </c>
      <c r="J738" s="2" t="n">
        <v>1.3</v>
      </c>
      <c r="K738" s="2" t="n">
        <v>4.2</v>
      </c>
      <c r="L738" s="2" t="inlineStr">
        <is>
          <t>Resigned</t>
        </is>
      </c>
    </row>
    <row r="739">
      <c r="A739" s="2" t="inlineStr">
        <is>
          <t>EMP00090</t>
        </is>
      </c>
      <c r="B739" s="2" t="inlineStr">
        <is>
          <t>Operations</t>
        </is>
      </c>
      <c r="C739" s="2" t="inlineStr">
        <is>
          <t>Ops Manager</t>
        </is>
      </c>
      <c r="D739" s="2" t="n">
        <v>23</v>
      </c>
      <c r="E739" s="2" t="n">
        <v>0.3</v>
      </c>
      <c r="F739" s="2" t="n">
        <v>606000</v>
      </c>
      <c r="G739" s="2" t="inlineStr">
        <is>
          <t>Yes</t>
        </is>
      </c>
      <c r="H739" s="2" t="n">
        <v>51</v>
      </c>
      <c r="I739" s="2" t="n">
        <v>2.8</v>
      </c>
      <c r="J739" s="2" t="n">
        <v>4.1</v>
      </c>
      <c r="K739" s="2" t="n">
        <v>2.9</v>
      </c>
      <c r="L739" s="2" t="inlineStr">
        <is>
          <t>Active</t>
        </is>
      </c>
    </row>
    <row r="740">
      <c r="A740" s="2" t="inlineStr">
        <is>
          <t>EMP00829</t>
        </is>
      </c>
      <c r="B740" s="2" t="inlineStr">
        <is>
          <t>Customer Support</t>
        </is>
      </c>
      <c r="C740" s="2" t="inlineStr">
        <is>
          <t>Support Manager</t>
        </is>
      </c>
      <c r="D740" s="2" t="n">
        <v>37</v>
      </c>
      <c r="E740" s="2" t="n">
        <v>2.3</v>
      </c>
      <c r="F740" s="2" t="n">
        <v>489000</v>
      </c>
      <c r="G740" s="2" t="inlineStr">
        <is>
          <t>Yes</t>
        </is>
      </c>
      <c r="H740" s="2" t="n">
        <v>30</v>
      </c>
      <c r="I740" s="2" t="n">
        <v>3.2</v>
      </c>
      <c r="J740" s="2" t="n">
        <v>2.2</v>
      </c>
      <c r="K740" s="2" t="n">
        <v>4.5</v>
      </c>
      <c r="L740" s="2" t="inlineStr">
        <is>
          <t>Active</t>
        </is>
      </c>
    </row>
    <row r="741">
      <c r="A741" s="2" t="inlineStr">
        <is>
          <t>EMP00602</t>
        </is>
      </c>
      <c r="B741" s="2" t="inlineStr">
        <is>
          <t>HR</t>
        </is>
      </c>
      <c r="C741" s="2" t="inlineStr">
        <is>
          <t>HR Manager</t>
        </is>
      </c>
      <c r="D741" s="2" t="n">
        <v>27</v>
      </c>
      <c r="E741" s="2" t="n">
        <v>1.5</v>
      </c>
      <c r="F741" s="2" t="n">
        <v>578000</v>
      </c>
      <c r="G741" s="2" t="inlineStr">
        <is>
          <t>Yes</t>
        </is>
      </c>
      <c r="H741" s="2" t="n">
        <v>26</v>
      </c>
      <c r="I741" s="2" t="n">
        <v>3</v>
      </c>
      <c r="J741" s="2" t="n">
        <v>2.4</v>
      </c>
      <c r="K741" s="2" t="n">
        <v>2.4</v>
      </c>
      <c r="L741" s="2" t="inlineStr">
        <is>
          <t>Active</t>
        </is>
      </c>
    </row>
    <row r="742">
      <c r="A742" s="2" t="inlineStr">
        <is>
          <t>EMP00214</t>
        </is>
      </c>
      <c r="B742" s="2" t="inlineStr">
        <is>
          <t>HR</t>
        </is>
      </c>
      <c r="C742" s="2" t="inlineStr">
        <is>
          <t>Recruiter</t>
        </is>
      </c>
      <c r="D742" s="2" t="n">
        <v>25</v>
      </c>
      <c r="E742" s="2" t="n">
        <v>2.6</v>
      </c>
      <c r="F742" s="2" t="n">
        <v>710000</v>
      </c>
      <c r="G742" s="2" t="inlineStr">
        <is>
          <t>No</t>
        </is>
      </c>
      <c r="H742" s="2" t="n">
        <v>46</v>
      </c>
      <c r="I742" s="2" t="n">
        <v>2.9</v>
      </c>
      <c r="J742" s="2" t="n">
        <v>4.5</v>
      </c>
      <c r="K742" s="2" t="n">
        <v>3.7</v>
      </c>
      <c r="L742" s="2" t="inlineStr">
        <is>
          <t>Active</t>
        </is>
      </c>
    </row>
    <row r="743">
      <c r="A743" s="2" t="inlineStr">
        <is>
          <t>EMP00333</t>
        </is>
      </c>
      <c r="B743" s="2" t="inlineStr">
        <is>
          <t>Finance</t>
        </is>
      </c>
      <c r="C743" s="2" t="inlineStr">
        <is>
          <t>Finance Manager</t>
        </is>
      </c>
      <c r="D743" s="2" t="n">
        <v>29</v>
      </c>
      <c r="E743" s="2" t="n">
        <v>3.2</v>
      </c>
      <c r="F743" s="2" t="n">
        <v>833000</v>
      </c>
      <c r="G743" s="2" t="inlineStr">
        <is>
          <t>Yes</t>
        </is>
      </c>
      <c r="H743" s="2" t="n">
        <v>46</v>
      </c>
      <c r="I743" s="2" t="n">
        <v>2.7</v>
      </c>
      <c r="J743" s="2" t="n">
        <v>3.2</v>
      </c>
      <c r="K743" s="2" t="n">
        <v>3.2</v>
      </c>
      <c r="L743" s="2" t="inlineStr">
        <is>
          <t>Active</t>
        </is>
      </c>
    </row>
    <row r="744">
      <c r="A744" s="2" t="inlineStr">
        <is>
          <t>EMP00134</t>
        </is>
      </c>
      <c r="B744" s="2" t="inlineStr">
        <is>
          <t>Engineering</t>
        </is>
      </c>
      <c r="C744" s="2" t="inlineStr">
        <is>
          <t>Software Engineer</t>
        </is>
      </c>
      <c r="D744" s="2" t="n">
        <v>34</v>
      </c>
      <c r="E744" s="2" t="n">
        <v>2</v>
      </c>
      <c r="F744" s="2" t="n">
        <v>1024000</v>
      </c>
      <c r="G744" s="2" t="inlineStr">
        <is>
          <t>No</t>
        </is>
      </c>
      <c r="H744" s="2" t="n">
        <v>51</v>
      </c>
      <c r="I744" s="2" t="n">
        <v>2.5</v>
      </c>
      <c r="J744" s="2" t="n">
        <v>3.3</v>
      </c>
      <c r="K744" s="2" t="n">
        <v>2.9</v>
      </c>
      <c r="L744" s="2" t="inlineStr">
        <is>
          <t>Active</t>
        </is>
      </c>
    </row>
    <row r="745">
      <c r="A745" s="2" t="inlineStr">
        <is>
          <t>EMP00347</t>
        </is>
      </c>
      <c r="B745" s="2" t="inlineStr">
        <is>
          <t>Customer Support</t>
        </is>
      </c>
      <c r="C745" s="2" t="inlineStr">
        <is>
          <t>Support Associate</t>
        </is>
      </c>
      <c r="D745" s="2" t="n">
        <v>37</v>
      </c>
      <c r="E745" s="2" t="n">
        <v>4.8</v>
      </c>
      <c r="F745" s="2" t="n">
        <v>633000</v>
      </c>
      <c r="G745" s="2" t="inlineStr">
        <is>
          <t>No</t>
        </is>
      </c>
      <c r="H745" s="2" t="n">
        <v>39</v>
      </c>
      <c r="I745" s="2" t="n">
        <v>2.3</v>
      </c>
      <c r="J745" s="2" t="n">
        <v>3.8</v>
      </c>
      <c r="K745" s="2" t="n">
        <v>4</v>
      </c>
      <c r="L745" s="2" t="inlineStr">
        <is>
          <t>Active</t>
        </is>
      </c>
    </row>
    <row r="746">
      <c r="A746" s="2" t="inlineStr">
        <is>
          <t>EMP00899</t>
        </is>
      </c>
      <c r="B746" s="2" t="inlineStr">
        <is>
          <t>Sales</t>
        </is>
      </c>
      <c r="C746" s="2" t="inlineStr">
        <is>
          <t>Account Manager</t>
        </is>
      </c>
      <c r="D746" s="2" t="n">
        <v>30</v>
      </c>
      <c r="E746" s="2" t="n">
        <v>3.9</v>
      </c>
      <c r="F746" s="2" t="n">
        <v>838000</v>
      </c>
      <c r="G746" s="2" t="inlineStr">
        <is>
          <t>No</t>
        </is>
      </c>
      <c r="H746" s="2" t="n">
        <v>2</v>
      </c>
      <c r="I746" s="2" t="n">
        <v>3.1</v>
      </c>
      <c r="J746" s="2" t="n">
        <v>3</v>
      </c>
      <c r="K746" s="2" t="n">
        <v>2.2</v>
      </c>
      <c r="L746" s="2" t="inlineStr">
        <is>
          <t>Active</t>
        </is>
      </c>
    </row>
    <row r="747">
      <c r="A747" s="2" t="inlineStr">
        <is>
          <t>EMP00008</t>
        </is>
      </c>
      <c r="B747" s="2" t="inlineStr">
        <is>
          <t>HR</t>
        </is>
      </c>
      <c r="C747" s="2" t="inlineStr">
        <is>
          <t>HR Manager</t>
        </is>
      </c>
      <c r="D747" s="2" t="n">
        <v>29</v>
      </c>
      <c r="E747" s="2" t="n">
        <v>2.3</v>
      </c>
      <c r="F747" s="2" t="n">
        <v>568000</v>
      </c>
      <c r="G747" s="2" t="inlineStr">
        <is>
          <t>No</t>
        </is>
      </c>
      <c r="H747" s="2" t="n">
        <v>53</v>
      </c>
      <c r="I747" s="2" t="n">
        <v>2.9</v>
      </c>
      <c r="J747" s="2" t="n">
        <v>2.9</v>
      </c>
      <c r="K747" s="2" t="n">
        <v>3.6</v>
      </c>
      <c r="L747" s="2" t="inlineStr">
        <is>
          <t>Active</t>
        </is>
      </c>
    </row>
    <row r="748">
      <c r="A748" s="2" t="inlineStr">
        <is>
          <t>EMP00882</t>
        </is>
      </c>
      <c r="B748" s="2" t="inlineStr">
        <is>
          <t>Finance</t>
        </is>
      </c>
      <c r="C748" s="2" t="inlineStr">
        <is>
          <t>Finance Manager</t>
        </is>
      </c>
      <c r="D748" s="2" t="n">
        <v>28</v>
      </c>
      <c r="E748" s="2" t="n">
        <v>5.5</v>
      </c>
      <c r="F748" s="2" t="n">
        <v>1035000</v>
      </c>
      <c r="G748" s="2" t="inlineStr">
        <is>
          <t>No</t>
        </is>
      </c>
      <c r="H748" s="2" t="n">
        <v>55</v>
      </c>
      <c r="I748" s="2" t="n">
        <v>3.2</v>
      </c>
      <c r="J748" s="2" t="n">
        <v>3.4</v>
      </c>
      <c r="K748" s="2" t="n">
        <v>4.2</v>
      </c>
      <c r="L748" s="2" t="inlineStr">
        <is>
          <t>Active</t>
        </is>
      </c>
    </row>
    <row r="749">
      <c r="A749" s="2" t="inlineStr">
        <is>
          <t>EMP00321</t>
        </is>
      </c>
      <c r="B749" s="2" t="inlineStr">
        <is>
          <t>Customer Support</t>
        </is>
      </c>
      <c r="C749" s="2" t="inlineStr">
        <is>
          <t>Support Lead</t>
        </is>
      </c>
      <c r="D749" s="2" t="n">
        <v>45</v>
      </c>
      <c r="E749" s="2" t="n">
        <v>6.4</v>
      </c>
      <c r="F749" s="2" t="n">
        <v>698000</v>
      </c>
      <c r="G749" s="2" t="inlineStr">
        <is>
          <t>Yes</t>
        </is>
      </c>
      <c r="H749" s="2" t="n">
        <v>2</v>
      </c>
      <c r="I749" s="2" t="n">
        <v>3.3</v>
      </c>
      <c r="J749" s="2" t="n">
        <v>2.6</v>
      </c>
      <c r="K749" s="2" t="n">
        <v>2.8</v>
      </c>
      <c r="L749" s="2" t="inlineStr">
        <is>
          <t>Active</t>
        </is>
      </c>
    </row>
    <row r="750">
      <c r="A750" s="2" t="inlineStr">
        <is>
          <t>EMP01066</t>
        </is>
      </c>
      <c r="B750" s="2" t="inlineStr">
        <is>
          <t>Customer Support</t>
        </is>
      </c>
      <c r="C750" s="2" t="inlineStr">
        <is>
          <t>Support Manager</t>
        </is>
      </c>
      <c r="D750" s="2" t="n">
        <v>60</v>
      </c>
      <c r="E750" s="2" t="n">
        <v>0.9</v>
      </c>
      <c r="F750" s="2" t="n">
        <v>525000</v>
      </c>
      <c r="G750" s="2" t="inlineStr">
        <is>
          <t>No</t>
        </is>
      </c>
      <c r="H750" s="2" t="n">
        <v>20</v>
      </c>
      <c r="I750" s="2" t="n">
        <v>3.2</v>
      </c>
      <c r="J750" s="2" t="n">
        <v>3</v>
      </c>
      <c r="K750" s="2" t="n">
        <v>2.8</v>
      </c>
      <c r="L750" s="2" t="inlineStr">
        <is>
          <t>Resigned</t>
        </is>
      </c>
    </row>
    <row r="751">
      <c r="A751" s="2" t="inlineStr">
        <is>
          <t>EMP00188</t>
        </is>
      </c>
      <c r="B751" s="2" t="inlineStr">
        <is>
          <t>Sales</t>
        </is>
      </c>
      <c r="C751" s="2" t="inlineStr">
        <is>
          <t>Sales Executive</t>
        </is>
      </c>
      <c r="D751" s="2" t="n">
        <v>34</v>
      </c>
      <c r="E751" s="2" t="n">
        <v>2.8</v>
      </c>
      <c r="F751" s="2" t="n">
        <v>850000</v>
      </c>
      <c r="G751" s="2" t="inlineStr">
        <is>
          <t>Yes</t>
        </is>
      </c>
      <c r="H751" s="2" t="n">
        <v>2</v>
      </c>
      <c r="I751" s="2" t="n">
        <v>3</v>
      </c>
      <c r="J751" s="2" t="n">
        <v>2.2</v>
      </c>
      <c r="K751" s="2" t="n">
        <v>3.2</v>
      </c>
      <c r="L751" s="2" t="inlineStr">
        <is>
          <t>Active</t>
        </is>
      </c>
    </row>
    <row r="752">
      <c r="A752" s="2" t="inlineStr">
        <is>
          <t>EMP00635</t>
        </is>
      </c>
      <c r="B752" s="2" t="inlineStr">
        <is>
          <t>Sales</t>
        </is>
      </c>
      <c r="C752" s="2" t="inlineStr">
        <is>
          <t>Sales Executive</t>
        </is>
      </c>
      <c r="D752" s="2" t="n">
        <v>21</v>
      </c>
      <c r="E752" s="2" t="n">
        <v>2</v>
      </c>
      <c r="F752" s="2" t="n">
        <v>752000</v>
      </c>
      <c r="G752" s="2" t="inlineStr">
        <is>
          <t>Yes</t>
        </is>
      </c>
      <c r="H752" s="2" t="n">
        <v>10</v>
      </c>
      <c r="I752" s="2" t="n">
        <v>3.3</v>
      </c>
      <c r="J752" s="2" t="n">
        <v>3.4</v>
      </c>
      <c r="K752" s="2" t="n">
        <v>3.2</v>
      </c>
      <c r="L752" s="2" t="inlineStr">
        <is>
          <t>Resigned</t>
        </is>
      </c>
    </row>
    <row r="753">
      <c r="A753" s="2" t="inlineStr">
        <is>
          <t>EMP00553</t>
        </is>
      </c>
      <c r="B753" s="2" t="inlineStr">
        <is>
          <t>Sales</t>
        </is>
      </c>
      <c r="C753" s="2" t="inlineStr">
        <is>
          <t>Sales Manager</t>
        </is>
      </c>
      <c r="D753" s="2" t="n">
        <v>21</v>
      </c>
      <c r="E753" s="2" t="n">
        <v>1.9</v>
      </c>
      <c r="F753" s="2" t="n">
        <v>649000</v>
      </c>
      <c r="G753" s="2" t="inlineStr">
        <is>
          <t>No</t>
        </is>
      </c>
      <c r="H753" s="2" t="n">
        <v>59</v>
      </c>
      <c r="I753" s="2" t="n">
        <v>2.3</v>
      </c>
      <c r="J753" s="2" t="n">
        <v>3.7</v>
      </c>
      <c r="K753" s="2" t="n">
        <v>4.1</v>
      </c>
      <c r="L753" s="2" t="inlineStr">
        <is>
          <t>Active</t>
        </is>
      </c>
    </row>
    <row r="754">
      <c r="A754" s="2" t="inlineStr">
        <is>
          <t>EMP00305</t>
        </is>
      </c>
      <c r="B754" s="2" t="inlineStr">
        <is>
          <t>Customer Support</t>
        </is>
      </c>
      <c r="C754" s="2" t="inlineStr">
        <is>
          <t>Support Associate</t>
        </is>
      </c>
      <c r="D754" s="2" t="n">
        <v>29</v>
      </c>
      <c r="E754" s="2" t="n">
        <v>0.7</v>
      </c>
      <c r="F754" s="2" t="n">
        <v>504000</v>
      </c>
      <c r="G754" s="2" t="inlineStr">
        <is>
          <t>Yes</t>
        </is>
      </c>
      <c r="H754" s="2" t="n">
        <v>12</v>
      </c>
      <c r="I754" s="2" t="n">
        <v>2.9</v>
      </c>
      <c r="J754" s="2" t="n">
        <v>1.3</v>
      </c>
      <c r="K754" s="2" t="n">
        <v>3.9</v>
      </c>
      <c r="L754" s="2" t="inlineStr">
        <is>
          <t>Resigned</t>
        </is>
      </c>
    </row>
    <row r="755">
      <c r="A755" s="2" t="inlineStr">
        <is>
          <t>EMP00032</t>
        </is>
      </c>
      <c r="B755" s="2" t="inlineStr">
        <is>
          <t>Customer Support</t>
        </is>
      </c>
      <c r="C755" s="2" t="inlineStr">
        <is>
          <t>Support Lead</t>
        </is>
      </c>
      <c r="D755" s="2" t="n">
        <v>40</v>
      </c>
      <c r="E755" s="2" t="n">
        <v>5.2</v>
      </c>
      <c r="F755" s="2" t="n">
        <v>639000</v>
      </c>
      <c r="G755" s="2" t="inlineStr">
        <is>
          <t>No</t>
        </is>
      </c>
      <c r="H755" s="2" t="n">
        <v>12</v>
      </c>
      <c r="I755" s="2" t="n">
        <v>2</v>
      </c>
      <c r="J755" s="2" t="n">
        <v>5</v>
      </c>
      <c r="K755" s="2" t="n">
        <v>2.3</v>
      </c>
      <c r="L755" s="2" t="inlineStr">
        <is>
          <t>Active</t>
        </is>
      </c>
    </row>
    <row r="756">
      <c r="A756" s="2" t="inlineStr">
        <is>
          <t>EMP00876</t>
        </is>
      </c>
      <c r="B756" s="2" t="inlineStr">
        <is>
          <t>Customer Support</t>
        </is>
      </c>
      <c r="C756" s="2" t="inlineStr">
        <is>
          <t>Support Manager</t>
        </is>
      </c>
      <c r="D756" s="2" t="n">
        <v>33</v>
      </c>
      <c r="E756" s="2" t="n">
        <v>4</v>
      </c>
      <c r="F756" s="2" t="n">
        <v>663000</v>
      </c>
      <c r="G756" s="2" t="inlineStr">
        <is>
          <t>No</t>
        </is>
      </c>
      <c r="H756" s="2" t="n">
        <v>9</v>
      </c>
      <c r="I756" s="2" t="n">
        <v>3.3</v>
      </c>
      <c r="J756" s="2" t="n">
        <v>5</v>
      </c>
      <c r="K756" s="2" t="n">
        <v>2</v>
      </c>
      <c r="L756" s="2" t="inlineStr">
        <is>
          <t>Active</t>
        </is>
      </c>
    </row>
    <row r="757">
      <c r="A757" s="2" t="inlineStr">
        <is>
          <t>EMP00685</t>
        </is>
      </c>
      <c r="B757" s="2" t="inlineStr">
        <is>
          <t>Finance</t>
        </is>
      </c>
      <c r="C757" s="2" t="inlineStr">
        <is>
          <t>Accountant</t>
        </is>
      </c>
      <c r="D757" s="2" t="n">
        <v>36</v>
      </c>
      <c r="E757" s="2" t="n">
        <v>3.6</v>
      </c>
      <c r="F757" s="2" t="n">
        <v>787000</v>
      </c>
      <c r="G757" s="2" t="inlineStr">
        <is>
          <t>No</t>
        </is>
      </c>
      <c r="H757" s="2" t="n">
        <v>49</v>
      </c>
      <c r="I757" s="2" t="n">
        <v>1</v>
      </c>
      <c r="J757" s="2" t="n">
        <v>5</v>
      </c>
      <c r="K757" s="2" t="n">
        <v>2.2</v>
      </c>
      <c r="L757" s="2" t="inlineStr">
        <is>
          <t>Active</t>
        </is>
      </c>
    </row>
    <row r="758">
      <c r="A758" s="2" t="inlineStr">
        <is>
          <t>EMP01088</t>
        </is>
      </c>
      <c r="B758" s="2" t="inlineStr">
        <is>
          <t>HR</t>
        </is>
      </c>
      <c r="C758" s="2" t="inlineStr">
        <is>
          <t>HR Manager</t>
        </is>
      </c>
      <c r="D758" s="2" t="n">
        <v>40</v>
      </c>
      <c r="E758" s="2" t="n">
        <v>1.6</v>
      </c>
      <c r="F758" s="2" t="n">
        <v>561000</v>
      </c>
      <c r="G758" s="2" t="inlineStr">
        <is>
          <t>No</t>
        </is>
      </c>
      <c r="H758" s="2" t="n">
        <v>59</v>
      </c>
      <c r="I758" s="2" t="n">
        <v>2.6</v>
      </c>
      <c r="J758" s="2" t="n">
        <v>2.7</v>
      </c>
      <c r="K758" s="2" t="n">
        <v>2.3</v>
      </c>
      <c r="L758" s="2" t="inlineStr">
        <is>
          <t>Active</t>
        </is>
      </c>
    </row>
    <row r="759">
      <c r="A759" s="2" t="inlineStr">
        <is>
          <t>EMP00241</t>
        </is>
      </c>
      <c r="B759" s="2" t="inlineStr">
        <is>
          <t>HR</t>
        </is>
      </c>
      <c r="C759" s="2" t="inlineStr">
        <is>
          <t>HR Generalist</t>
        </is>
      </c>
      <c r="D759" s="2" t="n">
        <v>40</v>
      </c>
      <c r="E759" s="2" t="n">
        <v>1.2</v>
      </c>
      <c r="F759" s="2" t="n">
        <v>508000</v>
      </c>
      <c r="G759" s="2" t="inlineStr">
        <is>
          <t>No</t>
        </is>
      </c>
      <c r="H759" s="2" t="n">
        <v>1</v>
      </c>
      <c r="I759" s="2" t="n">
        <v>5</v>
      </c>
      <c r="J759" s="2" t="n">
        <v>2.6</v>
      </c>
      <c r="K759" s="2" t="n">
        <v>3.2</v>
      </c>
      <c r="L759" s="2" t="inlineStr">
        <is>
          <t>Active</t>
        </is>
      </c>
    </row>
    <row r="760">
      <c r="A760" s="2" t="inlineStr">
        <is>
          <t>EMP00068</t>
        </is>
      </c>
      <c r="B760" s="2" t="inlineStr">
        <is>
          <t>Engineering</t>
        </is>
      </c>
      <c r="C760" s="2" t="inlineStr">
        <is>
          <t>Engineering Manager</t>
        </is>
      </c>
      <c r="D760" s="2" t="n">
        <v>29</v>
      </c>
      <c r="E760" s="2" t="n">
        <v>1.8</v>
      </c>
      <c r="F760" s="2" t="n">
        <v>1108000</v>
      </c>
      <c r="G760" s="2" t="inlineStr">
        <is>
          <t>No</t>
        </is>
      </c>
      <c r="H760" s="2" t="n">
        <v>31</v>
      </c>
      <c r="I760" s="2" t="n">
        <v>3.2</v>
      </c>
      <c r="J760" s="2" t="n">
        <v>4.2</v>
      </c>
      <c r="K760" s="2" t="n">
        <v>3.3</v>
      </c>
      <c r="L760" s="2" t="inlineStr">
        <is>
          <t>Active</t>
        </is>
      </c>
    </row>
    <row r="761">
      <c r="A761" s="2" t="inlineStr">
        <is>
          <t>EMP00175</t>
        </is>
      </c>
      <c r="B761" s="2" t="inlineStr">
        <is>
          <t>Sales</t>
        </is>
      </c>
      <c r="C761" s="2" t="inlineStr">
        <is>
          <t>Sales Manager</t>
        </is>
      </c>
      <c r="D761" s="2" t="n">
        <v>29</v>
      </c>
      <c r="E761" s="2" t="n">
        <v>4.3</v>
      </c>
      <c r="F761" s="2" t="n">
        <v>798000</v>
      </c>
      <c r="G761" s="2" t="inlineStr">
        <is>
          <t>No</t>
        </is>
      </c>
      <c r="H761" s="2" t="n">
        <v>30</v>
      </c>
      <c r="I761" s="2" t="n">
        <v>3.5</v>
      </c>
      <c r="J761" s="2" t="n">
        <v>3.2</v>
      </c>
      <c r="K761" s="2" t="n">
        <v>4.3</v>
      </c>
      <c r="L761" s="2" t="inlineStr">
        <is>
          <t>Active</t>
        </is>
      </c>
    </row>
    <row r="762">
      <c r="A762" s="2" t="inlineStr">
        <is>
          <t>EMP00767</t>
        </is>
      </c>
      <c r="B762" s="2" t="inlineStr">
        <is>
          <t>Sales</t>
        </is>
      </c>
      <c r="C762" s="2" t="inlineStr">
        <is>
          <t>Sales Manager</t>
        </is>
      </c>
      <c r="D762" s="2" t="n">
        <v>38</v>
      </c>
      <c r="E762" s="2" t="n">
        <v>5</v>
      </c>
      <c r="F762" s="2" t="n">
        <v>772000</v>
      </c>
      <c r="G762" s="2" t="inlineStr">
        <is>
          <t>No</t>
        </is>
      </c>
      <c r="H762" s="2" t="n">
        <v>45</v>
      </c>
      <c r="I762" s="2" t="n">
        <v>4.4</v>
      </c>
      <c r="J762" s="2" t="n">
        <v>4.3</v>
      </c>
      <c r="K762" s="2" t="n">
        <v>3.1</v>
      </c>
      <c r="L762" s="2" t="inlineStr">
        <is>
          <t>Resigned</t>
        </is>
      </c>
    </row>
    <row r="763">
      <c r="A763" s="2" t="inlineStr">
        <is>
          <t>EMP01193</t>
        </is>
      </c>
      <c r="B763" s="2" t="inlineStr">
        <is>
          <t>Customer Support</t>
        </is>
      </c>
      <c r="C763" s="2" t="inlineStr">
        <is>
          <t>Support Manager</t>
        </is>
      </c>
      <c r="D763" s="2" t="n">
        <v>30</v>
      </c>
      <c r="E763" s="2" t="n">
        <v>3.8</v>
      </c>
      <c r="F763" s="2" t="n">
        <v>674000</v>
      </c>
      <c r="G763" s="2" t="inlineStr">
        <is>
          <t>No</t>
        </is>
      </c>
      <c r="H763" s="2" t="n">
        <v>18</v>
      </c>
      <c r="I763" s="2" t="n">
        <v>2.4</v>
      </c>
      <c r="J763" s="2" t="n">
        <v>5</v>
      </c>
      <c r="K763" s="2" t="n">
        <v>2.6</v>
      </c>
      <c r="L763" s="2" t="inlineStr">
        <is>
          <t>Active</t>
        </is>
      </c>
    </row>
    <row r="764">
      <c r="A764" s="2" t="inlineStr">
        <is>
          <t>EMP00246</t>
        </is>
      </c>
      <c r="B764" s="2" t="inlineStr">
        <is>
          <t>Customer Support</t>
        </is>
      </c>
      <c r="C764" s="2" t="inlineStr">
        <is>
          <t>Support Associate</t>
        </is>
      </c>
      <c r="D764" s="2" t="n">
        <v>35</v>
      </c>
      <c r="E764" s="2" t="n">
        <v>0.2</v>
      </c>
      <c r="F764" s="2" t="n">
        <v>502000</v>
      </c>
      <c r="G764" s="2" t="inlineStr">
        <is>
          <t>No</t>
        </is>
      </c>
      <c r="H764" s="2" t="n">
        <v>34</v>
      </c>
      <c r="I764" s="2" t="n">
        <v>3.1</v>
      </c>
      <c r="J764" s="2" t="n">
        <v>4</v>
      </c>
      <c r="K764" s="2" t="n">
        <v>4</v>
      </c>
      <c r="L764" s="2" t="inlineStr">
        <is>
          <t>Active</t>
        </is>
      </c>
    </row>
    <row r="765">
      <c r="A765" s="2" t="inlineStr">
        <is>
          <t>EMP00057</t>
        </is>
      </c>
      <c r="B765" s="2" t="inlineStr">
        <is>
          <t>Operations</t>
        </is>
      </c>
      <c r="C765" s="2" t="inlineStr">
        <is>
          <t>Process Lead</t>
        </is>
      </c>
      <c r="D765" s="2" t="n">
        <v>36</v>
      </c>
      <c r="E765" s="2" t="n">
        <v>1</v>
      </c>
      <c r="F765" s="2" t="n">
        <v>667000</v>
      </c>
      <c r="G765" s="2" t="inlineStr">
        <is>
          <t>No</t>
        </is>
      </c>
      <c r="H765" s="2" t="n">
        <v>3</v>
      </c>
      <c r="I765" s="2" t="n">
        <v>2.9</v>
      </c>
      <c r="J765" s="2" t="n">
        <v>3.3</v>
      </c>
      <c r="K765" s="2" t="n">
        <v>2.3</v>
      </c>
      <c r="L765" s="2" t="inlineStr">
        <is>
          <t>Active</t>
        </is>
      </c>
    </row>
    <row r="766">
      <c r="A766" s="2" t="inlineStr">
        <is>
          <t>EMP00631</t>
        </is>
      </c>
      <c r="B766" s="2" t="inlineStr">
        <is>
          <t>Customer Support</t>
        </is>
      </c>
      <c r="C766" s="2" t="inlineStr">
        <is>
          <t>Support Manager</t>
        </is>
      </c>
      <c r="D766" s="2" t="n">
        <v>32</v>
      </c>
      <c r="E766" s="2" t="n">
        <v>4.3</v>
      </c>
      <c r="F766" s="2" t="n">
        <v>548000</v>
      </c>
      <c r="G766" s="2" t="inlineStr">
        <is>
          <t>No</t>
        </is>
      </c>
      <c r="H766" s="2" t="n">
        <v>25</v>
      </c>
      <c r="I766" s="2" t="n">
        <v>4.6</v>
      </c>
      <c r="J766" s="2" t="n">
        <v>3.2</v>
      </c>
      <c r="K766" s="2" t="n">
        <v>4</v>
      </c>
      <c r="L766" s="2" t="inlineStr">
        <is>
          <t>Active</t>
        </is>
      </c>
    </row>
    <row r="767">
      <c r="A767" s="2" t="inlineStr">
        <is>
          <t>EMP00584</t>
        </is>
      </c>
      <c r="B767" s="2" t="inlineStr">
        <is>
          <t>Engineering</t>
        </is>
      </c>
      <c r="C767" s="2" t="inlineStr">
        <is>
          <t>Engineering Manager</t>
        </is>
      </c>
      <c r="D767" s="2" t="n">
        <v>46</v>
      </c>
      <c r="E767" s="2" t="n">
        <v>7</v>
      </c>
      <c r="F767" s="2" t="n">
        <v>1392000</v>
      </c>
      <c r="G767" s="2" t="inlineStr">
        <is>
          <t>Yes</t>
        </is>
      </c>
      <c r="H767" s="2" t="n">
        <v>59</v>
      </c>
      <c r="I767" s="2" t="n">
        <v>3.2</v>
      </c>
      <c r="J767" s="2" t="n">
        <v>1.6</v>
      </c>
      <c r="K767" s="2" t="n">
        <v>4.5</v>
      </c>
      <c r="L767" s="2" t="inlineStr">
        <is>
          <t>Active</t>
        </is>
      </c>
    </row>
    <row r="768">
      <c r="A768" s="2" t="inlineStr">
        <is>
          <t>EMP01047</t>
        </is>
      </c>
      <c r="B768" s="2" t="inlineStr">
        <is>
          <t>Sales</t>
        </is>
      </c>
      <c r="C768" s="2" t="inlineStr">
        <is>
          <t>Sales Executive</t>
        </is>
      </c>
      <c r="D768" s="2" t="n">
        <v>32</v>
      </c>
      <c r="E768" s="2" t="n">
        <v>2</v>
      </c>
      <c r="F768" s="2" t="n">
        <v>805000</v>
      </c>
      <c r="G768" s="2" t="inlineStr">
        <is>
          <t>Yes</t>
        </is>
      </c>
      <c r="H768" s="2" t="n">
        <v>27</v>
      </c>
      <c r="I768" s="2" t="n">
        <v>3.5</v>
      </c>
      <c r="J768" s="2" t="n">
        <v>3.4</v>
      </c>
      <c r="K768" s="2" t="n">
        <v>2.6</v>
      </c>
      <c r="L768" s="2" t="inlineStr">
        <is>
          <t>Resigned</t>
        </is>
      </c>
    </row>
    <row r="769">
      <c r="A769" s="2" t="inlineStr">
        <is>
          <t>EMP00146</t>
        </is>
      </c>
      <c r="B769" s="2" t="inlineStr">
        <is>
          <t>Engineering</t>
        </is>
      </c>
      <c r="C769" s="2" t="inlineStr">
        <is>
          <t>Senior Engineer</t>
        </is>
      </c>
      <c r="D769" s="2" t="n">
        <v>43</v>
      </c>
      <c r="E769" s="2" t="n">
        <v>3.1</v>
      </c>
      <c r="F769" s="2" t="n">
        <v>1026000</v>
      </c>
      <c r="G769" s="2" t="inlineStr">
        <is>
          <t>No</t>
        </is>
      </c>
      <c r="H769" s="2" t="n">
        <v>56</v>
      </c>
      <c r="I769" s="2" t="n">
        <v>2.5</v>
      </c>
      <c r="J769" s="2" t="n">
        <v>4</v>
      </c>
      <c r="K769" s="2" t="n">
        <v>3.1</v>
      </c>
      <c r="L769" s="2" t="inlineStr">
        <is>
          <t>Active</t>
        </is>
      </c>
    </row>
    <row r="770">
      <c r="A770" s="2" t="inlineStr">
        <is>
          <t>EMP00091</t>
        </is>
      </c>
      <c r="B770" s="2" t="inlineStr">
        <is>
          <t>Sales</t>
        </is>
      </c>
      <c r="C770" s="2" t="inlineStr">
        <is>
          <t>Account Manager</t>
        </is>
      </c>
      <c r="D770" s="2" t="n">
        <v>25</v>
      </c>
      <c r="E770" s="2" t="n">
        <v>0.5</v>
      </c>
      <c r="F770" s="2" t="n">
        <v>676000</v>
      </c>
      <c r="G770" s="2" t="inlineStr">
        <is>
          <t>No</t>
        </is>
      </c>
      <c r="H770" s="2" t="n">
        <v>49</v>
      </c>
      <c r="I770" s="2" t="n">
        <v>3.8</v>
      </c>
      <c r="J770" s="2" t="n">
        <v>2.9</v>
      </c>
      <c r="K770" s="2" t="n">
        <v>2.6</v>
      </c>
      <c r="L770" s="2" t="inlineStr">
        <is>
          <t>Resigned</t>
        </is>
      </c>
    </row>
    <row r="771">
      <c r="A771" s="2" t="inlineStr">
        <is>
          <t>EMP01199</t>
        </is>
      </c>
      <c r="B771" s="2" t="inlineStr">
        <is>
          <t>Engineering</t>
        </is>
      </c>
      <c r="C771" s="2" t="inlineStr">
        <is>
          <t>Software Engineer</t>
        </is>
      </c>
      <c r="D771" s="2" t="n">
        <v>43</v>
      </c>
      <c r="E771" s="2" t="n">
        <v>3.9</v>
      </c>
      <c r="F771" s="2" t="n">
        <v>1210000</v>
      </c>
      <c r="G771" s="2" t="inlineStr">
        <is>
          <t>No</t>
        </is>
      </c>
      <c r="H771" s="2" t="n">
        <v>31</v>
      </c>
      <c r="I771" s="2" t="n">
        <v>4.2</v>
      </c>
      <c r="J771" s="2" t="n">
        <v>2.8</v>
      </c>
      <c r="K771" s="2" t="n">
        <v>3.6</v>
      </c>
      <c r="L771" s="2" t="inlineStr">
        <is>
          <t>Active</t>
        </is>
      </c>
    </row>
    <row r="772">
      <c r="A772" s="2" t="inlineStr">
        <is>
          <t>EMP00393</t>
        </is>
      </c>
      <c r="B772" s="2" t="inlineStr">
        <is>
          <t>Operations</t>
        </is>
      </c>
      <c r="C772" s="2" t="inlineStr">
        <is>
          <t>Process Lead</t>
        </is>
      </c>
      <c r="D772" s="2" t="n">
        <v>39</v>
      </c>
      <c r="E772" s="2" t="n">
        <v>5.4</v>
      </c>
      <c r="F772" s="2" t="n">
        <v>708000</v>
      </c>
      <c r="G772" s="2" t="inlineStr">
        <is>
          <t>No</t>
        </is>
      </c>
      <c r="H772" s="2" t="n">
        <v>46</v>
      </c>
      <c r="I772" s="2" t="n">
        <v>2.2</v>
      </c>
      <c r="J772" s="2" t="n">
        <v>2.8</v>
      </c>
      <c r="K772" s="2" t="n">
        <v>4.3</v>
      </c>
      <c r="L772" s="2" t="inlineStr">
        <is>
          <t>Active</t>
        </is>
      </c>
    </row>
    <row r="773">
      <c r="A773" s="2" t="inlineStr">
        <is>
          <t>EMP00893</t>
        </is>
      </c>
      <c r="B773" s="2" t="inlineStr">
        <is>
          <t>Engineering</t>
        </is>
      </c>
      <c r="C773" s="2" t="inlineStr">
        <is>
          <t>Software Engineer</t>
        </is>
      </c>
      <c r="D773" s="2" t="n">
        <v>33</v>
      </c>
      <c r="E773" s="2" t="n">
        <v>5</v>
      </c>
      <c r="F773" s="2" t="n">
        <v>1051000</v>
      </c>
      <c r="G773" s="2" t="inlineStr">
        <is>
          <t>No</t>
        </is>
      </c>
      <c r="H773" s="2" t="n">
        <v>7</v>
      </c>
      <c r="I773" s="2" t="n">
        <v>2.4</v>
      </c>
      <c r="J773" s="2" t="n">
        <v>4</v>
      </c>
      <c r="K773" s="2" t="n">
        <v>3.2</v>
      </c>
      <c r="L773" s="2" t="inlineStr">
        <is>
          <t>Active</t>
        </is>
      </c>
    </row>
    <row r="774">
      <c r="A774" s="2" t="inlineStr">
        <is>
          <t>EMP00311</t>
        </is>
      </c>
      <c r="B774" s="2" t="inlineStr">
        <is>
          <t>Operations</t>
        </is>
      </c>
      <c r="C774" s="2" t="inlineStr">
        <is>
          <t>Ops Analyst</t>
        </is>
      </c>
      <c r="D774" s="2" t="n">
        <v>27</v>
      </c>
      <c r="E774" s="2" t="n">
        <v>1.4</v>
      </c>
      <c r="F774" s="2" t="n">
        <v>689000</v>
      </c>
      <c r="G774" s="2" t="inlineStr">
        <is>
          <t>No</t>
        </is>
      </c>
      <c r="H774" s="2" t="n">
        <v>23</v>
      </c>
      <c r="I774" s="2" t="n">
        <v>1</v>
      </c>
      <c r="J774" s="2" t="n">
        <v>3.3</v>
      </c>
      <c r="K774" s="2" t="n">
        <v>3.1</v>
      </c>
      <c r="L774" s="2" t="inlineStr">
        <is>
          <t>Active</t>
        </is>
      </c>
    </row>
    <row r="775">
      <c r="A775" s="2" t="inlineStr">
        <is>
          <t>EMP00360</t>
        </is>
      </c>
      <c r="B775" s="2" t="inlineStr">
        <is>
          <t>Operations</t>
        </is>
      </c>
      <c r="C775" s="2" t="inlineStr">
        <is>
          <t>Ops Manager</t>
        </is>
      </c>
      <c r="D775" s="2" t="n">
        <v>44</v>
      </c>
      <c r="E775" s="2" t="n">
        <v>5.2</v>
      </c>
      <c r="F775" s="2" t="n">
        <v>715000</v>
      </c>
      <c r="G775" s="2" t="inlineStr">
        <is>
          <t>No</t>
        </is>
      </c>
      <c r="H775" s="2" t="n">
        <v>7</v>
      </c>
      <c r="I775" s="2" t="n">
        <v>3.2</v>
      </c>
      <c r="J775" s="2" t="n">
        <v>1.5</v>
      </c>
      <c r="K775" s="2" t="n">
        <v>2.8</v>
      </c>
      <c r="L775" s="2" t="inlineStr">
        <is>
          <t>Resigned</t>
        </is>
      </c>
    </row>
    <row r="776">
      <c r="A776" s="2" t="inlineStr">
        <is>
          <t>EMP00094</t>
        </is>
      </c>
      <c r="B776" s="2" t="inlineStr">
        <is>
          <t>Engineering</t>
        </is>
      </c>
      <c r="C776" s="2" t="inlineStr">
        <is>
          <t>Senior Engineer</t>
        </is>
      </c>
      <c r="D776" s="2" t="n">
        <v>38</v>
      </c>
      <c r="E776" s="2" t="n">
        <v>3.6</v>
      </c>
      <c r="F776" s="2" t="n">
        <v>1297000</v>
      </c>
      <c r="G776" s="2" t="inlineStr">
        <is>
          <t>No</t>
        </is>
      </c>
      <c r="H776" s="2" t="n">
        <v>22</v>
      </c>
      <c r="I776" s="2" t="n">
        <v>3</v>
      </c>
      <c r="J776" s="2" t="n">
        <v>3.3</v>
      </c>
      <c r="K776" s="2" t="n">
        <v>3.2</v>
      </c>
      <c r="L776" s="2" t="inlineStr">
        <is>
          <t>Active</t>
        </is>
      </c>
    </row>
    <row r="777">
      <c r="A777" s="2" t="inlineStr">
        <is>
          <t>EMP01112</t>
        </is>
      </c>
      <c r="B777" s="2" t="inlineStr">
        <is>
          <t>Operations</t>
        </is>
      </c>
      <c r="C777" s="2" t="inlineStr">
        <is>
          <t>Ops Manager</t>
        </is>
      </c>
      <c r="D777" s="2" t="n">
        <v>39</v>
      </c>
      <c r="E777" s="2" t="n">
        <v>7.7</v>
      </c>
      <c r="F777" s="2" t="n">
        <v>818000</v>
      </c>
      <c r="G777" s="2" t="inlineStr">
        <is>
          <t>No</t>
        </is>
      </c>
      <c r="H777" s="2" t="n">
        <v>31</v>
      </c>
      <c r="I777" s="2" t="n">
        <v>4</v>
      </c>
      <c r="J777" s="2" t="n">
        <v>4.7</v>
      </c>
      <c r="K777" s="2" t="n">
        <v>2.4</v>
      </c>
      <c r="L777" s="2" t="inlineStr">
        <is>
          <t>Active</t>
        </is>
      </c>
    </row>
    <row r="778">
      <c r="A778" s="2" t="inlineStr">
        <is>
          <t>EMP01046</t>
        </is>
      </c>
      <c r="B778" s="2" t="inlineStr">
        <is>
          <t>Engineering</t>
        </is>
      </c>
      <c r="C778" s="2" t="inlineStr">
        <is>
          <t>Engineering Manager</t>
        </is>
      </c>
      <c r="D778" s="2" t="n">
        <v>35</v>
      </c>
      <c r="E778" s="2" t="n">
        <v>3</v>
      </c>
      <c r="F778" s="2" t="n">
        <v>1081000</v>
      </c>
      <c r="G778" s="2" t="inlineStr">
        <is>
          <t>No</t>
        </is>
      </c>
      <c r="H778" s="2" t="n">
        <v>53</v>
      </c>
      <c r="I778" s="2" t="n">
        <v>3.1</v>
      </c>
      <c r="J778" s="2" t="n">
        <v>3.5</v>
      </c>
      <c r="K778" s="2" t="n">
        <v>3.3</v>
      </c>
      <c r="L778" s="2" t="inlineStr">
        <is>
          <t>Active</t>
        </is>
      </c>
    </row>
    <row r="779">
      <c r="A779" s="2" t="inlineStr">
        <is>
          <t>EMP00377</t>
        </is>
      </c>
      <c r="B779" s="2" t="inlineStr">
        <is>
          <t>Customer Support</t>
        </is>
      </c>
      <c r="C779" s="2" t="inlineStr">
        <is>
          <t>Support Lead</t>
        </is>
      </c>
      <c r="D779" s="2" t="n">
        <v>38</v>
      </c>
      <c r="E779" s="2" t="n">
        <v>2.8</v>
      </c>
      <c r="F779" s="2" t="n">
        <v>520000</v>
      </c>
      <c r="G779" s="2" t="inlineStr">
        <is>
          <t>No</t>
        </is>
      </c>
      <c r="H779" s="2" t="n">
        <v>21</v>
      </c>
      <c r="I779" s="2" t="n">
        <v>3.4</v>
      </c>
      <c r="J779" s="2" t="n">
        <v>3.1</v>
      </c>
      <c r="K779" s="2" t="n">
        <v>2.3</v>
      </c>
      <c r="L779" s="2" t="inlineStr">
        <is>
          <t>Active</t>
        </is>
      </c>
    </row>
    <row r="780">
      <c r="A780" s="2" t="inlineStr">
        <is>
          <t>EMP00244</t>
        </is>
      </c>
      <c r="B780" s="2" t="inlineStr">
        <is>
          <t>Operations</t>
        </is>
      </c>
      <c r="C780" s="2" t="inlineStr">
        <is>
          <t>Ops Manager</t>
        </is>
      </c>
      <c r="D780" s="2" t="n">
        <v>27</v>
      </c>
      <c r="E780" s="2" t="n">
        <v>3.8</v>
      </c>
      <c r="F780" s="2" t="n">
        <v>793000</v>
      </c>
      <c r="G780" s="2" t="inlineStr">
        <is>
          <t>No</t>
        </is>
      </c>
      <c r="H780" s="2" t="n">
        <v>22</v>
      </c>
      <c r="I780" s="2" t="n">
        <v>3.4</v>
      </c>
      <c r="J780" s="2" t="n">
        <v>3.1</v>
      </c>
      <c r="K780" s="2" t="n">
        <v>3.8</v>
      </c>
      <c r="L780" s="2" t="inlineStr">
        <is>
          <t>Active</t>
        </is>
      </c>
    </row>
    <row r="781">
      <c r="A781" s="2" t="inlineStr">
        <is>
          <t>EMP01099</t>
        </is>
      </c>
      <c r="B781" s="2" t="inlineStr">
        <is>
          <t>Customer Support</t>
        </is>
      </c>
      <c r="C781" s="2" t="inlineStr">
        <is>
          <t>Support Associate</t>
        </is>
      </c>
      <c r="D781" s="2" t="n">
        <v>51</v>
      </c>
      <c r="E781" s="2" t="n">
        <v>5.1</v>
      </c>
      <c r="F781" s="2" t="n">
        <v>553000</v>
      </c>
      <c r="G781" s="2" t="inlineStr">
        <is>
          <t>No</t>
        </is>
      </c>
      <c r="H781" s="2" t="n">
        <v>43</v>
      </c>
      <c r="I781" s="2" t="n">
        <v>1.8</v>
      </c>
      <c r="J781" s="2" t="n">
        <v>4.1</v>
      </c>
      <c r="K781" s="2" t="n">
        <v>3.2</v>
      </c>
      <c r="L781" s="2" t="inlineStr">
        <is>
          <t>Resigned</t>
        </is>
      </c>
    </row>
    <row r="782">
      <c r="A782" s="2" t="inlineStr">
        <is>
          <t>EMP00088</t>
        </is>
      </c>
      <c r="B782" s="2" t="inlineStr">
        <is>
          <t>Operations</t>
        </is>
      </c>
      <c r="C782" s="2" t="inlineStr">
        <is>
          <t>Ops Analyst</t>
        </is>
      </c>
      <c r="D782" s="2" t="n">
        <v>43</v>
      </c>
      <c r="E782" s="2" t="n">
        <v>1.5</v>
      </c>
      <c r="F782" s="2" t="n">
        <v>637000</v>
      </c>
      <c r="G782" s="2" t="inlineStr">
        <is>
          <t>Yes</t>
        </is>
      </c>
      <c r="H782" s="2" t="n">
        <v>4</v>
      </c>
      <c r="I782" s="2" t="n">
        <v>3.8</v>
      </c>
      <c r="J782" s="2" t="n">
        <v>2.3</v>
      </c>
      <c r="K782" s="2" t="n">
        <v>4.5</v>
      </c>
      <c r="L782" s="2" t="inlineStr">
        <is>
          <t>Active</t>
        </is>
      </c>
    </row>
    <row r="783">
      <c r="A783" s="2" t="inlineStr">
        <is>
          <t>EMP00215</t>
        </is>
      </c>
      <c r="B783" s="2" t="inlineStr">
        <is>
          <t>Finance</t>
        </is>
      </c>
      <c r="C783" s="2" t="inlineStr">
        <is>
          <t>Financial Analyst</t>
        </is>
      </c>
      <c r="D783" s="2" t="n">
        <v>37</v>
      </c>
      <c r="E783" s="2" t="n">
        <v>2.5</v>
      </c>
      <c r="F783" s="2" t="n">
        <v>940000</v>
      </c>
      <c r="G783" s="2" t="inlineStr">
        <is>
          <t>No</t>
        </is>
      </c>
      <c r="H783" s="2" t="n">
        <v>11</v>
      </c>
      <c r="I783" s="2" t="n">
        <v>2.6</v>
      </c>
      <c r="J783" s="2" t="n">
        <v>2.6</v>
      </c>
      <c r="K783" s="2" t="n">
        <v>3.4</v>
      </c>
      <c r="L783" s="2" t="inlineStr">
        <is>
          <t>Active</t>
        </is>
      </c>
    </row>
    <row r="784">
      <c r="A784" s="2" t="inlineStr">
        <is>
          <t>EMP00445</t>
        </is>
      </c>
      <c r="B784" s="2" t="inlineStr">
        <is>
          <t>Engineering</t>
        </is>
      </c>
      <c r="C784" s="2" t="inlineStr">
        <is>
          <t>Senior Engineer</t>
        </is>
      </c>
      <c r="D784" s="2" t="n">
        <v>37</v>
      </c>
      <c r="E784" s="2" t="n">
        <v>1.6</v>
      </c>
      <c r="F784" s="2" t="n">
        <v>1019000</v>
      </c>
      <c r="G784" s="2" t="inlineStr">
        <is>
          <t>No</t>
        </is>
      </c>
      <c r="H784" s="2" t="n">
        <v>2</v>
      </c>
      <c r="I784" s="2" t="n">
        <v>3.4</v>
      </c>
      <c r="J784" s="2" t="n">
        <v>4.2</v>
      </c>
      <c r="K784" s="2" t="n">
        <v>4</v>
      </c>
      <c r="L784" s="2" t="inlineStr">
        <is>
          <t>Active</t>
        </is>
      </c>
    </row>
    <row r="785">
      <c r="A785" s="2" t="inlineStr">
        <is>
          <t>EMP00174</t>
        </is>
      </c>
      <c r="B785" s="2" t="inlineStr">
        <is>
          <t>Customer Support</t>
        </is>
      </c>
      <c r="C785" s="2" t="inlineStr">
        <is>
          <t>Support Lead</t>
        </is>
      </c>
      <c r="D785" s="2" t="n">
        <v>28</v>
      </c>
      <c r="E785" s="2" t="n">
        <v>5.7</v>
      </c>
      <c r="F785" s="2" t="n">
        <v>660000</v>
      </c>
      <c r="G785" s="2" t="inlineStr">
        <is>
          <t>No</t>
        </is>
      </c>
      <c r="H785" s="2" t="n">
        <v>9</v>
      </c>
      <c r="I785" s="2" t="n">
        <v>3.2</v>
      </c>
      <c r="J785" s="2" t="n">
        <v>3.1</v>
      </c>
      <c r="K785" s="2" t="n">
        <v>2.9</v>
      </c>
      <c r="L785" s="2" t="inlineStr">
        <is>
          <t>Active</t>
        </is>
      </c>
    </row>
    <row r="786">
      <c r="A786" s="2" t="inlineStr">
        <is>
          <t>EMP00426</t>
        </is>
      </c>
      <c r="B786" s="2" t="inlineStr">
        <is>
          <t>HR</t>
        </is>
      </c>
      <c r="C786" s="2" t="inlineStr">
        <is>
          <t>HR Manager</t>
        </is>
      </c>
      <c r="D786" s="2" t="n">
        <v>26</v>
      </c>
      <c r="E786" s="2" t="n">
        <v>3.5</v>
      </c>
      <c r="F786" s="2" t="n">
        <v>676000</v>
      </c>
      <c r="G786" s="2" t="inlineStr">
        <is>
          <t>Yes</t>
        </is>
      </c>
      <c r="H786" s="2" t="n">
        <v>43</v>
      </c>
      <c r="I786" s="2" t="n">
        <v>3.7</v>
      </c>
      <c r="J786" s="2" t="n">
        <v>3.1</v>
      </c>
      <c r="K786" s="2" t="n">
        <v>2.9</v>
      </c>
      <c r="L786" s="2" t="inlineStr">
        <is>
          <t>Active</t>
        </is>
      </c>
    </row>
    <row r="787">
      <c r="A787" s="2" t="inlineStr">
        <is>
          <t>EMP01062</t>
        </is>
      </c>
      <c r="B787" s="2" t="inlineStr">
        <is>
          <t>Finance</t>
        </is>
      </c>
      <c r="C787" s="2" t="inlineStr">
        <is>
          <t>Finance Manager</t>
        </is>
      </c>
      <c r="D787" s="2" t="n">
        <v>45</v>
      </c>
      <c r="E787" s="2" t="n">
        <v>13</v>
      </c>
      <c r="F787" s="2" t="n">
        <v>1212000</v>
      </c>
      <c r="G787" s="2" t="inlineStr">
        <is>
          <t>Yes</t>
        </is>
      </c>
      <c r="H787" s="2" t="n">
        <v>46</v>
      </c>
      <c r="I787" s="2" t="n">
        <v>2.8</v>
      </c>
      <c r="J787" s="2" t="n">
        <v>1.6</v>
      </c>
      <c r="K787" s="2" t="n">
        <v>2.7</v>
      </c>
      <c r="L787" s="2" t="inlineStr">
        <is>
          <t>Active</t>
        </is>
      </c>
    </row>
    <row r="788">
      <c r="A788" s="2" t="inlineStr">
        <is>
          <t>EMP00119</t>
        </is>
      </c>
      <c r="B788" s="2" t="inlineStr">
        <is>
          <t>Operations</t>
        </is>
      </c>
      <c r="C788" s="2" t="inlineStr">
        <is>
          <t>Ops Analyst</t>
        </is>
      </c>
      <c r="D788" s="2" t="n">
        <v>33</v>
      </c>
      <c r="E788" s="2" t="n">
        <v>1.7</v>
      </c>
      <c r="F788" s="2" t="n">
        <v>574000</v>
      </c>
      <c r="G788" s="2" t="inlineStr">
        <is>
          <t>No</t>
        </is>
      </c>
      <c r="H788" s="2" t="n">
        <v>24</v>
      </c>
      <c r="I788" s="2" t="n">
        <v>3.9</v>
      </c>
      <c r="J788" s="2" t="n">
        <v>4.1</v>
      </c>
      <c r="K788" s="2" t="n">
        <v>2.8</v>
      </c>
      <c r="L788" s="2" t="inlineStr">
        <is>
          <t>Active</t>
        </is>
      </c>
    </row>
    <row r="789">
      <c r="A789" s="2" t="inlineStr">
        <is>
          <t>EMP00120</t>
        </is>
      </c>
      <c r="B789" s="2" t="inlineStr">
        <is>
          <t>Finance</t>
        </is>
      </c>
      <c r="C789" s="2" t="inlineStr">
        <is>
          <t>Finance Manager</t>
        </is>
      </c>
      <c r="D789" s="2" t="n">
        <v>31</v>
      </c>
      <c r="E789" s="2" t="n">
        <v>3.6</v>
      </c>
      <c r="F789" s="2" t="n">
        <v>858000</v>
      </c>
      <c r="G789" s="2" t="inlineStr">
        <is>
          <t>No</t>
        </is>
      </c>
      <c r="H789" s="2" t="n">
        <v>3</v>
      </c>
      <c r="I789" s="2" t="n">
        <v>3.4</v>
      </c>
      <c r="J789" s="2" t="n">
        <v>1</v>
      </c>
      <c r="K789" s="2" t="n">
        <v>3.9</v>
      </c>
      <c r="L789" s="2" t="inlineStr">
        <is>
          <t>Active</t>
        </is>
      </c>
    </row>
    <row r="790">
      <c r="A790" s="2" t="inlineStr">
        <is>
          <t>EMP01034</t>
        </is>
      </c>
      <c r="B790" s="2" t="inlineStr">
        <is>
          <t>Customer Support</t>
        </is>
      </c>
      <c r="C790" s="2" t="inlineStr">
        <is>
          <t>Support Lead</t>
        </is>
      </c>
      <c r="D790" s="2" t="n">
        <v>39</v>
      </c>
      <c r="E790" s="2" t="n">
        <v>3.2</v>
      </c>
      <c r="F790" s="2" t="n">
        <v>575000</v>
      </c>
      <c r="G790" s="2" t="inlineStr">
        <is>
          <t>No</t>
        </is>
      </c>
      <c r="H790" s="2" t="n">
        <v>48</v>
      </c>
      <c r="I790" s="2" t="n">
        <v>2.4</v>
      </c>
      <c r="J790" s="2" t="n">
        <v>3.5</v>
      </c>
      <c r="K790" s="2" t="n">
        <v>4.3</v>
      </c>
      <c r="L790" s="2" t="inlineStr">
        <is>
          <t>Active</t>
        </is>
      </c>
    </row>
    <row r="791">
      <c r="A791" s="2" t="inlineStr">
        <is>
          <t>EMP01095</t>
        </is>
      </c>
      <c r="B791" s="2" t="inlineStr">
        <is>
          <t>Operations</t>
        </is>
      </c>
      <c r="C791" s="2" t="inlineStr">
        <is>
          <t>Process Lead</t>
        </is>
      </c>
      <c r="D791" s="2" t="n">
        <v>21</v>
      </c>
      <c r="E791" s="2" t="n">
        <v>0.6</v>
      </c>
      <c r="F791" s="2" t="n">
        <v>665000</v>
      </c>
      <c r="G791" s="2" t="inlineStr">
        <is>
          <t>Yes</t>
        </is>
      </c>
      <c r="H791" s="2" t="n">
        <v>18</v>
      </c>
      <c r="I791" s="2" t="n">
        <v>4.2</v>
      </c>
      <c r="J791" s="2" t="n">
        <v>1.7</v>
      </c>
      <c r="K791" s="2" t="n">
        <v>2.4</v>
      </c>
      <c r="L791" s="2" t="inlineStr">
        <is>
          <t>Resigned</t>
        </is>
      </c>
    </row>
    <row r="792">
      <c r="A792" s="2" t="inlineStr">
        <is>
          <t>EMP00001</t>
        </is>
      </c>
      <c r="B792" s="2" t="inlineStr">
        <is>
          <t>HR</t>
        </is>
      </c>
      <c r="C792" s="2" t="inlineStr">
        <is>
          <t>HR Generalist</t>
        </is>
      </c>
      <c r="D792" s="2" t="n">
        <v>39</v>
      </c>
      <c r="E792" s="2" t="n">
        <v>12</v>
      </c>
      <c r="F792" s="2" t="n">
        <v>775000</v>
      </c>
      <c r="G792" s="2" t="inlineStr">
        <is>
          <t>Yes</t>
        </is>
      </c>
      <c r="H792" s="2" t="n">
        <v>57</v>
      </c>
      <c r="I792" s="2" t="n">
        <v>4</v>
      </c>
      <c r="J792" s="2" t="n">
        <v>2.5</v>
      </c>
      <c r="K792" s="2" t="n">
        <v>2.7</v>
      </c>
      <c r="L792" s="2" t="inlineStr">
        <is>
          <t>Active</t>
        </is>
      </c>
    </row>
    <row r="793">
      <c r="A793" s="2" t="inlineStr">
        <is>
          <t>EMP00395</t>
        </is>
      </c>
      <c r="B793" s="2" t="inlineStr">
        <is>
          <t>Sales</t>
        </is>
      </c>
      <c r="C793" s="2" t="inlineStr">
        <is>
          <t>Sales Executive</t>
        </is>
      </c>
      <c r="D793" s="2" t="n">
        <v>38</v>
      </c>
      <c r="E793" s="2" t="n">
        <v>3.1</v>
      </c>
      <c r="F793" s="2" t="n">
        <v>763000</v>
      </c>
      <c r="G793" s="2" t="inlineStr">
        <is>
          <t>Yes</t>
        </is>
      </c>
      <c r="H793" s="2" t="n">
        <v>58</v>
      </c>
      <c r="I793" s="2" t="n">
        <v>2.3</v>
      </c>
      <c r="J793" s="2" t="n">
        <v>2.9</v>
      </c>
      <c r="K793" s="2" t="n">
        <v>3.1</v>
      </c>
      <c r="L793" s="2" t="inlineStr">
        <is>
          <t>Resigned</t>
        </is>
      </c>
    </row>
    <row r="794">
      <c r="A794" s="2" t="inlineStr">
        <is>
          <t>EMP00402</t>
        </is>
      </c>
      <c r="B794" s="2" t="inlineStr">
        <is>
          <t>Customer Support</t>
        </is>
      </c>
      <c r="C794" s="2" t="inlineStr">
        <is>
          <t>Support Lead</t>
        </is>
      </c>
      <c r="D794" s="2" t="n">
        <v>36</v>
      </c>
      <c r="E794" s="2" t="n">
        <v>4</v>
      </c>
      <c r="F794" s="2" t="n">
        <v>525000</v>
      </c>
      <c r="G794" s="2" t="inlineStr">
        <is>
          <t>No</t>
        </is>
      </c>
      <c r="H794" s="2" t="n">
        <v>18</v>
      </c>
      <c r="I794" s="2" t="n">
        <v>3</v>
      </c>
      <c r="J794" s="2" t="n">
        <v>2.2</v>
      </c>
      <c r="K794" s="2" t="n">
        <v>3.8</v>
      </c>
      <c r="L794" s="2" t="inlineStr">
        <is>
          <t>Active</t>
        </is>
      </c>
    </row>
    <row r="795">
      <c r="A795" s="2" t="inlineStr">
        <is>
          <t>EMP00405</t>
        </is>
      </c>
      <c r="B795" s="2" t="inlineStr">
        <is>
          <t>Customer Support</t>
        </is>
      </c>
      <c r="C795" s="2" t="inlineStr">
        <is>
          <t>Support Associate</t>
        </is>
      </c>
      <c r="D795" s="2" t="n">
        <v>40</v>
      </c>
      <c r="E795" s="2" t="n">
        <v>5.9</v>
      </c>
      <c r="F795" s="2" t="n">
        <v>604000</v>
      </c>
      <c r="G795" s="2" t="inlineStr">
        <is>
          <t>No</t>
        </is>
      </c>
      <c r="H795" s="2" t="n">
        <v>55</v>
      </c>
      <c r="I795" s="2" t="n">
        <v>2.9</v>
      </c>
      <c r="J795" s="2" t="n">
        <v>2.7</v>
      </c>
      <c r="K795" s="2" t="n">
        <v>3.2</v>
      </c>
      <c r="L795" s="2" t="inlineStr">
        <is>
          <t>Active</t>
        </is>
      </c>
    </row>
    <row r="796">
      <c r="A796" s="2" t="inlineStr">
        <is>
          <t>EMP00880</t>
        </is>
      </c>
      <c r="B796" s="2" t="inlineStr">
        <is>
          <t>Operations</t>
        </is>
      </c>
      <c r="C796" s="2" t="inlineStr">
        <is>
          <t>Process Lead</t>
        </is>
      </c>
      <c r="D796" s="2" t="n">
        <v>27</v>
      </c>
      <c r="E796" s="2" t="n">
        <v>4.2</v>
      </c>
      <c r="F796" s="2" t="n">
        <v>684000</v>
      </c>
      <c r="G796" s="2" t="inlineStr">
        <is>
          <t>No</t>
        </is>
      </c>
      <c r="H796" s="2" t="n">
        <v>4</v>
      </c>
      <c r="I796" s="2" t="n">
        <v>3.9</v>
      </c>
      <c r="J796" s="2" t="n">
        <v>1.8</v>
      </c>
      <c r="K796" s="2" t="n">
        <v>2</v>
      </c>
      <c r="L796" s="2" t="inlineStr">
        <is>
          <t>Active</t>
        </is>
      </c>
    </row>
    <row r="797">
      <c r="A797" s="2" t="inlineStr">
        <is>
          <t>EMP00891</t>
        </is>
      </c>
      <c r="B797" s="2" t="inlineStr">
        <is>
          <t>Engineering</t>
        </is>
      </c>
      <c r="C797" s="2" t="inlineStr">
        <is>
          <t>Senior Engineer</t>
        </is>
      </c>
      <c r="D797" s="2" t="n">
        <v>34</v>
      </c>
      <c r="E797" s="2" t="n">
        <v>2.5</v>
      </c>
      <c r="F797" s="2" t="n">
        <v>981000</v>
      </c>
      <c r="G797" s="2" t="inlineStr">
        <is>
          <t>No</t>
        </is>
      </c>
      <c r="H797" s="2" t="n">
        <v>39</v>
      </c>
      <c r="I797" s="2" t="n">
        <v>4.9</v>
      </c>
      <c r="J797" s="2" t="n">
        <v>3.6</v>
      </c>
      <c r="K797" s="2" t="n">
        <v>2.3</v>
      </c>
      <c r="L797" s="2" t="inlineStr">
        <is>
          <t>Active</t>
        </is>
      </c>
    </row>
    <row r="798">
      <c r="A798" s="2" t="inlineStr">
        <is>
          <t>EMP00163</t>
        </is>
      </c>
      <c r="B798" s="2" t="inlineStr">
        <is>
          <t>Engineering</t>
        </is>
      </c>
      <c r="C798" s="2" t="inlineStr">
        <is>
          <t>Engineering Manager</t>
        </is>
      </c>
      <c r="D798" s="2" t="n">
        <v>30</v>
      </c>
      <c r="E798" s="2" t="n">
        <v>1.8</v>
      </c>
      <c r="F798" s="2" t="n">
        <v>1009000</v>
      </c>
      <c r="G798" s="2" t="inlineStr">
        <is>
          <t>No</t>
        </is>
      </c>
      <c r="H798" s="2" t="n">
        <v>49</v>
      </c>
      <c r="I798" s="2" t="n">
        <v>3.9</v>
      </c>
      <c r="J798" s="2" t="n">
        <v>4.3</v>
      </c>
      <c r="K798" s="2" t="n">
        <v>1.9</v>
      </c>
      <c r="L798" s="2" t="inlineStr">
        <is>
          <t>Active</t>
        </is>
      </c>
    </row>
    <row r="799">
      <c r="A799" s="2" t="inlineStr">
        <is>
          <t>EMP00115</t>
        </is>
      </c>
      <c r="B799" s="2" t="inlineStr">
        <is>
          <t>Sales</t>
        </is>
      </c>
      <c r="C799" s="2" t="inlineStr">
        <is>
          <t>Sales Executive</t>
        </is>
      </c>
      <c r="D799" s="2" t="n">
        <v>39</v>
      </c>
      <c r="E799" s="2" t="n">
        <v>5.8</v>
      </c>
      <c r="F799" s="2" t="n">
        <v>748000</v>
      </c>
      <c r="G799" s="2" t="inlineStr">
        <is>
          <t>No</t>
        </is>
      </c>
      <c r="H799" s="2" t="n">
        <v>35</v>
      </c>
      <c r="I799" s="2" t="n">
        <v>3.1</v>
      </c>
      <c r="J799" s="2" t="n">
        <v>3.5</v>
      </c>
      <c r="K799" s="2" t="n">
        <v>4.6</v>
      </c>
      <c r="L799" s="2" t="inlineStr">
        <is>
          <t>Active</t>
        </is>
      </c>
    </row>
    <row r="800">
      <c r="A800" s="2" t="inlineStr">
        <is>
          <t>EMP00671</t>
        </is>
      </c>
      <c r="B800" s="2" t="inlineStr">
        <is>
          <t>Sales</t>
        </is>
      </c>
      <c r="C800" s="2" t="inlineStr">
        <is>
          <t>Account Manager</t>
        </is>
      </c>
      <c r="D800" s="2" t="n">
        <v>34</v>
      </c>
      <c r="E800" s="2" t="n">
        <v>5.1</v>
      </c>
      <c r="F800" s="2" t="n">
        <v>731000</v>
      </c>
      <c r="G800" s="2" t="inlineStr">
        <is>
          <t>No</t>
        </is>
      </c>
      <c r="H800" s="2" t="n">
        <v>22</v>
      </c>
      <c r="I800" s="2" t="n">
        <v>3.6</v>
      </c>
      <c r="J800" s="2" t="n">
        <v>2.9</v>
      </c>
      <c r="K800" s="2" t="n">
        <v>3.8</v>
      </c>
      <c r="L800" s="2" t="inlineStr">
        <is>
          <t>Resigned</t>
        </is>
      </c>
    </row>
    <row r="801">
      <c r="A801" s="2" t="inlineStr">
        <is>
          <t>EMP00151</t>
        </is>
      </c>
      <c r="B801" s="2" t="inlineStr">
        <is>
          <t>HR</t>
        </is>
      </c>
      <c r="C801" s="2" t="inlineStr">
        <is>
          <t>Recruiter</t>
        </is>
      </c>
      <c r="D801" s="2" t="n">
        <v>25</v>
      </c>
      <c r="E801" s="2" t="n">
        <v>2.3</v>
      </c>
      <c r="F801" s="2" t="n">
        <v>611000</v>
      </c>
      <c r="G801" s="2" t="inlineStr">
        <is>
          <t>Yes</t>
        </is>
      </c>
      <c r="H801" s="2" t="n">
        <v>46</v>
      </c>
      <c r="I801" s="2" t="n">
        <v>2.9</v>
      </c>
      <c r="J801" s="2" t="n">
        <v>3.5</v>
      </c>
      <c r="K801" s="2" t="n">
        <v>3.7</v>
      </c>
      <c r="L801" s="2" t="inlineStr">
        <is>
          <t>Active</t>
        </is>
      </c>
    </row>
    <row r="802">
      <c r="A802" s="2" t="inlineStr">
        <is>
          <t>EMP00842</t>
        </is>
      </c>
      <c r="B802" s="2" t="inlineStr">
        <is>
          <t>HR</t>
        </is>
      </c>
      <c r="C802" s="2" t="inlineStr">
        <is>
          <t>HR Generalist</t>
        </is>
      </c>
      <c r="D802" s="2" t="n">
        <v>31</v>
      </c>
      <c r="E802" s="2" t="n">
        <v>2.5</v>
      </c>
      <c r="F802" s="2" t="n">
        <v>712000</v>
      </c>
      <c r="G802" s="2" t="inlineStr">
        <is>
          <t>No</t>
        </is>
      </c>
      <c r="H802" s="2" t="n">
        <v>12</v>
      </c>
      <c r="I802" s="2" t="n">
        <v>3.5</v>
      </c>
      <c r="J802" s="2" t="n">
        <v>4.9</v>
      </c>
      <c r="K802" s="2" t="n">
        <v>2.7</v>
      </c>
      <c r="L802" s="2" t="inlineStr">
        <is>
          <t>Active</t>
        </is>
      </c>
    </row>
    <row r="803">
      <c r="A803" s="2" t="inlineStr">
        <is>
          <t>EMP00981</t>
        </is>
      </c>
      <c r="B803" s="2" t="inlineStr">
        <is>
          <t>Customer Support</t>
        </is>
      </c>
      <c r="C803" s="2" t="inlineStr">
        <is>
          <t>Support Manager</t>
        </is>
      </c>
      <c r="D803" s="2" t="n">
        <v>25</v>
      </c>
      <c r="E803" s="2" t="n">
        <v>8.199999999999999</v>
      </c>
      <c r="F803" s="2" t="n">
        <v>665000</v>
      </c>
      <c r="G803" s="2" t="inlineStr">
        <is>
          <t>Yes</t>
        </is>
      </c>
      <c r="H803" s="2" t="n">
        <v>26</v>
      </c>
      <c r="I803" s="2" t="n">
        <v>2.5</v>
      </c>
      <c r="J803" s="2" t="n">
        <v>3.7</v>
      </c>
      <c r="K803" s="2" t="n">
        <v>3.4</v>
      </c>
      <c r="L803" s="2" t="inlineStr">
        <is>
          <t>Active</t>
        </is>
      </c>
    </row>
    <row r="804">
      <c r="A804" s="2" t="inlineStr">
        <is>
          <t>EMP00562</t>
        </is>
      </c>
      <c r="B804" s="2" t="inlineStr">
        <is>
          <t>Engineering</t>
        </is>
      </c>
      <c r="C804" s="2" t="inlineStr">
        <is>
          <t>Senior Engineer</t>
        </is>
      </c>
      <c r="D804" s="2" t="n">
        <v>33</v>
      </c>
      <c r="E804" s="2" t="n">
        <v>1</v>
      </c>
      <c r="F804" s="2" t="n">
        <v>871000</v>
      </c>
      <c r="G804" s="2" t="inlineStr">
        <is>
          <t>No</t>
        </is>
      </c>
      <c r="H804" s="2" t="n">
        <v>41</v>
      </c>
      <c r="I804" s="2" t="n">
        <v>2.9</v>
      </c>
      <c r="J804" s="2" t="n">
        <v>3.4</v>
      </c>
      <c r="K804" s="2" t="n">
        <v>1.6</v>
      </c>
      <c r="L804" s="2" t="inlineStr">
        <is>
          <t>Active</t>
        </is>
      </c>
    </row>
    <row r="805">
      <c r="A805" s="2" t="inlineStr">
        <is>
          <t>EMP00369</t>
        </is>
      </c>
      <c r="B805" s="2" t="inlineStr">
        <is>
          <t>Engineering</t>
        </is>
      </c>
      <c r="C805" s="2" t="inlineStr">
        <is>
          <t>Senior Engineer</t>
        </is>
      </c>
      <c r="D805" s="2" t="n">
        <v>28</v>
      </c>
      <c r="E805" s="2" t="n">
        <v>1.8</v>
      </c>
      <c r="F805" s="2" t="n">
        <v>1120000</v>
      </c>
      <c r="G805" s="2" t="inlineStr">
        <is>
          <t>Yes</t>
        </is>
      </c>
      <c r="H805" s="2" t="n">
        <v>27</v>
      </c>
      <c r="I805" s="2" t="n">
        <v>3.2</v>
      </c>
      <c r="J805" s="2" t="n">
        <v>1.1</v>
      </c>
      <c r="K805" s="2" t="n">
        <v>1</v>
      </c>
      <c r="L805" s="2" t="inlineStr">
        <is>
          <t>Resigned</t>
        </is>
      </c>
    </row>
    <row r="806">
      <c r="A806" s="2" t="inlineStr">
        <is>
          <t>EMP00544</t>
        </is>
      </c>
      <c r="B806" s="2" t="inlineStr">
        <is>
          <t>Customer Support</t>
        </is>
      </c>
      <c r="C806" s="2" t="inlineStr">
        <is>
          <t>Support Associate</t>
        </is>
      </c>
      <c r="D806" s="2" t="n">
        <v>36</v>
      </c>
      <c r="E806" s="2" t="n">
        <v>1.4</v>
      </c>
      <c r="F806" s="2" t="n">
        <v>477000</v>
      </c>
      <c r="G806" s="2" t="inlineStr">
        <is>
          <t>No</t>
        </is>
      </c>
      <c r="H806" s="2" t="n">
        <v>46</v>
      </c>
      <c r="I806" s="2" t="n">
        <v>4.5</v>
      </c>
      <c r="J806" s="2" t="n">
        <v>3.2</v>
      </c>
      <c r="K806" s="2" t="n">
        <v>2.9</v>
      </c>
      <c r="L806" s="2" t="inlineStr">
        <is>
          <t>Active</t>
        </is>
      </c>
    </row>
    <row r="807">
      <c r="A807" s="2" t="inlineStr">
        <is>
          <t>EMP00478</t>
        </is>
      </c>
      <c r="B807" s="2" t="inlineStr">
        <is>
          <t>Finance</t>
        </is>
      </c>
      <c r="C807" s="2" t="inlineStr">
        <is>
          <t>Finance Manager</t>
        </is>
      </c>
      <c r="D807" s="2" t="n">
        <v>30</v>
      </c>
      <c r="E807" s="2" t="n">
        <v>2.6</v>
      </c>
      <c r="F807" s="2" t="n">
        <v>835000</v>
      </c>
      <c r="G807" s="2" t="inlineStr">
        <is>
          <t>No</t>
        </is>
      </c>
      <c r="H807" s="2" t="n">
        <v>50</v>
      </c>
      <c r="I807" s="2" t="n">
        <v>3.1</v>
      </c>
      <c r="J807" s="2" t="n">
        <v>4.2</v>
      </c>
      <c r="K807" s="2" t="n">
        <v>3</v>
      </c>
      <c r="L807" s="2" t="inlineStr">
        <is>
          <t>Active</t>
        </is>
      </c>
    </row>
    <row r="808">
      <c r="A808" s="2" t="inlineStr">
        <is>
          <t>EMP01151</t>
        </is>
      </c>
      <c r="B808" s="2" t="inlineStr">
        <is>
          <t>Sales</t>
        </is>
      </c>
      <c r="C808" s="2" t="inlineStr">
        <is>
          <t>Account Manager</t>
        </is>
      </c>
      <c r="D808" s="2" t="n">
        <v>38</v>
      </c>
      <c r="E808" s="2" t="n">
        <v>3.2</v>
      </c>
      <c r="F808" s="2" t="n">
        <v>736000</v>
      </c>
      <c r="G808" s="2" t="inlineStr">
        <is>
          <t>No</t>
        </is>
      </c>
      <c r="H808" s="2" t="n">
        <v>42</v>
      </c>
      <c r="I808" s="2" t="n">
        <v>3.9</v>
      </c>
      <c r="J808" s="2" t="n">
        <v>5</v>
      </c>
      <c r="K808" s="2" t="n">
        <v>3.3</v>
      </c>
      <c r="L808" s="2" t="inlineStr">
        <is>
          <t>Active</t>
        </is>
      </c>
    </row>
    <row r="809">
      <c r="A809" s="2" t="inlineStr">
        <is>
          <t>EMP00533</t>
        </is>
      </c>
      <c r="B809" s="2" t="inlineStr">
        <is>
          <t>Engineering</t>
        </is>
      </c>
      <c r="C809" s="2" t="inlineStr">
        <is>
          <t>Software Engineer</t>
        </is>
      </c>
      <c r="D809" s="2" t="n">
        <v>28</v>
      </c>
      <c r="E809" s="2" t="n">
        <v>3.6</v>
      </c>
      <c r="F809" s="2" t="n">
        <v>1252000</v>
      </c>
      <c r="G809" s="2" t="inlineStr">
        <is>
          <t>No</t>
        </is>
      </c>
      <c r="H809" s="2" t="n">
        <v>42</v>
      </c>
      <c r="I809" s="2" t="n">
        <v>3.9</v>
      </c>
      <c r="J809" s="2" t="n">
        <v>3.4</v>
      </c>
      <c r="K809" s="2" t="n">
        <v>3.3</v>
      </c>
      <c r="L809" s="2" t="inlineStr">
        <is>
          <t>Active</t>
        </is>
      </c>
    </row>
    <row r="810">
      <c r="A810" s="2" t="inlineStr">
        <is>
          <t>EMP00626</t>
        </is>
      </c>
      <c r="B810" s="2" t="inlineStr">
        <is>
          <t>Engineering</t>
        </is>
      </c>
      <c r="C810" s="2" t="inlineStr">
        <is>
          <t>Senior Engineer</t>
        </is>
      </c>
      <c r="D810" s="2" t="n">
        <v>51</v>
      </c>
      <c r="E810" s="2" t="n">
        <v>3</v>
      </c>
      <c r="F810" s="2" t="n">
        <v>1036000</v>
      </c>
      <c r="G810" s="2" t="inlineStr">
        <is>
          <t>No</t>
        </is>
      </c>
      <c r="H810" s="2" t="n">
        <v>20</v>
      </c>
      <c r="I810" s="2" t="n">
        <v>2.5</v>
      </c>
      <c r="J810" s="2" t="n">
        <v>4</v>
      </c>
      <c r="K810" s="2" t="n">
        <v>3.8</v>
      </c>
      <c r="L810" s="2" t="inlineStr">
        <is>
          <t>Resigned</t>
        </is>
      </c>
    </row>
    <row r="811">
      <c r="A811" s="2" t="inlineStr">
        <is>
          <t>EMP01021</t>
        </is>
      </c>
      <c r="B811" s="2" t="inlineStr">
        <is>
          <t>Customer Support</t>
        </is>
      </c>
      <c r="C811" s="2" t="inlineStr">
        <is>
          <t>Support Lead</t>
        </is>
      </c>
      <c r="D811" s="2" t="n">
        <v>33</v>
      </c>
      <c r="E811" s="2" t="n">
        <v>8.300000000000001</v>
      </c>
      <c r="F811" s="2" t="n">
        <v>670000</v>
      </c>
      <c r="G811" s="2" t="inlineStr">
        <is>
          <t>No</t>
        </is>
      </c>
      <c r="H811" s="2" t="n">
        <v>14</v>
      </c>
      <c r="I811" s="2" t="n">
        <v>3.7</v>
      </c>
      <c r="J811" s="2" t="n">
        <v>2</v>
      </c>
      <c r="K811" s="2" t="n">
        <v>3.1</v>
      </c>
      <c r="L811" s="2" t="inlineStr">
        <is>
          <t>Active</t>
        </is>
      </c>
    </row>
    <row r="812">
      <c r="A812" s="2" t="inlineStr">
        <is>
          <t>EMP00513</t>
        </is>
      </c>
      <c r="B812" s="2" t="inlineStr">
        <is>
          <t>Sales</t>
        </is>
      </c>
      <c r="C812" s="2" t="inlineStr">
        <is>
          <t>Account Manager</t>
        </is>
      </c>
      <c r="D812" s="2" t="n">
        <v>29</v>
      </c>
      <c r="E812" s="2" t="n">
        <v>2.4</v>
      </c>
      <c r="F812" s="2" t="n">
        <v>662000</v>
      </c>
      <c r="G812" s="2" t="inlineStr">
        <is>
          <t>No</t>
        </is>
      </c>
      <c r="H812" s="2" t="n">
        <v>48</v>
      </c>
      <c r="I812" s="2" t="n">
        <v>2.1</v>
      </c>
      <c r="J812" s="2" t="n">
        <v>3.1</v>
      </c>
      <c r="K812" s="2" t="n">
        <v>2.7</v>
      </c>
      <c r="L812" s="2" t="inlineStr">
        <is>
          <t>Active</t>
        </is>
      </c>
    </row>
    <row r="813">
      <c r="A813" s="2" t="inlineStr">
        <is>
          <t>EMP00840</t>
        </is>
      </c>
      <c r="B813" s="2" t="inlineStr">
        <is>
          <t>Operations</t>
        </is>
      </c>
      <c r="C813" s="2" t="inlineStr">
        <is>
          <t>Ops Analyst</t>
        </is>
      </c>
      <c r="D813" s="2" t="n">
        <v>30</v>
      </c>
      <c r="E813" s="2" t="n">
        <v>7.8</v>
      </c>
      <c r="F813" s="2" t="n">
        <v>931000</v>
      </c>
      <c r="G813" s="2" t="inlineStr">
        <is>
          <t>Yes</t>
        </is>
      </c>
      <c r="H813" s="2" t="n">
        <v>29</v>
      </c>
      <c r="I813" s="2" t="n">
        <v>3</v>
      </c>
      <c r="J813" s="2" t="n">
        <v>1.8</v>
      </c>
      <c r="K813" s="2" t="n">
        <v>3.6</v>
      </c>
      <c r="L813" s="2" t="inlineStr">
        <is>
          <t>Resigned</t>
        </is>
      </c>
    </row>
    <row r="814">
      <c r="A814" s="2" t="inlineStr">
        <is>
          <t>EMP00073</t>
        </is>
      </c>
      <c r="B814" s="2" t="inlineStr">
        <is>
          <t>Customer Support</t>
        </is>
      </c>
      <c r="C814" s="2" t="inlineStr">
        <is>
          <t>Support Lead</t>
        </is>
      </c>
      <c r="D814" s="2" t="n">
        <v>21</v>
      </c>
      <c r="E814" s="2" t="n">
        <v>1</v>
      </c>
      <c r="F814" s="2" t="n">
        <v>482000</v>
      </c>
      <c r="G814" s="2" t="inlineStr">
        <is>
          <t>No</t>
        </is>
      </c>
      <c r="H814" s="2" t="n">
        <v>45</v>
      </c>
      <c r="I814" s="2" t="n">
        <v>5</v>
      </c>
      <c r="J814" s="2" t="n">
        <v>4.5</v>
      </c>
      <c r="K814" s="2" t="n">
        <v>3.1</v>
      </c>
      <c r="L814" s="2" t="inlineStr">
        <is>
          <t>Active</t>
        </is>
      </c>
    </row>
    <row r="815">
      <c r="A815" s="2" t="inlineStr">
        <is>
          <t>EMP00808</t>
        </is>
      </c>
      <c r="B815" s="2" t="inlineStr">
        <is>
          <t>Sales</t>
        </is>
      </c>
      <c r="C815" s="2" t="inlineStr">
        <is>
          <t>Sales Manager</t>
        </is>
      </c>
      <c r="D815" s="2" t="n">
        <v>30</v>
      </c>
      <c r="E815" s="2" t="n">
        <v>0.6</v>
      </c>
      <c r="F815" s="2" t="n">
        <v>715000</v>
      </c>
      <c r="G815" s="2" t="inlineStr">
        <is>
          <t>No</t>
        </is>
      </c>
      <c r="H815" s="2" t="n">
        <v>19</v>
      </c>
      <c r="I815" s="2" t="n">
        <v>4.2</v>
      </c>
      <c r="J815" s="2" t="n">
        <v>2.4</v>
      </c>
      <c r="K815" s="2" t="n">
        <v>3.1</v>
      </c>
      <c r="L815" s="2" t="inlineStr">
        <is>
          <t>Active</t>
        </is>
      </c>
    </row>
    <row r="816">
      <c r="A816" s="2" t="inlineStr">
        <is>
          <t>EMP00259</t>
        </is>
      </c>
      <c r="B816" s="2" t="inlineStr">
        <is>
          <t>Sales</t>
        </is>
      </c>
      <c r="C816" s="2" t="inlineStr">
        <is>
          <t>Sales Manager</t>
        </is>
      </c>
      <c r="D816" s="2" t="n">
        <v>28</v>
      </c>
      <c r="E816" s="2" t="n">
        <v>5.9</v>
      </c>
      <c r="F816" s="2" t="n">
        <v>841000</v>
      </c>
      <c r="G816" s="2" t="inlineStr">
        <is>
          <t>No</t>
        </is>
      </c>
      <c r="H816" s="2" t="n">
        <v>13</v>
      </c>
      <c r="I816" s="2" t="n">
        <v>2.6</v>
      </c>
      <c r="J816" s="2" t="n">
        <v>2.2</v>
      </c>
      <c r="K816" s="2" t="n">
        <v>3.8</v>
      </c>
      <c r="L816" s="2" t="inlineStr">
        <is>
          <t>Resigned</t>
        </is>
      </c>
    </row>
    <row r="817">
      <c r="A817" s="2" t="inlineStr">
        <is>
          <t>EMP00625</t>
        </is>
      </c>
      <c r="B817" s="2" t="inlineStr">
        <is>
          <t>Customer Support</t>
        </is>
      </c>
      <c r="C817" s="2" t="inlineStr">
        <is>
          <t>Support Lead</t>
        </is>
      </c>
      <c r="D817" s="2" t="n">
        <v>24</v>
      </c>
      <c r="E817" s="2" t="n">
        <v>1.6</v>
      </c>
      <c r="F817" s="2" t="n">
        <v>499000</v>
      </c>
      <c r="G817" s="2" t="inlineStr">
        <is>
          <t>No</t>
        </is>
      </c>
      <c r="H817" s="2" t="n">
        <v>21</v>
      </c>
      <c r="I817" s="2" t="n">
        <v>2.1</v>
      </c>
      <c r="J817" s="2" t="n">
        <v>3.2</v>
      </c>
      <c r="K817" s="2" t="n">
        <v>2.1</v>
      </c>
      <c r="L817" s="2" t="inlineStr">
        <is>
          <t>Active</t>
        </is>
      </c>
    </row>
    <row r="818">
      <c r="A818" s="2" t="inlineStr">
        <is>
          <t>EMP00827</t>
        </is>
      </c>
      <c r="B818" s="2" t="inlineStr">
        <is>
          <t>Operations</t>
        </is>
      </c>
      <c r="C818" s="2" t="inlineStr">
        <is>
          <t>Ops Manager</t>
        </is>
      </c>
      <c r="D818" s="2" t="n">
        <v>38</v>
      </c>
      <c r="E818" s="2" t="n">
        <v>4</v>
      </c>
      <c r="F818" s="2" t="n">
        <v>728000</v>
      </c>
      <c r="G818" s="2" t="inlineStr">
        <is>
          <t>No</t>
        </is>
      </c>
      <c r="H818" s="2" t="n">
        <v>47</v>
      </c>
      <c r="I818" s="2" t="n">
        <v>4</v>
      </c>
      <c r="J818" s="2" t="n">
        <v>4.1</v>
      </c>
      <c r="K818" s="2" t="n">
        <v>3.6</v>
      </c>
      <c r="L818" s="2" t="inlineStr">
        <is>
          <t>Active</t>
        </is>
      </c>
    </row>
    <row r="819">
      <c r="A819" s="2" t="inlineStr">
        <is>
          <t>EMP00235</t>
        </is>
      </c>
      <c r="B819" s="2" t="inlineStr">
        <is>
          <t>Customer Support</t>
        </is>
      </c>
      <c r="C819" s="2" t="inlineStr">
        <is>
          <t>Support Associate</t>
        </is>
      </c>
      <c r="D819" s="2" t="n">
        <v>27</v>
      </c>
      <c r="E819" s="2" t="n">
        <v>1.4</v>
      </c>
      <c r="F819" s="2" t="n">
        <v>548000</v>
      </c>
      <c r="G819" s="2" t="inlineStr">
        <is>
          <t>Yes</t>
        </is>
      </c>
      <c r="H819" s="2" t="n">
        <v>54</v>
      </c>
      <c r="I819" s="2" t="n">
        <v>2.6</v>
      </c>
      <c r="J819" s="2" t="n">
        <v>4.3</v>
      </c>
      <c r="K819" s="2" t="n">
        <v>4.8</v>
      </c>
      <c r="L819" s="2" t="inlineStr">
        <is>
          <t>Active</t>
        </is>
      </c>
    </row>
    <row r="820">
      <c r="A820" s="2" t="inlineStr">
        <is>
          <t>EMP00136</t>
        </is>
      </c>
      <c r="B820" s="2" t="inlineStr">
        <is>
          <t>Sales</t>
        </is>
      </c>
      <c r="C820" s="2" t="inlineStr">
        <is>
          <t>Sales Manager</t>
        </is>
      </c>
      <c r="D820" s="2" t="n">
        <v>40</v>
      </c>
      <c r="E820" s="2" t="n">
        <v>5.1</v>
      </c>
      <c r="F820" s="2" t="n">
        <v>780000</v>
      </c>
      <c r="G820" s="2" t="inlineStr">
        <is>
          <t>Yes</t>
        </is>
      </c>
      <c r="H820" s="2" t="n">
        <v>58</v>
      </c>
      <c r="I820" s="2" t="n">
        <v>4.7</v>
      </c>
      <c r="J820" s="2" t="n">
        <v>2.2</v>
      </c>
      <c r="K820" s="2" t="n">
        <v>4.2</v>
      </c>
      <c r="L820" s="2" t="inlineStr">
        <is>
          <t>Active</t>
        </is>
      </c>
    </row>
    <row r="821">
      <c r="A821" s="2" t="inlineStr">
        <is>
          <t>EMP00617</t>
        </is>
      </c>
      <c r="B821" s="2" t="inlineStr">
        <is>
          <t>HR</t>
        </is>
      </c>
      <c r="C821" s="2" t="inlineStr">
        <is>
          <t>Recruiter</t>
        </is>
      </c>
      <c r="D821" s="2" t="n">
        <v>41</v>
      </c>
      <c r="E821" s="2" t="n">
        <v>2</v>
      </c>
      <c r="F821" s="2" t="n">
        <v>569000</v>
      </c>
      <c r="G821" s="2" t="inlineStr">
        <is>
          <t>No</t>
        </is>
      </c>
      <c r="H821" s="2" t="n">
        <v>8</v>
      </c>
      <c r="I821" s="2" t="n">
        <v>3.7</v>
      </c>
      <c r="J821" s="2" t="n">
        <v>4</v>
      </c>
      <c r="K821" s="2" t="n">
        <v>4.4</v>
      </c>
      <c r="L821" s="2" t="inlineStr">
        <is>
          <t>Active</t>
        </is>
      </c>
    </row>
    <row r="822">
      <c r="A822" s="2" t="inlineStr">
        <is>
          <t>EMP00517</t>
        </is>
      </c>
      <c r="B822" s="2" t="inlineStr">
        <is>
          <t>Engineering</t>
        </is>
      </c>
      <c r="C822" s="2" t="inlineStr">
        <is>
          <t>Senior Engineer</t>
        </is>
      </c>
      <c r="D822" s="2" t="n">
        <v>34</v>
      </c>
      <c r="E822" s="2" t="n">
        <v>3.3</v>
      </c>
      <c r="F822" s="2" t="n">
        <v>1019000</v>
      </c>
      <c r="G822" s="2" t="inlineStr">
        <is>
          <t>Yes</t>
        </is>
      </c>
      <c r="H822" s="2" t="n">
        <v>54</v>
      </c>
      <c r="I822" s="2" t="n">
        <v>3.3</v>
      </c>
      <c r="J822" s="2" t="n">
        <v>2.2</v>
      </c>
      <c r="K822" s="2" t="n">
        <v>1.8</v>
      </c>
      <c r="L822" s="2" t="inlineStr">
        <is>
          <t>Active</t>
        </is>
      </c>
    </row>
    <row r="823">
      <c r="A823" s="2" t="inlineStr">
        <is>
          <t>EMP01071</t>
        </is>
      </c>
      <c r="B823" s="2" t="inlineStr">
        <is>
          <t>Customer Support</t>
        </is>
      </c>
      <c r="C823" s="2" t="inlineStr">
        <is>
          <t>Support Associate</t>
        </is>
      </c>
      <c r="D823" s="2" t="n">
        <v>47</v>
      </c>
      <c r="E823" s="2" t="n">
        <v>4.8</v>
      </c>
      <c r="F823" s="2" t="n">
        <v>678000</v>
      </c>
      <c r="G823" s="2" t="inlineStr">
        <is>
          <t>No</t>
        </is>
      </c>
      <c r="H823" s="2" t="n">
        <v>47</v>
      </c>
      <c r="I823" s="2" t="n">
        <v>3.2</v>
      </c>
      <c r="J823" s="2" t="n">
        <v>3.8</v>
      </c>
      <c r="K823" s="2" t="n">
        <v>3.1</v>
      </c>
      <c r="L823" s="2" t="inlineStr">
        <is>
          <t>Active</t>
        </is>
      </c>
    </row>
    <row r="824">
      <c r="A824" s="2" t="inlineStr">
        <is>
          <t>EMP00837</t>
        </is>
      </c>
      <c r="B824" s="2" t="inlineStr">
        <is>
          <t>HR</t>
        </is>
      </c>
      <c r="C824" s="2" t="inlineStr">
        <is>
          <t>Recruiter</t>
        </is>
      </c>
      <c r="D824" s="2" t="n">
        <v>30</v>
      </c>
      <c r="E824" s="2" t="n">
        <v>1.9</v>
      </c>
      <c r="F824" s="2" t="n">
        <v>696000</v>
      </c>
      <c r="G824" s="2" t="inlineStr">
        <is>
          <t>No</t>
        </is>
      </c>
      <c r="H824" s="2" t="n">
        <v>40</v>
      </c>
      <c r="I824" s="2" t="n">
        <v>3.7</v>
      </c>
      <c r="J824" s="2" t="n">
        <v>2</v>
      </c>
      <c r="K824" s="2" t="n">
        <v>4.1</v>
      </c>
      <c r="L824" s="2" t="inlineStr">
        <is>
          <t>Active</t>
        </is>
      </c>
    </row>
    <row r="825">
      <c r="A825" s="2" t="inlineStr">
        <is>
          <t>EMP00843</t>
        </is>
      </c>
      <c r="B825" s="2" t="inlineStr">
        <is>
          <t>Operations</t>
        </is>
      </c>
      <c r="C825" s="2" t="inlineStr">
        <is>
          <t>Process Lead</t>
        </is>
      </c>
      <c r="D825" s="2" t="n">
        <v>26</v>
      </c>
      <c r="E825" s="2" t="n">
        <v>3.2</v>
      </c>
      <c r="F825" s="2" t="n">
        <v>772000</v>
      </c>
      <c r="G825" s="2" t="inlineStr">
        <is>
          <t>Yes</t>
        </is>
      </c>
      <c r="H825" s="2" t="n">
        <v>6</v>
      </c>
      <c r="I825" s="2" t="n">
        <v>3.6</v>
      </c>
      <c r="J825" s="2" t="n">
        <v>2.8</v>
      </c>
      <c r="K825" s="2" t="n">
        <v>3.7</v>
      </c>
      <c r="L825" s="2" t="inlineStr">
        <is>
          <t>Active</t>
        </is>
      </c>
    </row>
    <row r="826">
      <c r="A826" s="2" t="inlineStr">
        <is>
          <t>EMP00803</t>
        </is>
      </c>
      <c r="B826" s="2" t="inlineStr">
        <is>
          <t>Customer Support</t>
        </is>
      </c>
      <c r="C826" s="2" t="inlineStr">
        <is>
          <t>Support Manager</t>
        </is>
      </c>
      <c r="D826" s="2" t="n">
        <v>49</v>
      </c>
      <c r="E826" s="2" t="n">
        <v>1.3</v>
      </c>
      <c r="F826" s="2" t="n">
        <v>588000</v>
      </c>
      <c r="G826" s="2" t="inlineStr">
        <is>
          <t>Yes</t>
        </is>
      </c>
      <c r="H826" s="2" t="n">
        <v>18</v>
      </c>
      <c r="I826" s="2" t="n">
        <v>3.3</v>
      </c>
      <c r="J826" s="2" t="n">
        <v>3.1</v>
      </c>
      <c r="K826" s="2" t="n">
        <v>3.7</v>
      </c>
      <c r="L826" s="2" t="inlineStr">
        <is>
          <t>Resigned</t>
        </is>
      </c>
    </row>
    <row r="827">
      <c r="A827" s="2" t="inlineStr">
        <is>
          <t>EMP00810</t>
        </is>
      </c>
      <c r="B827" s="2" t="inlineStr">
        <is>
          <t>Customer Support</t>
        </is>
      </c>
      <c r="C827" s="2" t="inlineStr">
        <is>
          <t>Support Associate</t>
        </is>
      </c>
      <c r="D827" s="2" t="n">
        <v>22</v>
      </c>
      <c r="E827" s="2" t="n">
        <v>1.5</v>
      </c>
      <c r="F827" s="2" t="n">
        <v>539000</v>
      </c>
      <c r="G827" s="2" t="inlineStr">
        <is>
          <t>Yes</t>
        </is>
      </c>
      <c r="H827" s="2" t="n">
        <v>13</v>
      </c>
      <c r="I827" s="2" t="n">
        <v>3.3</v>
      </c>
      <c r="J827" s="2" t="n">
        <v>3.8</v>
      </c>
      <c r="K827" s="2" t="n">
        <v>2.6</v>
      </c>
      <c r="L827" s="2" t="inlineStr">
        <is>
          <t>Resigned</t>
        </is>
      </c>
    </row>
    <row r="828">
      <c r="A828" s="2" t="inlineStr">
        <is>
          <t>EMP00593</t>
        </is>
      </c>
      <c r="B828" s="2" t="inlineStr">
        <is>
          <t>Engineering</t>
        </is>
      </c>
      <c r="C828" s="2" t="inlineStr">
        <is>
          <t>Software Engineer</t>
        </is>
      </c>
      <c r="D828" s="2" t="n">
        <v>40</v>
      </c>
      <c r="E828" s="2" t="n">
        <v>3.4</v>
      </c>
      <c r="F828" s="2" t="n">
        <v>1262000</v>
      </c>
      <c r="G828" s="2" t="inlineStr">
        <is>
          <t>No</t>
        </is>
      </c>
      <c r="H828" s="2" t="n">
        <v>44</v>
      </c>
      <c r="I828" s="2" t="n">
        <v>2.6</v>
      </c>
      <c r="J828" s="2" t="n">
        <v>2.8</v>
      </c>
      <c r="K828" s="2" t="n">
        <v>4</v>
      </c>
      <c r="L828" s="2" t="inlineStr">
        <is>
          <t>Active</t>
        </is>
      </c>
    </row>
    <row r="829">
      <c r="A829" s="2" t="inlineStr">
        <is>
          <t>EMP01078</t>
        </is>
      </c>
      <c r="B829" s="2" t="inlineStr">
        <is>
          <t>Operations</t>
        </is>
      </c>
      <c r="C829" s="2" t="inlineStr">
        <is>
          <t>Ops Manager</t>
        </is>
      </c>
      <c r="D829" s="2" t="n">
        <v>23</v>
      </c>
      <c r="E829" s="2" t="n">
        <v>4.2</v>
      </c>
      <c r="F829" s="2" t="n">
        <v>856000</v>
      </c>
      <c r="G829" s="2" t="inlineStr">
        <is>
          <t>No</t>
        </is>
      </c>
      <c r="H829" s="2" t="n">
        <v>7</v>
      </c>
      <c r="I829" s="2" t="n">
        <v>4.2</v>
      </c>
      <c r="J829" s="2" t="n">
        <v>4.5</v>
      </c>
      <c r="K829" s="2" t="n">
        <v>2.9</v>
      </c>
      <c r="L829" s="2" t="inlineStr">
        <is>
          <t>Active</t>
        </is>
      </c>
    </row>
    <row r="830">
      <c r="A830" s="2" t="inlineStr">
        <is>
          <t>EMP00502</t>
        </is>
      </c>
      <c r="B830" s="2" t="inlineStr">
        <is>
          <t>Customer Support</t>
        </is>
      </c>
      <c r="C830" s="2" t="inlineStr">
        <is>
          <t>Support Manager</t>
        </is>
      </c>
      <c r="D830" s="2" t="n">
        <v>34</v>
      </c>
      <c r="E830" s="2" t="n">
        <v>14.2</v>
      </c>
      <c r="F830" s="2" t="n">
        <v>815000</v>
      </c>
      <c r="G830" s="2" t="inlineStr">
        <is>
          <t>No</t>
        </is>
      </c>
      <c r="H830" s="2" t="n">
        <v>24</v>
      </c>
      <c r="I830" s="2" t="n">
        <v>3.7</v>
      </c>
      <c r="J830" s="2" t="n">
        <v>1.8</v>
      </c>
      <c r="K830" s="2" t="n">
        <v>3.7</v>
      </c>
      <c r="L830" s="2" t="inlineStr">
        <is>
          <t>Active</t>
        </is>
      </c>
    </row>
    <row r="831">
      <c r="A831" s="2" t="inlineStr">
        <is>
          <t>EMP00539</t>
        </is>
      </c>
      <c r="B831" s="2" t="inlineStr">
        <is>
          <t>Sales</t>
        </is>
      </c>
      <c r="C831" s="2" t="inlineStr">
        <is>
          <t>Sales Manager</t>
        </is>
      </c>
      <c r="D831" s="2" t="n">
        <v>37</v>
      </c>
      <c r="E831" s="2" t="n">
        <v>5.9</v>
      </c>
      <c r="F831" s="2" t="n">
        <v>818000</v>
      </c>
      <c r="G831" s="2" t="inlineStr">
        <is>
          <t>No</t>
        </is>
      </c>
      <c r="H831" s="2" t="n">
        <v>17</v>
      </c>
      <c r="I831" s="2" t="n">
        <v>4.4</v>
      </c>
      <c r="J831" s="2" t="n">
        <v>1.8</v>
      </c>
      <c r="K831" s="2" t="n">
        <v>1.7</v>
      </c>
      <c r="L831" s="2" t="inlineStr">
        <is>
          <t>Active</t>
        </is>
      </c>
    </row>
    <row r="832">
      <c r="A832" s="2" t="inlineStr">
        <is>
          <t>EMP00946</t>
        </is>
      </c>
      <c r="B832" s="2" t="inlineStr">
        <is>
          <t>Engineering</t>
        </is>
      </c>
      <c r="C832" s="2" t="inlineStr">
        <is>
          <t>Engineering Manager</t>
        </is>
      </c>
      <c r="D832" s="2" t="n">
        <v>38</v>
      </c>
      <c r="E832" s="2" t="n">
        <v>1.1</v>
      </c>
      <c r="F832" s="2" t="n">
        <v>1088000</v>
      </c>
      <c r="G832" s="2" t="inlineStr">
        <is>
          <t>No</t>
        </is>
      </c>
      <c r="H832" s="2" t="n">
        <v>7</v>
      </c>
      <c r="I832" s="2" t="n">
        <v>4</v>
      </c>
      <c r="J832" s="2" t="n">
        <v>3.5</v>
      </c>
      <c r="K832" s="2" t="n">
        <v>2.9</v>
      </c>
      <c r="L832" s="2" t="inlineStr">
        <is>
          <t>Active</t>
        </is>
      </c>
    </row>
    <row r="833">
      <c r="A833" s="2" t="inlineStr">
        <is>
          <t>EMP00729</t>
        </is>
      </c>
      <c r="B833" s="2" t="inlineStr">
        <is>
          <t>Operations</t>
        </is>
      </c>
      <c r="C833" s="2" t="inlineStr">
        <is>
          <t>Ops Manager</t>
        </is>
      </c>
      <c r="D833" s="2" t="n">
        <v>33</v>
      </c>
      <c r="E833" s="2" t="n">
        <v>0.7</v>
      </c>
      <c r="F833" s="2" t="n">
        <v>689000</v>
      </c>
      <c r="G833" s="2" t="inlineStr">
        <is>
          <t>Yes</t>
        </is>
      </c>
      <c r="H833" s="2" t="n">
        <v>54</v>
      </c>
      <c r="I833" s="2" t="n">
        <v>5</v>
      </c>
      <c r="J833" s="2" t="n">
        <v>2</v>
      </c>
      <c r="K833" s="2" t="n">
        <v>4.1</v>
      </c>
      <c r="L833" s="2" t="inlineStr">
        <is>
          <t>Active</t>
        </is>
      </c>
    </row>
    <row r="834">
      <c r="A834" s="2" t="inlineStr">
        <is>
          <t>EMP00582</t>
        </is>
      </c>
      <c r="B834" s="2" t="inlineStr">
        <is>
          <t>Operations</t>
        </is>
      </c>
      <c r="C834" s="2" t="inlineStr">
        <is>
          <t>Ops Analyst</t>
        </is>
      </c>
      <c r="D834" s="2" t="n">
        <v>39</v>
      </c>
      <c r="E834" s="2" t="n">
        <v>7.7</v>
      </c>
      <c r="F834" s="2" t="n">
        <v>776000</v>
      </c>
      <c r="G834" s="2" t="inlineStr">
        <is>
          <t>Yes</t>
        </is>
      </c>
      <c r="H834" s="2" t="n">
        <v>2</v>
      </c>
      <c r="I834" s="2" t="n">
        <v>5</v>
      </c>
      <c r="J834" s="2" t="n">
        <v>1.1</v>
      </c>
      <c r="K834" s="2" t="n">
        <v>4.2</v>
      </c>
      <c r="L834" s="2" t="inlineStr">
        <is>
          <t>Active</t>
        </is>
      </c>
    </row>
    <row r="835">
      <c r="A835" s="2" t="inlineStr">
        <is>
          <t>EMP00344</t>
        </is>
      </c>
      <c r="B835" s="2" t="inlineStr">
        <is>
          <t>Operations</t>
        </is>
      </c>
      <c r="C835" s="2" t="inlineStr">
        <is>
          <t>Process Lead</t>
        </is>
      </c>
      <c r="D835" s="2" t="n">
        <v>43</v>
      </c>
      <c r="E835" s="2" t="n">
        <v>2.7</v>
      </c>
      <c r="F835" s="2" t="n">
        <v>645000</v>
      </c>
      <c r="G835" s="2" t="inlineStr">
        <is>
          <t>No</t>
        </is>
      </c>
      <c r="H835" s="2" t="n">
        <v>37</v>
      </c>
      <c r="I835" s="2" t="n">
        <v>3.3</v>
      </c>
      <c r="J835" s="2" t="n">
        <v>3.6</v>
      </c>
      <c r="K835" s="2" t="n">
        <v>2.2</v>
      </c>
      <c r="L835" s="2" t="inlineStr">
        <is>
          <t>Active</t>
        </is>
      </c>
    </row>
    <row r="836">
      <c r="A836" s="2" t="inlineStr">
        <is>
          <t>EMP00976</t>
        </is>
      </c>
      <c r="B836" s="2" t="inlineStr">
        <is>
          <t>Finance</t>
        </is>
      </c>
      <c r="C836" s="2" t="inlineStr">
        <is>
          <t>Accountant</t>
        </is>
      </c>
      <c r="D836" s="2" t="n">
        <v>30</v>
      </c>
      <c r="E836" s="2" t="n">
        <v>4.7</v>
      </c>
      <c r="F836" s="2" t="n">
        <v>1074000</v>
      </c>
      <c r="G836" s="2" t="inlineStr">
        <is>
          <t>No</t>
        </is>
      </c>
      <c r="H836" s="2" t="n">
        <v>46</v>
      </c>
      <c r="I836" s="2" t="n">
        <v>3.9</v>
      </c>
      <c r="J836" s="2" t="n">
        <v>3.2</v>
      </c>
      <c r="K836" s="2" t="n">
        <v>2.3</v>
      </c>
      <c r="L836" s="2" t="inlineStr">
        <is>
          <t>Active</t>
        </is>
      </c>
    </row>
    <row r="837">
      <c r="A837" s="2" t="inlineStr">
        <is>
          <t>EMP00890</t>
        </is>
      </c>
      <c r="B837" s="2" t="inlineStr">
        <is>
          <t>Finance</t>
        </is>
      </c>
      <c r="C837" s="2" t="inlineStr">
        <is>
          <t>Financial Analyst</t>
        </is>
      </c>
      <c r="D837" s="2" t="n">
        <v>32</v>
      </c>
      <c r="E837" s="2" t="n">
        <v>5.7</v>
      </c>
      <c r="F837" s="2" t="n">
        <v>1101000</v>
      </c>
      <c r="G837" s="2" t="inlineStr">
        <is>
          <t>No</t>
        </is>
      </c>
      <c r="H837" s="2" t="n">
        <v>32</v>
      </c>
      <c r="I837" s="2" t="n">
        <v>2.1</v>
      </c>
      <c r="J837" s="2" t="n">
        <v>3.7</v>
      </c>
      <c r="K837" s="2" t="n">
        <v>2.4</v>
      </c>
      <c r="L837" s="2" t="inlineStr">
        <is>
          <t>Active</t>
        </is>
      </c>
    </row>
    <row r="838">
      <c r="A838" s="2" t="inlineStr">
        <is>
          <t>EMP00294</t>
        </is>
      </c>
      <c r="B838" s="2" t="inlineStr">
        <is>
          <t>Sales</t>
        </is>
      </c>
      <c r="C838" s="2" t="inlineStr">
        <is>
          <t>Account Manager</t>
        </is>
      </c>
      <c r="D838" s="2" t="n">
        <v>31</v>
      </c>
      <c r="E838" s="2" t="n">
        <v>8.300000000000001</v>
      </c>
      <c r="F838" s="2" t="n">
        <v>992000</v>
      </c>
      <c r="G838" s="2" t="inlineStr">
        <is>
          <t>No</t>
        </is>
      </c>
      <c r="H838" s="2" t="n">
        <v>35</v>
      </c>
      <c r="I838" s="2" t="n">
        <v>3.8</v>
      </c>
      <c r="J838" s="2" t="n">
        <v>3.3</v>
      </c>
      <c r="K838" s="2" t="n">
        <v>3.3</v>
      </c>
      <c r="L838" s="2" t="inlineStr">
        <is>
          <t>Active</t>
        </is>
      </c>
    </row>
    <row r="839">
      <c r="A839" s="2" t="inlineStr">
        <is>
          <t>EMP00365</t>
        </is>
      </c>
      <c r="B839" s="2" t="inlineStr">
        <is>
          <t>Finance</t>
        </is>
      </c>
      <c r="C839" s="2" t="inlineStr">
        <is>
          <t>Financial Analyst</t>
        </is>
      </c>
      <c r="D839" s="2" t="n">
        <v>36</v>
      </c>
      <c r="E839" s="2" t="n">
        <v>6</v>
      </c>
      <c r="F839" s="2" t="n">
        <v>918000</v>
      </c>
      <c r="G839" s="2" t="inlineStr">
        <is>
          <t>No</t>
        </is>
      </c>
      <c r="H839" s="2" t="n">
        <v>7</v>
      </c>
      <c r="I839" s="2" t="n">
        <v>3.5</v>
      </c>
      <c r="J839" s="2" t="n">
        <v>3.5</v>
      </c>
      <c r="K839" s="2" t="n">
        <v>2.9</v>
      </c>
      <c r="L839" s="2" t="inlineStr">
        <is>
          <t>Active</t>
        </is>
      </c>
    </row>
    <row r="840">
      <c r="A840" s="2" t="inlineStr">
        <is>
          <t>EMP00898</t>
        </is>
      </c>
      <c r="B840" s="2" t="inlineStr">
        <is>
          <t>Sales</t>
        </is>
      </c>
      <c r="C840" s="2" t="inlineStr">
        <is>
          <t>Sales Manager</t>
        </is>
      </c>
      <c r="D840" s="2" t="n">
        <v>42</v>
      </c>
      <c r="E840" s="2" t="n">
        <v>5</v>
      </c>
      <c r="F840" s="2" t="n">
        <v>771000</v>
      </c>
      <c r="G840" s="2" t="inlineStr">
        <is>
          <t>Yes</t>
        </is>
      </c>
      <c r="H840" s="2" t="n">
        <v>54</v>
      </c>
      <c r="I840" s="2" t="n">
        <v>3</v>
      </c>
      <c r="J840" s="2" t="n">
        <v>2.3</v>
      </c>
      <c r="K840" s="2" t="n">
        <v>2.8</v>
      </c>
      <c r="L840" s="2" t="inlineStr">
        <is>
          <t>Active</t>
        </is>
      </c>
    </row>
    <row r="841">
      <c r="A841" s="2" t="inlineStr">
        <is>
          <t>EMP00660</t>
        </is>
      </c>
      <c r="B841" s="2" t="inlineStr">
        <is>
          <t>Engineering</t>
        </is>
      </c>
      <c r="C841" s="2" t="inlineStr">
        <is>
          <t>Software Engineer</t>
        </is>
      </c>
      <c r="D841" s="2" t="n">
        <v>36</v>
      </c>
      <c r="E841" s="2" t="n">
        <v>1.5</v>
      </c>
      <c r="F841" s="2" t="n">
        <v>1097000</v>
      </c>
      <c r="G841" s="2" t="inlineStr">
        <is>
          <t>No</t>
        </is>
      </c>
      <c r="H841" s="2" t="n">
        <v>23</v>
      </c>
      <c r="I841" s="2" t="n">
        <v>3.1</v>
      </c>
      <c r="J841" s="2" t="n">
        <v>2.9</v>
      </c>
      <c r="K841" s="2" t="n">
        <v>2.4</v>
      </c>
      <c r="L841" s="2" t="inlineStr">
        <is>
          <t>Active</t>
        </is>
      </c>
    </row>
    <row r="842">
      <c r="A842" s="2" t="inlineStr">
        <is>
          <t>EMP00015</t>
        </is>
      </c>
      <c r="B842" s="2" t="inlineStr">
        <is>
          <t>Operations</t>
        </is>
      </c>
      <c r="C842" s="2" t="inlineStr">
        <is>
          <t>Ops Manager</t>
        </is>
      </c>
      <c r="D842" s="2" t="n">
        <v>27</v>
      </c>
      <c r="E842" s="2" t="n">
        <v>1.2</v>
      </c>
      <c r="F842" s="2" t="n">
        <v>601000</v>
      </c>
      <c r="G842" s="2" t="inlineStr">
        <is>
          <t>No</t>
        </is>
      </c>
      <c r="H842" s="2" t="n">
        <v>33</v>
      </c>
      <c r="I842" s="2" t="n">
        <v>3.4</v>
      </c>
      <c r="J842" s="2" t="n">
        <v>3</v>
      </c>
      <c r="K842" s="2" t="n">
        <v>4</v>
      </c>
      <c r="L842" s="2" t="inlineStr">
        <is>
          <t>Active</t>
        </is>
      </c>
    </row>
    <row r="843">
      <c r="A843" s="2" t="inlineStr">
        <is>
          <t>EMP00687</t>
        </is>
      </c>
      <c r="B843" s="2" t="inlineStr">
        <is>
          <t>Operations</t>
        </is>
      </c>
      <c r="C843" s="2" t="inlineStr">
        <is>
          <t>Ops Analyst</t>
        </is>
      </c>
      <c r="D843" s="2" t="n">
        <v>32</v>
      </c>
      <c r="E843" s="2" t="n">
        <v>2.7</v>
      </c>
      <c r="F843" s="2" t="n">
        <v>757000</v>
      </c>
      <c r="G843" s="2" t="inlineStr">
        <is>
          <t>Yes</t>
        </is>
      </c>
      <c r="H843" s="2" t="n">
        <v>37</v>
      </c>
      <c r="I843" s="2" t="n">
        <v>4.7</v>
      </c>
      <c r="J843" s="2" t="n">
        <v>3.7</v>
      </c>
      <c r="K843" s="2" t="n">
        <v>2.6</v>
      </c>
      <c r="L843" s="2" t="inlineStr">
        <is>
          <t>Active</t>
        </is>
      </c>
    </row>
    <row r="844">
      <c r="A844" s="2" t="inlineStr">
        <is>
          <t>EMP00087</t>
        </is>
      </c>
      <c r="B844" s="2" t="inlineStr">
        <is>
          <t>Finance</t>
        </is>
      </c>
      <c r="C844" s="2" t="inlineStr">
        <is>
          <t>Financial Analyst</t>
        </is>
      </c>
      <c r="D844" s="2" t="n">
        <v>37</v>
      </c>
      <c r="E844" s="2" t="n">
        <v>1</v>
      </c>
      <c r="F844" s="2" t="n">
        <v>894000</v>
      </c>
      <c r="G844" s="2" t="inlineStr">
        <is>
          <t>No</t>
        </is>
      </c>
      <c r="H844" s="2" t="n">
        <v>3</v>
      </c>
      <c r="I844" s="2" t="n">
        <v>2.4</v>
      </c>
      <c r="J844" s="2" t="n">
        <v>3.3</v>
      </c>
      <c r="K844" s="2" t="n">
        <v>3.2</v>
      </c>
      <c r="L844" s="2" t="inlineStr">
        <is>
          <t>Active</t>
        </is>
      </c>
    </row>
    <row r="845">
      <c r="A845" s="2" t="inlineStr">
        <is>
          <t>EMP00371</t>
        </is>
      </c>
      <c r="B845" s="2" t="inlineStr">
        <is>
          <t>HR</t>
        </is>
      </c>
      <c r="C845" s="2" t="inlineStr">
        <is>
          <t>Recruiter</t>
        </is>
      </c>
      <c r="D845" s="2" t="n">
        <v>29</v>
      </c>
      <c r="E845" s="2" t="n">
        <v>3.3</v>
      </c>
      <c r="F845" s="2" t="n">
        <v>622000</v>
      </c>
      <c r="G845" s="2" t="inlineStr">
        <is>
          <t>No</t>
        </is>
      </c>
      <c r="H845" s="2" t="n">
        <v>1</v>
      </c>
      <c r="I845" s="2" t="n">
        <v>3.1</v>
      </c>
      <c r="J845" s="2" t="n">
        <v>1.4</v>
      </c>
      <c r="K845" s="2" t="n">
        <v>3.3</v>
      </c>
      <c r="L845" s="2" t="inlineStr">
        <is>
          <t>Active</t>
        </is>
      </c>
    </row>
    <row r="846">
      <c r="A846" s="2" t="inlineStr">
        <is>
          <t>EMP00166</t>
        </is>
      </c>
      <c r="B846" s="2" t="inlineStr">
        <is>
          <t>Engineering</t>
        </is>
      </c>
      <c r="C846" s="2" t="inlineStr">
        <is>
          <t>Senior Engineer</t>
        </is>
      </c>
      <c r="D846" s="2" t="n">
        <v>28</v>
      </c>
      <c r="E846" s="2" t="n">
        <v>3.2</v>
      </c>
      <c r="F846" s="2" t="n">
        <v>1270000</v>
      </c>
      <c r="G846" s="2" t="inlineStr">
        <is>
          <t>No</t>
        </is>
      </c>
      <c r="H846" s="2" t="n">
        <v>6</v>
      </c>
      <c r="I846" s="2" t="n">
        <v>3.7</v>
      </c>
      <c r="J846" s="2" t="n">
        <v>3.3</v>
      </c>
      <c r="K846" s="2" t="n">
        <v>3</v>
      </c>
      <c r="L846" s="2" t="inlineStr">
        <is>
          <t>Active</t>
        </is>
      </c>
    </row>
    <row r="847">
      <c r="A847" s="2" t="inlineStr">
        <is>
          <t>EMP00132</t>
        </is>
      </c>
      <c r="B847" s="2" t="inlineStr">
        <is>
          <t>Customer Support</t>
        </is>
      </c>
      <c r="C847" s="2" t="inlineStr">
        <is>
          <t>Support Manager</t>
        </is>
      </c>
      <c r="D847" s="2" t="n">
        <v>34</v>
      </c>
      <c r="E847" s="2" t="n">
        <v>0.1</v>
      </c>
      <c r="F847" s="2" t="n">
        <v>526000</v>
      </c>
      <c r="G847" s="2" t="inlineStr">
        <is>
          <t>No</t>
        </is>
      </c>
      <c r="H847" s="2" t="n">
        <v>54</v>
      </c>
      <c r="I847" s="2" t="n">
        <v>4.3</v>
      </c>
      <c r="J847" s="2" t="n">
        <v>2.3</v>
      </c>
      <c r="K847" s="2" t="n">
        <v>3.5</v>
      </c>
      <c r="L847" s="2" t="inlineStr">
        <is>
          <t>Active</t>
        </is>
      </c>
    </row>
    <row r="848">
      <c r="A848" s="2" t="inlineStr">
        <is>
          <t>EMP00336</t>
        </is>
      </c>
      <c r="B848" s="2" t="inlineStr">
        <is>
          <t>Finance</t>
        </is>
      </c>
      <c r="C848" s="2" t="inlineStr">
        <is>
          <t>Financial Analyst</t>
        </is>
      </c>
      <c r="D848" s="2" t="n">
        <v>41</v>
      </c>
      <c r="E848" s="2" t="n">
        <v>2.2</v>
      </c>
      <c r="F848" s="2" t="n">
        <v>948000</v>
      </c>
      <c r="G848" s="2" t="inlineStr">
        <is>
          <t>No</t>
        </is>
      </c>
      <c r="H848" s="2" t="n">
        <v>15</v>
      </c>
      <c r="I848" s="2" t="n">
        <v>2.9</v>
      </c>
      <c r="J848" s="2" t="n">
        <v>1.8</v>
      </c>
      <c r="K848" s="2" t="n">
        <v>3.9</v>
      </c>
      <c r="L848" s="2" t="inlineStr">
        <is>
          <t>Active</t>
        </is>
      </c>
    </row>
    <row r="849">
      <c r="A849" s="2" t="inlineStr">
        <is>
          <t>EMP00060</t>
        </is>
      </c>
      <c r="B849" s="2" t="inlineStr">
        <is>
          <t>Sales</t>
        </is>
      </c>
      <c r="C849" s="2" t="inlineStr">
        <is>
          <t>Sales Executive</t>
        </is>
      </c>
      <c r="D849" s="2" t="n">
        <v>34</v>
      </c>
      <c r="E849" s="2" t="n">
        <v>0.6</v>
      </c>
      <c r="F849" s="2" t="n">
        <v>750000</v>
      </c>
      <c r="G849" s="2" t="inlineStr">
        <is>
          <t>No</t>
        </is>
      </c>
      <c r="H849" s="2" t="n">
        <v>38</v>
      </c>
      <c r="I849" s="2" t="n">
        <v>2.9</v>
      </c>
      <c r="J849" s="2" t="n">
        <v>1.4</v>
      </c>
      <c r="K849" s="2" t="n">
        <v>3.4</v>
      </c>
      <c r="L849" s="2" t="inlineStr">
        <is>
          <t>Resigned</t>
        </is>
      </c>
    </row>
    <row r="850">
      <c r="A850" s="2" t="inlineStr">
        <is>
          <t>EMP00710</t>
        </is>
      </c>
      <c r="B850" s="2" t="inlineStr">
        <is>
          <t>Operations</t>
        </is>
      </c>
      <c r="C850" s="2" t="inlineStr">
        <is>
          <t>Ops Analyst</t>
        </is>
      </c>
      <c r="D850" s="2" t="n">
        <v>38</v>
      </c>
      <c r="E850" s="2" t="n">
        <v>1</v>
      </c>
      <c r="F850" s="2" t="n">
        <v>624000</v>
      </c>
      <c r="G850" s="2" t="inlineStr">
        <is>
          <t>Yes</t>
        </is>
      </c>
      <c r="H850" s="2" t="n">
        <v>40</v>
      </c>
      <c r="I850" s="2" t="n">
        <v>3</v>
      </c>
      <c r="J850" s="2" t="n">
        <v>2.7</v>
      </c>
      <c r="K850" s="2" t="n">
        <v>1.8</v>
      </c>
      <c r="L850" s="2" t="inlineStr">
        <is>
          <t>Active</t>
        </is>
      </c>
    </row>
    <row r="851">
      <c r="A851" s="2" t="inlineStr">
        <is>
          <t>EMP01180</t>
        </is>
      </c>
      <c r="B851" s="2" t="inlineStr">
        <is>
          <t>Sales</t>
        </is>
      </c>
      <c r="C851" s="2" t="inlineStr">
        <is>
          <t>Sales Executive</t>
        </is>
      </c>
      <c r="D851" s="2" t="n">
        <v>31</v>
      </c>
      <c r="E851" s="2" t="n">
        <v>2.7</v>
      </c>
      <c r="F851" s="2" t="n">
        <v>750000</v>
      </c>
      <c r="G851" s="2" t="inlineStr">
        <is>
          <t>No</t>
        </is>
      </c>
      <c r="H851" s="2" t="n">
        <v>1</v>
      </c>
      <c r="I851" s="2" t="n">
        <v>2.5</v>
      </c>
      <c r="J851" s="2" t="n">
        <v>2</v>
      </c>
      <c r="K851" s="2" t="n">
        <v>3.4</v>
      </c>
      <c r="L851" s="2" t="inlineStr">
        <is>
          <t>Active</t>
        </is>
      </c>
    </row>
    <row r="852">
      <c r="A852" s="2" t="inlineStr">
        <is>
          <t>EMP00677</t>
        </is>
      </c>
      <c r="B852" s="2" t="inlineStr">
        <is>
          <t>Customer Support</t>
        </is>
      </c>
      <c r="C852" s="2" t="inlineStr">
        <is>
          <t>Support Associate</t>
        </is>
      </c>
      <c r="D852" s="2" t="n">
        <v>30</v>
      </c>
      <c r="E852" s="2" t="n">
        <v>4.1</v>
      </c>
      <c r="F852" s="2" t="n">
        <v>637000</v>
      </c>
      <c r="G852" s="2" t="inlineStr">
        <is>
          <t>No</t>
        </is>
      </c>
      <c r="H852" s="2" t="n">
        <v>30</v>
      </c>
      <c r="I852" s="2" t="n">
        <v>3.6</v>
      </c>
      <c r="J852" s="2" t="n">
        <v>3.6</v>
      </c>
      <c r="K852" s="2" t="n">
        <v>3.5</v>
      </c>
      <c r="L852" s="2" t="inlineStr">
        <is>
          <t>Active</t>
        </is>
      </c>
    </row>
    <row r="853">
      <c r="A853" s="2" t="inlineStr">
        <is>
          <t>EMP00355</t>
        </is>
      </c>
      <c r="B853" s="2" t="inlineStr">
        <is>
          <t>Operations</t>
        </is>
      </c>
      <c r="C853" s="2" t="inlineStr">
        <is>
          <t>Process Lead</t>
        </is>
      </c>
      <c r="D853" s="2" t="n">
        <v>38</v>
      </c>
      <c r="E853" s="2" t="n">
        <v>2.8</v>
      </c>
      <c r="F853" s="2" t="n">
        <v>737000</v>
      </c>
      <c r="G853" s="2" t="inlineStr">
        <is>
          <t>No</t>
        </is>
      </c>
      <c r="H853" s="2" t="n">
        <v>13</v>
      </c>
      <c r="I853" s="2" t="n">
        <v>3.7</v>
      </c>
      <c r="J853" s="2" t="n">
        <v>1.6</v>
      </c>
      <c r="K853" s="2" t="n">
        <v>3.2</v>
      </c>
      <c r="L853" s="2" t="inlineStr">
        <is>
          <t>Active</t>
        </is>
      </c>
    </row>
    <row r="854">
      <c r="A854" s="2" t="inlineStr">
        <is>
          <t>EMP01013</t>
        </is>
      </c>
      <c r="B854" s="2" t="inlineStr">
        <is>
          <t>Operations</t>
        </is>
      </c>
      <c r="C854" s="2" t="inlineStr">
        <is>
          <t>Ops Analyst</t>
        </is>
      </c>
      <c r="D854" s="2" t="n">
        <v>40</v>
      </c>
      <c r="E854" s="2" t="n">
        <v>3.8</v>
      </c>
      <c r="F854" s="2" t="n">
        <v>636000</v>
      </c>
      <c r="G854" s="2" t="inlineStr">
        <is>
          <t>Yes</t>
        </is>
      </c>
      <c r="H854" s="2" t="n">
        <v>40</v>
      </c>
      <c r="I854" s="2" t="n">
        <v>1.2</v>
      </c>
      <c r="J854" s="2" t="n">
        <v>3.6</v>
      </c>
      <c r="K854" s="2" t="n">
        <v>3.4</v>
      </c>
      <c r="L854" s="2" t="inlineStr">
        <is>
          <t>Resigned</t>
        </is>
      </c>
    </row>
    <row r="855">
      <c r="A855" s="2" t="inlineStr">
        <is>
          <t>EMP00425</t>
        </is>
      </c>
      <c r="B855" s="2" t="inlineStr">
        <is>
          <t>Finance</t>
        </is>
      </c>
      <c r="C855" s="2" t="inlineStr">
        <is>
          <t>Accountant</t>
        </is>
      </c>
      <c r="D855" s="2" t="n">
        <v>36</v>
      </c>
      <c r="E855" s="2" t="n">
        <v>1.7</v>
      </c>
      <c r="F855" s="2" t="n">
        <v>769000</v>
      </c>
      <c r="G855" s="2" t="inlineStr">
        <is>
          <t>Yes</t>
        </is>
      </c>
      <c r="H855" s="2" t="n">
        <v>56</v>
      </c>
      <c r="I855" s="2" t="n">
        <v>3.4</v>
      </c>
      <c r="J855" s="2" t="n">
        <v>3.3</v>
      </c>
      <c r="K855" s="2" t="n">
        <v>2.1</v>
      </c>
      <c r="L855" s="2" t="inlineStr">
        <is>
          <t>Active</t>
        </is>
      </c>
    </row>
    <row r="856">
      <c r="A856" s="2" t="inlineStr">
        <is>
          <t>EMP00293</t>
        </is>
      </c>
      <c r="B856" s="2" t="inlineStr">
        <is>
          <t>Customer Support</t>
        </is>
      </c>
      <c r="C856" s="2" t="inlineStr">
        <is>
          <t>Support Manager</t>
        </is>
      </c>
      <c r="D856" s="2" t="n">
        <v>43</v>
      </c>
      <c r="E856" s="2" t="n">
        <v>6.8</v>
      </c>
      <c r="F856" s="2" t="n">
        <v>729000</v>
      </c>
      <c r="G856" s="2" t="inlineStr">
        <is>
          <t>No</t>
        </is>
      </c>
      <c r="H856" s="2" t="n">
        <v>3</v>
      </c>
      <c r="I856" s="2" t="n">
        <v>3.1</v>
      </c>
      <c r="J856" s="2" t="n">
        <v>2.2</v>
      </c>
      <c r="K856" s="2" t="n">
        <v>3.7</v>
      </c>
      <c r="L856" s="2" t="inlineStr">
        <is>
          <t>Active</t>
        </is>
      </c>
    </row>
    <row r="857">
      <c r="A857" s="2" t="inlineStr">
        <is>
          <t>EMP00042</t>
        </is>
      </c>
      <c r="B857" s="2" t="inlineStr">
        <is>
          <t>HR</t>
        </is>
      </c>
      <c r="C857" s="2" t="inlineStr">
        <is>
          <t>HR Generalist</t>
        </is>
      </c>
      <c r="D857" s="2" t="n">
        <v>60</v>
      </c>
      <c r="E857" s="2" t="n">
        <v>0.7</v>
      </c>
      <c r="F857" s="2" t="n">
        <v>498000</v>
      </c>
      <c r="G857" s="2" t="inlineStr">
        <is>
          <t>Yes</t>
        </is>
      </c>
      <c r="H857" s="2" t="n">
        <v>18</v>
      </c>
      <c r="I857" s="2" t="n">
        <v>2.6</v>
      </c>
      <c r="J857" s="2" t="n">
        <v>2</v>
      </c>
      <c r="K857" s="2" t="n">
        <v>2.2</v>
      </c>
      <c r="L857" s="2" t="inlineStr">
        <is>
          <t>Resigned</t>
        </is>
      </c>
    </row>
    <row r="858">
      <c r="A858" s="2" t="inlineStr">
        <is>
          <t>EMP01081</t>
        </is>
      </c>
      <c r="B858" s="2" t="inlineStr">
        <is>
          <t>Engineering</t>
        </is>
      </c>
      <c r="C858" s="2" t="inlineStr">
        <is>
          <t>Engineering Manager</t>
        </is>
      </c>
      <c r="D858" s="2" t="n">
        <v>42</v>
      </c>
      <c r="E858" s="2" t="n">
        <v>3.5</v>
      </c>
      <c r="F858" s="2" t="n">
        <v>1065000</v>
      </c>
      <c r="G858" s="2" t="inlineStr">
        <is>
          <t>No</t>
        </is>
      </c>
      <c r="H858" s="2" t="n">
        <v>60</v>
      </c>
      <c r="I858" s="2" t="n">
        <v>2.8</v>
      </c>
      <c r="J858" s="2" t="n">
        <v>2.4</v>
      </c>
      <c r="K858" s="2" t="n">
        <v>4.2</v>
      </c>
      <c r="L858" s="2" t="inlineStr">
        <is>
          <t>Active</t>
        </is>
      </c>
    </row>
    <row r="859">
      <c r="A859" s="2" t="inlineStr">
        <is>
          <t>EMP00330</t>
        </is>
      </c>
      <c r="B859" s="2" t="inlineStr">
        <is>
          <t>Engineering</t>
        </is>
      </c>
      <c r="C859" s="2" t="inlineStr">
        <is>
          <t>Senior Engineer</t>
        </is>
      </c>
      <c r="D859" s="2" t="n">
        <v>32</v>
      </c>
      <c r="E859" s="2" t="n">
        <v>2.5</v>
      </c>
      <c r="F859" s="2" t="n">
        <v>994000</v>
      </c>
      <c r="G859" s="2" t="inlineStr">
        <is>
          <t>No</t>
        </is>
      </c>
      <c r="H859" s="2" t="n">
        <v>60</v>
      </c>
      <c r="I859" s="2" t="n">
        <v>3.6</v>
      </c>
      <c r="J859" s="2" t="n">
        <v>2.7</v>
      </c>
      <c r="K859" s="2" t="n">
        <v>3.2</v>
      </c>
      <c r="L859" s="2" t="inlineStr">
        <is>
          <t>Resigned</t>
        </is>
      </c>
    </row>
    <row r="860">
      <c r="A860" s="2" t="inlineStr">
        <is>
          <t>EMP00615</t>
        </is>
      </c>
      <c r="B860" s="2" t="inlineStr">
        <is>
          <t>Engineering</t>
        </is>
      </c>
      <c r="C860" s="2" t="inlineStr">
        <is>
          <t>Senior Engineer</t>
        </is>
      </c>
      <c r="D860" s="2" t="n">
        <v>28</v>
      </c>
      <c r="E860" s="2" t="n">
        <v>4.9</v>
      </c>
      <c r="F860" s="2" t="n">
        <v>1069000</v>
      </c>
      <c r="G860" s="2" t="inlineStr">
        <is>
          <t>No</t>
        </is>
      </c>
      <c r="H860" s="2" t="n">
        <v>10</v>
      </c>
      <c r="I860" s="2" t="n">
        <v>3.4</v>
      </c>
      <c r="J860" s="2" t="n">
        <v>3</v>
      </c>
      <c r="K860" s="2" t="n">
        <v>2.3</v>
      </c>
      <c r="L860" s="2" t="inlineStr">
        <is>
          <t>Active</t>
        </is>
      </c>
    </row>
    <row r="861">
      <c r="A861" s="2" t="inlineStr">
        <is>
          <t>EMP00430</t>
        </is>
      </c>
      <c r="B861" s="2" t="inlineStr">
        <is>
          <t>HR</t>
        </is>
      </c>
      <c r="C861" s="2" t="inlineStr">
        <is>
          <t>HR Generalist</t>
        </is>
      </c>
      <c r="D861" s="2" t="n">
        <v>35</v>
      </c>
      <c r="E861" s="2" t="n">
        <v>1.2</v>
      </c>
      <c r="F861" s="2" t="n">
        <v>649000</v>
      </c>
      <c r="G861" s="2" t="inlineStr">
        <is>
          <t>Yes</t>
        </is>
      </c>
      <c r="H861" s="2" t="n">
        <v>57</v>
      </c>
      <c r="I861" s="2" t="n">
        <v>4.1</v>
      </c>
      <c r="J861" s="2" t="n">
        <v>2.7</v>
      </c>
      <c r="K861" s="2" t="n">
        <v>2.2</v>
      </c>
      <c r="L861" s="2" t="inlineStr">
        <is>
          <t>Resigned</t>
        </is>
      </c>
    </row>
    <row r="862">
      <c r="A862" s="2" t="inlineStr">
        <is>
          <t>EMP00080</t>
        </is>
      </c>
      <c r="B862" s="2" t="inlineStr">
        <is>
          <t>HR</t>
        </is>
      </c>
      <c r="C862" s="2" t="inlineStr">
        <is>
          <t>HR Generalist</t>
        </is>
      </c>
      <c r="D862" s="2" t="n">
        <v>38</v>
      </c>
      <c r="E862" s="2" t="n">
        <v>6.5</v>
      </c>
      <c r="F862" s="2" t="n">
        <v>791000</v>
      </c>
      <c r="G862" s="2" t="inlineStr">
        <is>
          <t>No</t>
        </is>
      </c>
      <c r="H862" s="2" t="n">
        <v>55</v>
      </c>
      <c r="I862" s="2" t="n">
        <v>3.6</v>
      </c>
      <c r="J862" s="2" t="n">
        <v>4.3</v>
      </c>
      <c r="K862" s="2" t="n">
        <v>2.9</v>
      </c>
      <c r="L862" s="2" t="inlineStr">
        <is>
          <t>Active</t>
        </is>
      </c>
    </row>
    <row r="863">
      <c r="A863" s="2" t="inlineStr">
        <is>
          <t>EMP00694</t>
        </is>
      </c>
      <c r="B863" s="2" t="inlineStr">
        <is>
          <t>Engineering</t>
        </is>
      </c>
      <c r="C863" s="2" t="inlineStr">
        <is>
          <t>Software Engineer</t>
        </is>
      </c>
      <c r="D863" s="2" t="n">
        <v>27</v>
      </c>
      <c r="E863" s="2" t="n">
        <v>4.5</v>
      </c>
      <c r="F863" s="2" t="n">
        <v>1093000</v>
      </c>
      <c r="G863" s="2" t="inlineStr">
        <is>
          <t>No</t>
        </is>
      </c>
      <c r="H863" s="2" t="n">
        <v>47</v>
      </c>
      <c r="I863" s="2" t="n">
        <v>3.5</v>
      </c>
      <c r="J863" s="2" t="n">
        <v>2.3</v>
      </c>
      <c r="K863" s="2" t="n">
        <v>2.5</v>
      </c>
      <c r="L863" s="2" t="inlineStr">
        <is>
          <t>Resigned</t>
        </is>
      </c>
    </row>
    <row r="864">
      <c r="A864" s="2" t="inlineStr">
        <is>
          <t>EMP00029</t>
        </is>
      </c>
      <c r="B864" s="2" t="inlineStr">
        <is>
          <t>Sales</t>
        </is>
      </c>
      <c r="C864" s="2" t="inlineStr">
        <is>
          <t>Sales Manager</t>
        </is>
      </c>
      <c r="D864" s="2" t="n">
        <v>32</v>
      </c>
      <c r="E864" s="2" t="n">
        <v>2</v>
      </c>
      <c r="F864" s="2" t="n">
        <v>699000</v>
      </c>
      <c r="G864" s="2" t="inlineStr">
        <is>
          <t>No</t>
        </is>
      </c>
      <c r="H864" s="2" t="n">
        <v>5</v>
      </c>
      <c r="I864" s="2" t="n">
        <v>3.3</v>
      </c>
      <c r="J864" s="2" t="n">
        <v>4.7</v>
      </c>
      <c r="K864" s="2" t="n">
        <v>2.5</v>
      </c>
      <c r="L864" s="2" t="inlineStr">
        <is>
          <t>Active</t>
        </is>
      </c>
    </row>
    <row r="865">
      <c r="A865" s="2" t="inlineStr">
        <is>
          <t>EMP00708</t>
        </is>
      </c>
      <c r="B865" s="2" t="inlineStr">
        <is>
          <t>HR</t>
        </is>
      </c>
      <c r="C865" s="2" t="inlineStr">
        <is>
          <t>Recruiter</t>
        </is>
      </c>
      <c r="D865" s="2" t="n">
        <v>32</v>
      </c>
      <c r="E865" s="2" t="n">
        <v>0.8</v>
      </c>
      <c r="F865" s="2" t="n">
        <v>610000</v>
      </c>
      <c r="G865" s="2" t="inlineStr">
        <is>
          <t>No</t>
        </is>
      </c>
      <c r="H865" s="2" t="n">
        <v>57</v>
      </c>
      <c r="I865" s="2" t="n">
        <v>4.7</v>
      </c>
      <c r="J865" s="2" t="n">
        <v>3.6</v>
      </c>
      <c r="K865" s="2" t="n">
        <v>2.4</v>
      </c>
      <c r="L865" s="2" t="inlineStr">
        <is>
          <t>Active</t>
        </is>
      </c>
    </row>
    <row r="866">
      <c r="A866" s="2" t="inlineStr">
        <is>
          <t>EMP01003</t>
        </is>
      </c>
      <c r="B866" s="2" t="inlineStr">
        <is>
          <t>Sales</t>
        </is>
      </c>
      <c r="C866" s="2" t="inlineStr">
        <is>
          <t>Sales Executive</t>
        </is>
      </c>
      <c r="D866" s="2" t="n">
        <v>59</v>
      </c>
      <c r="E866" s="2" t="n">
        <v>4</v>
      </c>
      <c r="F866" s="2" t="n">
        <v>728000</v>
      </c>
      <c r="G866" s="2" t="inlineStr">
        <is>
          <t>No</t>
        </is>
      </c>
      <c r="H866" s="2" t="n">
        <v>9</v>
      </c>
      <c r="I866" s="2" t="n">
        <v>2.2</v>
      </c>
      <c r="J866" s="2" t="n">
        <v>4</v>
      </c>
      <c r="K866" s="2" t="n">
        <v>2.9</v>
      </c>
      <c r="L866" s="2" t="inlineStr">
        <is>
          <t>Resigned</t>
        </is>
      </c>
    </row>
    <row r="867">
      <c r="A867" s="2" t="inlineStr">
        <is>
          <t>EMP01186</t>
        </is>
      </c>
      <c r="B867" s="2" t="inlineStr">
        <is>
          <t>HR</t>
        </is>
      </c>
      <c r="C867" s="2" t="inlineStr">
        <is>
          <t>HR Generalist</t>
        </is>
      </c>
      <c r="D867" s="2" t="n">
        <v>32</v>
      </c>
      <c r="E867" s="2" t="n">
        <v>7.8</v>
      </c>
      <c r="F867" s="2" t="n">
        <v>754000</v>
      </c>
      <c r="G867" s="2" t="inlineStr">
        <is>
          <t>No</t>
        </is>
      </c>
      <c r="H867" s="2" t="n">
        <v>10</v>
      </c>
      <c r="I867" s="2" t="n">
        <v>1.8</v>
      </c>
      <c r="J867" s="2" t="n">
        <v>3.9</v>
      </c>
      <c r="K867" s="2" t="n">
        <v>4</v>
      </c>
      <c r="L867" s="2" t="inlineStr">
        <is>
          <t>Active</t>
        </is>
      </c>
    </row>
    <row r="868">
      <c r="A868" s="2" t="inlineStr">
        <is>
          <t>EMP00255</t>
        </is>
      </c>
      <c r="B868" s="2" t="inlineStr">
        <is>
          <t>Engineering</t>
        </is>
      </c>
      <c r="C868" s="2" t="inlineStr">
        <is>
          <t>Engineering Manager</t>
        </is>
      </c>
      <c r="D868" s="2" t="n">
        <v>43</v>
      </c>
      <c r="E868" s="2" t="n">
        <v>6.9</v>
      </c>
      <c r="F868" s="2" t="n">
        <v>1331000</v>
      </c>
      <c r="G868" s="2" t="inlineStr">
        <is>
          <t>Yes</t>
        </is>
      </c>
      <c r="H868" s="2" t="n">
        <v>3</v>
      </c>
      <c r="I868" s="2" t="n">
        <v>4.4</v>
      </c>
      <c r="J868" s="2" t="n">
        <v>1</v>
      </c>
      <c r="K868" s="2" t="n">
        <v>3.1</v>
      </c>
      <c r="L868" s="2" t="inlineStr">
        <is>
          <t>Active</t>
        </is>
      </c>
    </row>
    <row r="869">
      <c r="A869" s="2" t="inlineStr">
        <is>
          <t>EMP00161</t>
        </is>
      </c>
      <c r="B869" s="2" t="inlineStr">
        <is>
          <t>Sales</t>
        </is>
      </c>
      <c r="C869" s="2" t="inlineStr">
        <is>
          <t>Account Manager</t>
        </is>
      </c>
      <c r="D869" s="2" t="n">
        <v>45</v>
      </c>
      <c r="E869" s="2" t="n">
        <v>6.1</v>
      </c>
      <c r="F869" s="2" t="n">
        <v>919000</v>
      </c>
      <c r="G869" s="2" t="inlineStr">
        <is>
          <t>No</t>
        </is>
      </c>
      <c r="H869" s="2" t="n">
        <v>12</v>
      </c>
      <c r="I869" s="2" t="n">
        <v>2.3</v>
      </c>
      <c r="J869" s="2" t="n">
        <v>4.2</v>
      </c>
      <c r="K869" s="2" t="n">
        <v>1.2</v>
      </c>
      <c r="L869" s="2" t="inlineStr">
        <is>
          <t>Active</t>
        </is>
      </c>
    </row>
    <row r="870">
      <c r="A870" s="2" t="inlineStr">
        <is>
          <t>EMP00459</t>
        </is>
      </c>
      <c r="B870" s="2" t="inlineStr">
        <is>
          <t>HR</t>
        </is>
      </c>
      <c r="C870" s="2" t="inlineStr">
        <is>
          <t>HR Manager</t>
        </is>
      </c>
      <c r="D870" s="2" t="n">
        <v>29</v>
      </c>
      <c r="E870" s="2" t="n">
        <v>0.4</v>
      </c>
      <c r="F870" s="2" t="n">
        <v>584000</v>
      </c>
      <c r="G870" s="2" t="inlineStr">
        <is>
          <t>No</t>
        </is>
      </c>
      <c r="H870" s="2" t="n">
        <v>19</v>
      </c>
      <c r="I870" s="2" t="n">
        <v>3.6</v>
      </c>
      <c r="J870" s="2" t="n">
        <v>3.1</v>
      </c>
      <c r="K870" s="2" t="n">
        <v>3</v>
      </c>
      <c r="L870" s="2" t="inlineStr">
        <is>
          <t>Active</t>
        </is>
      </c>
    </row>
    <row r="871">
      <c r="A871" s="2" t="inlineStr">
        <is>
          <t>EMP00384</t>
        </is>
      </c>
      <c r="B871" s="2" t="inlineStr">
        <is>
          <t>Operations</t>
        </is>
      </c>
      <c r="C871" s="2" t="inlineStr">
        <is>
          <t>Process Lead</t>
        </is>
      </c>
      <c r="D871" s="2" t="n">
        <v>39</v>
      </c>
      <c r="E871" s="2" t="n">
        <v>4.7</v>
      </c>
      <c r="F871" s="2" t="n">
        <v>849000</v>
      </c>
      <c r="G871" s="2" t="inlineStr">
        <is>
          <t>No</t>
        </is>
      </c>
      <c r="H871" s="2" t="n">
        <v>11</v>
      </c>
      <c r="I871" s="2" t="n">
        <v>2.5</v>
      </c>
      <c r="J871" s="2" t="n">
        <v>3.3</v>
      </c>
      <c r="K871" s="2" t="n">
        <v>2.9</v>
      </c>
      <c r="L871" s="2" t="inlineStr">
        <is>
          <t>Active</t>
        </is>
      </c>
    </row>
    <row r="872">
      <c r="A872" s="2" t="inlineStr">
        <is>
          <t>EMP00314</t>
        </is>
      </c>
      <c r="B872" s="2" t="inlineStr">
        <is>
          <t>Engineering</t>
        </is>
      </c>
      <c r="C872" s="2" t="inlineStr">
        <is>
          <t>Senior Engineer</t>
        </is>
      </c>
      <c r="D872" s="2" t="n">
        <v>37</v>
      </c>
      <c r="E872" s="2" t="n">
        <v>2.1</v>
      </c>
      <c r="F872" s="2" t="n">
        <v>965000</v>
      </c>
      <c r="G872" s="2" t="inlineStr">
        <is>
          <t>No</t>
        </is>
      </c>
      <c r="H872" s="2" t="n">
        <v>8</v>
      </c>
      <c r="I872" s="2" t="n">
        <v>4.3</v>
      </c>
      <c r="J872" s="2" t="n">
        <v>2.9</v>
      </c>
      <c r="K872" s="2" t="n">
        <v>4</v>
      </c>
      <c r="L872" s="2" t="inlineStr">
        <is>
          <t>Active</t>
        </is>
      </c>
    </row>
    <row r="873">
      <c r="A873" s="2" t="inlineStr">
        <is>
          <t>EMP00085</t>
        </is>
      </c>
      <c r="B873" s="2" t="inlineStr">
        <is>
          <t>Sales</t>
        </is>
      </c>
      <c r="C873" s="2" t="inlineStr">
        <is>
          <t>Account Manager</t>
        </is>
      </c>
      <c r="D873" s="2" t="n">
        <v>33</v>
      </c>
      <c r="E873" s="2" t="n">
        <v>7.1</v>
      </c>
      <c r="F873" s="2" t="n">
        <v>946000</v>
      </c>
      <c r="G873" s="2" t="inlineStr">
        <is>
          <t>No</t>
        </is>
      </c>
      <c r="H873" s="2" t="n">
        <v>18</v>
      </c>
      <c r="I873" s="2" t="n">
        <v>2.7</v>
      </c>
      <c r="J873" s="2" t="n">
        <v>2.7</v>
      </c>
      <c r="K873" s="2" t="n">
        <v>2</v>
      </c>
      <c r="L873" s="2" t="inlineStr">
        <is>
          <t>Active</t>
        </is>
      </c>
    </row>
    <row r="874">
      <c r="A874" s="2" t="inlineStr">
        <is>
          <t>EMP00575</t>
        </is>
      </c>
      <c r="B874" s="2" t="inlineStr">
        <is>
          <t>Customer Support</t>
        </is>
      </c>
      <c r="C874" s="2" t="inlineStr">
        <is>
          <t>Support Associate</t>
        </is>
      </c>
      <c r="D874" s="2" t="n">
        <v>30</v>
      </c>
      <c r="E874" s="2" t="n">
        <v>3.6</v>
      </c>
      <c r="F874" s="2" t="n">
        <v>513000</v>
      </c>
      <c r="G874" s="2" t="inlineStr">
        <is>
          <t>No</t>
        </is>
      </c>
      <c r="H874" s="2" t="n">
        <v>47</v>
      </c>
      <c r="I874" s="2" t="n">
        <v>3.3</v>
      </c>
      <c r="J874" s="2" t="n">
        <v>3.1</v>
      </c>
      <c r="K874" s="2" t="n">
        <v>2.9</v>
      </c>
      <c r="L874" s="2" t="inlineStr">
        <is>
          <t>Active</t>
        </is>
      </c>
    </row>
    <row r="875">
      <c r="A875" s="2" t="inlineStr">
        <is>
          <t>EMP00763</t>
        </is>
      </c>
      <c r="B875" s="2" t="inlineStr">
        <is>
          <t>Sales</t>
        </is>
      </c>
      <c r="C875" s="2" t="inlineStr">
        <is>
          <t>Sales Executive</t>
        </is>
      </c>
      <c r="D875" s="2" t="n">
        <v>29</v>
      </c>
      <c r="E875" s="2" t="n">
        <v>2.9</v>
      </c>
      <c r="F875" s="2" t="n">
        <v>785000</v>
      </c>
      <c r="G875" s="2" t="inlineStr">
        <is>
          <t>No</t>
        </is>
      </c>
      <c r="H875" s="2" t="n">
        <v>57</v>
      </c>
      <c r="I875" s="2" t="n">
        <v>2.6</v>
      </c>
      <c r="J875" s="2" t="n">
        <v>3.9</v>
      </c>
      <c r="K875" s="2" t="n">
        <v>2.6</v>
      </c>
      <c r="L875" s="2" t="inlineStr">
        <is>
          <t>Active</t>
        </is>
      </c>
    </row>
    <row r="876">
      <c r="A876" s="2" t="inlineStr">
        <is>
          <t>EMP00137</t>
        </is>
      </c>
      <c r="B876" s="2" t="inlineStr">
        <is>
          <t>Customer Support</t>
        </is>
      </c>
      <c r="C876" s="2" t="inlineStr">
        <is>
          <t>Support Associate</t>
        </is>
      </c>
      <c r="D876" s="2" t="n">
        <v>32</v>
      </c>
      <c r="E876" s="2" t="n">
        <v>6</v>
      </c>
      <c r="F876" s="2" t="n">
        <v>669000</v>
      </c>
      <c r="G876" s="2" t="inlineStr">
        <is>
          <t>Yes</t>
        </is>
      </c>
      <c r="H876" s="2" t="n">
        <v>25</v>
      </c>
      <c r="I876" s="2" t="n">
        <v>3.6</v>
      </c>
      <c r="J876" s="2" t="n">
        <v>3.2</v>
      </c>
      <c r="K876" s="2" t="n">
        <v>2.6</v>
      </c>
      <c r="L876" s="2" t="inlineStr">
        <is>
          <t>Resigned</t>
        </is>
      </c>
    </row>
    <row r="877">
      <c r="A877" s="2" t="inlineStr">
        <is>
          <t>EMP00112</t>
        </is>
      </c>
      <c r="B877" s="2" t="inlineStr">
        <is>
          <t>Sales</t>
        </is>
      </c>
      <c r="C877" s="2" t="inlineStr">
        <is>
          <t>Sales Manager</t>
        </is>
      </c>
      <c r="D877" s="2" t="n">
        <v>27</v>
      </c>
      <c r="E877" s="2" t="n">
        <v>1.5</v>
      </c>
      <c r="F877" s="2" t="n">
        <v>668000</v>
      </c>
      <c r="G877" s="2" t="inlineStr">
        <is>
          <t>No</t>
        </is>
      </c>
      <c r="H877" s="2" t="n">
        <v>49</v>
      </c>
      <c r="I877" s="2" t="n">
        <v>4.3</v>
      </c>
      <c r="J877" s="2" t="n">
        <v>2.1</v>
      </c>
      <c r="K877" s="2" t="n">
        <v>3.9</v>
      </c>
      <c r="L877" s="2" t="inlineStr">
        <is>
          <t>Active</t>
        </is>
      </c>
    </row>
    <row r="878">
      <c r="A878" s="2" t="inlineStr">
        <is>
          <t>EMP00195</t>
        </is>
      </c>
      <c r="B878" s="2" t="inlineStr">
        <is>
          <t>Sales</t>
        </is>
      </c>
      <c r="C878" s="2" t="inlineStr">
        <is>
          <t>Sales Executive</t>
        </is>
      </c>
      <c r="D878" s="2" t="n">
        <v>21</v>
      </c>
      <c r="E878" s="2" t="n">
        <v>3.6</v>
      </c>
      <c r="F878" s="2" t="n">
        <v>799000</v>
      </c>
      <c r="G878" s="2" t="inlineStr">
        <is>
          <t>No</t>
        </is>
      </c>
      <c r="H878" s="2" t="n">
        <v>14</v>
      </c>
      <c r="I878" s="2" t="n">
        <v>3.6</v>
      </c>
      <c r="J878" s="2" t="n">
        <v>4.6</v>
      </c>
      <c r="K878" s="2" t="n">
        <v>3.8</v>
      </c>
      <c r="L878" s="2" t="inlineStr">
        <is>
          <t>Resigned</t>
        </is>
      </c>
    </row>
    <row r="879">
      <c r="A879" s="2" t="inlineStr">
        <is>
          <t>EMP00853</t>
        </is>
      </c>
      <c r="B879" s="2" t="inlineStr">
        <is>
          <t>Customer Support</t>
        </is>
      </c>
      <c r="C879" s="2" t="inlineStr">
        <is>
          <t>Support Associate</t>
        </is>
      </c>
      <c r="D879" s="2" t="n">
        <v>34</v>
      </c>
      <c r="E879" s="2" t="n">
        <v>2</v>
      </c>
      <c r="F879" s="2" t="n">
        <v>541000</v>
      </c>
      <c r="G879" s="2" t="inlineStr">
        <is>
          <t>Yes</t>
        </is>
      </c>
      <c r="H879" s="2" t="n">
        <v>18</v>
      </c>
      <c r="I879" s="2" t="n">
        <v>4.6</v>
      </c>
      <c r="J879" s="2" t="n">
        <v>4.2</v>
      </c>
      <c r="K879" s="2" t="n">
        <v>2.8</v>
      </c>
      <c r="L879" s="2" t="inlineStr">
        <is>
          <t>Active</t>
        </is>
      </c>
    </row>
    <row r="880">
      <c r="A880" s="2" t="inlineStr">
        <is>
          <t>EMP00179</t>
        </is>
      </c>
      <c r="B880" s="2" t="inlineStr">
        <is>
          <t>Customer Support</t>
        </is>
      </c>
      <c r="C880" s="2" t="inlineStr">
        <is>
          <t>Support Manager</t>
        </is>
      </c>
      <c r="D880" s="2" t="n">
        <v>50</v>
      </c>
      <c r="E880" s="2" t="n">
        <v>1.5</v>
      </c>
      <c r="F880" s="2" t="n">
        <v>565000</v>
      </c>
      <c r="G880" s="2" t="inlineStr">
        <is>
          <t>Yes</t>
        </is>
      </c>
      <c r="H880" s="2" t="n">
        <v>40</v>
      </c>
      <c r="I880" s="2" t="n">
        <v>4.5</v>
      </c>
      <c r="J880" s="2" t="n">
        <v>1.8</v>
      </c>
      <c r="K880" s="2" t="n">
        <v>3</v>
      </c>
      <c r="L880" s="2" t="inlineStr">
        <is>
          <t>Active</t>
        </is>
      </c>
    </row>
    <row r="881">
      <c r="A881" s="2" t="inlineStr">
        <is>
          <t>EMP00556</t>
        </is>
      </c>
      <c r="B881" s="2" t="inlineStr">
        <is>
          <t>Engineering</t>
        </is>
      </c>
      <c r="C881" s="2" t="inlineStr">
        <is>
          <t>Engineering Manager</t>
        </is>
      </c>
      <c r="D881" s="2" t="n">
        <v>30</v>
      </c>
      <c r="E881" s="2" t="n">
        <v>6.5</v>
      </c>
      <c r="F881" s="2" t="n">
        <v>1467000</v>
      </c>
      <c r="G881" s="2" t="inlineStr">
        <is>
          <t>Yes</t>
        </is>
      </c>
      <c r="H881" s="2" t="n">
        <v>25</v>
      </c>
      <c r="I881" s="2" t="n">
        <v>3.1</v>
      </c>
      <c r="J881" s="2" t="n">
        <v>1</v>
      </c>
      <c r="K881" s="2" t="n">
        <v>3.4</v>
      </c>
      <c r="L881" s="2" t="inlineStr">
        <is>
          <t>Active</t>
        </is>
      </c>
    </row>
    <row r="882">
      <c r="A882" s="2" t="inlineStr">
        <is>
          <t>EMP00724</t>
        </is>
      </c>
      <c r="B882" s="2" t="inlineStr">
        <is>
          <t>Customer Support</t>
        </is>
      </c>
      <c r="C882" s="2" t="inlineStr">
        <is>
          <t>Support Lead</t>
        </is>
      </c>
      <c r="D882" s="2" t="n">
        <v>52</v>
      </c>
      <c r="E882" s="2" t="n">
        <v>3.2</v>
      </c>
      <c r="F882" s="2" t="n">
        <v>525000</v>
      </c>
      <c r="G882" s="2" t="inlineStr">
        <is>
          <t>Yes</t>
        </is>
      </c>
      <c r="H882" s="2" t="n">
        <v>10</v>
      </c>
      <c r="I882" s="2" t="n">
        <v>3.4</v>
      </c>
      <c r="J882" s="2" t="n">
        <v>3.9</v>
      </c>
      <c r="K882" s="2" t="n">
        <v>1.9</v>
      </c>
      <c r="L882" s="2" t="inlineStr">
        <is>
          <t>Active</t>
        </is>
      </c>
    </row>
    <row r="883">
      <c r="A883" s="2" t="inlineStr">
        <is>
          <t>EMP00860</t>
        </is>
      </c>
      <c r="B883" s="2" t="inlineStr">
        <is>
          <t>Operations</t>
        </is>
      </c>
      <c r="C883" s="2" t="inlineStr">
        <is>
          <t>Ops Manager</t>
        </is>
      </c>
      <c r="D883" s="2" t="n">
        <v>37</v>
      </c>
      <c r="E883" s="2" t="n">
        <v>7.7</v>
      </c>
      <c r="F883" s="2" t="n">
        <v>930000</v>
      </c>
      <c r="G883" s="2" t="inlineStr">
        <is>
          <t>No</t>
        </is>
      </c>
      <c r="H883" s="2" t="n">
        <v>45</v>
      </c>
      <c r="I883" s="2" t="n">
        <v>2.6</v>
      </c>
      <c r="J883" s="2" t="n">
        <v>3.3</v>
      </c>
      <c r="K883" s="2" t="n">
        <v>3.3</v>
      </c>
      <c r="L883" s="2" t="inlineStr">
        <is>
          <t>Active</t>
        </is>
      </c>
    </row>
    <row r="884">
      <c r="A884" s="2" t="inlineStr">
        <is>
          <t>EMP00497</t>
        </is>
      </c>
      <c r="B884" s="2" t="inlineStr">
        <is>
          <t>Operations</t>
        </is>
      </c>
      <c r="C884" s="2" t="inlineStr">
        <is>
          <t>Ops Manager</t>
        </is>
      </c>
      <c r="D884" s="2" t="n">
        <v>41</v>
      </c>
      <c r="E884" s="2" t="n">
        <v>1.7</v>
      </c>
      <c r="F884" s="2" t="n">
        <v>692000</v>
      </c>
      <c r="G884" s="2" t="inlineStr">
        <is>
          <t>No</t>
        </is>
      </c>
      <c r="H884" s="2" t="n">
        <v>46</v>
      </c>
      <c r="I884" s="2" t="n">
        <v>3.1</v>
      </c>
      <c r="J884" s="2" t="n">
        <v>3</v>
      </c>
      <c r="K884" s="2" t="n">
        <v>2.4</v>
      </c>
      <c r="L884" s="2" t="inlineStr">
        <is>
          <t>Active</t>
        </is>
      </c>
    </row>
    <row r="885">
      <c r="A885" s="2" t="inlineStr">
        <is>
          <t>EMP00904</t>
        </is>
      </c>
      <c r="B885" s="2" t="inlineStr">
        <is>
          <t>Operations</t>
        </is>
      </c>
      <c r="C885" s="2" t="inlineStr">
        <is>
          <t>Ops Analyst</t>
        </is>
      </c>
      <c r="D885" s="2" t="n">
        <v>40</v>
      </c>
      <c r="E885" s="2" t="n">
        <v>2.9</v>
      </c>
      <c r="F885" s="2" t="n">
        <v>799000</v>
      </c>
      <c r="G885" s="2" t="inlineStr">
        <is>
          <t>No</t>
        </is>
      </c>
      <c r="H885" s="2" t="n">
        <v>55</v>
      </c>
      <c r="I885" s="2" t="n">
        <v>3.4</v>
      </c>
      <c r="J885" s="2" t="n">
        <v>2.8</v>
      </c>
      <c r="K885" s="2" t="n">
        <v>2.3</v>
      </c>
      <c r="L885" s="2" t="inlineStr">
        <is>
          <t>Active</t>
        </is>
      </c>
    </row>
    <row r="886">
      <c r="A886" s="2" t="inlineStr">
        <is>
          <t>EMP00806</t>
        </is>
      </c>
      <c r="B886" s="2" t="inlineStr">
        <is>
          <t>Sales</t>
        </is>
      </c>
      <c r="C886" s="2" t="inlineStr">
        <is>
          <t>Sales Manager</t>
        </is>
      </c>
      <c r="D886" s="2" t="n">
        <v>38</v>
      </c>
      <c r="E886" s="2" t="n">
        <v>2.8</v>
      </c>
      <c r="F886" s="2" t="n">
        <v>761000</v>
      </c>
      <c r="G886" s="2" t="inlineStr">
        <is>
          <t>No</t>
        </is>
      </c>
      <c r="H886" s="2" t="n">
        <v>2</v>
      </c>
      <c r="I886" s="2" t="n">
        <v>3.8</v>
      </c>
      <c r="J886" s="2" t="n">
        <v>3.1</v>
      </c>
      <c r="K886" s="2" t="n">
        <v>2.8</v>
      </c>
      <c r="L886" s="2" t="inlineStr">
        <is>
          <t>Active</t>
        </is>
      </c>
    </row>
    <row r="887">
      <c r="A887" s="2" t="inlineStr">
        <is>
          <t>EMP00130</t>
        </is>
      </c>
      <c r="B887" s="2" t="inlineStr">
        <is>
          <t>Operations</t>
        </is>
      </c>
      <c r="C887" s="2" t="inlineStr">
        <is>
          <t>Ops Manager</t>
        </is>
      </c>
      <c r="D887" s="2" t="n">
        <v>37</v>
      </c>
      <c r="E887" s="2" t="n">
        <v>2.8</v>
      </c>
      <c r="F887" s="2" t="n">
        <v>714000</v>
      </c>
      <c r="G887" s="2" t="inlineStr">
        <is>
          <t>No</t>
        </is>
      </c>
      <c r="H887" s="2" t="n">
        <v>47</v>
      </c>
      <c r="I887" s="2" t="n">
        <v>4.1</v>
      </c>
      <c r="J887" s="2" t="n">
        <v>2.6</v>
      </c>
      <c r="K887" s="2" t="n">
        <v>2.8</v>
      </c>
      <c r="L887" s="2" t="inlineStr">
        <is>
          <t>Active</t>
        </is>
      </c>
    </row>
    <row r="888">
      <c r="A888" s="2" t="inlineStr">
        <is>
          <t>EMP00716</t>
        </is>
      </c>
      <c r="B888" s="2" t="inlineStr">
        <is>
          <t>Sales</t>
        </is>
      </c>
      <c r="C888" s="2" t="inlineStr">
        <is>
          <t>Account Manager</t>
        </is>
      </c>
      <c r="D888" s="2" t="n">
        <v>39</v>
      </c>
      <c r="E888" s="2" t="n">
        <v>2.3</v>
      </c>
      <c r="F888" s="2" t="n">
        <v>654000</v>
      </c>
      <c r="G888" s="2" t="inlineStr">
        <is>
          <t>Yes</t>
        </is>
      </c>
      <c r="H888" s="2" t="n">
        <v>12</v>
      </c>
      <c r="I888" s="2" t="n">
        <v>5</v>
      </c>
      <c r="J888" s="2" t="n">
        <v>1.9</v>
      </c>
      <c r="K888" s="2" t="n">
        <v>4.3</v>
      </c>
      <c r="L888" s="2" t="inlineStr">
        <is>
          <t>Active</t>
        </is>
      </c>
    </row>
    <row r="889">
      <c r="A889" s="2" t="inlineStr">
        <is>
          <t>EMP00338</t>
        </is>
      </c>
      <c r="B889" s="2" t="inlineStr">
        <is>
          <t>Finance</t>
        </is>
      </c>
      <c r="C889" s="2" t="inlineStr">
        <is>
          <t>Financial Analyst</t>
        </is>
      </c>
      <c r="D889" s="2" t="n">
        <v>32</v>
      </c>
      <c r="E889" s="2" t="n">
        <v>1.9</v>
      </c>
      <c r="F889" s="2" t="n">
        <v>765000</v>
      </c>
      <c r="G889" s="2" t="inlineStr">
        <is>
          <t>No</t>
        </is>
      </c>
      <c r="H889" s="2" t="n">
        <v>59</v>
      </c>
      <c r="I889" s="2" t="n">
        <v>3.8</v>
      </c>
      <c r="J889" s="2" t="n">
        <v>2.7</v>
      </c>
      <c r="K889" s="2" t="n">
        <v>2.8</v>
      </c>
      <c r="L889" s="2" t="inlineStr">
        <is>
          <t>Active</t>
        </is>
      </c>
    </row>
    <row r="890">
      <c r="A890" s="2" t="inlineStr">
        <is>
          <t>EMP00609</t>
        </is>
      </c>
      <c r="B890" s="2" t="inlineStr">
        <is>
          <t>Finance</t>
        </is>
      </c>
      <c r="C890" s="2" t="inlineStr">
        <is>
          <t>Accountant</t>
        </is>
      </c>
      <c r="D890" s="2" t="n">
        <v>41</v>
      </c>
      <c r="E890" s="2" t="n">
        <v>7.5</v>
      </c>
      <c r="F890" s="2" t="n">
        <v>1206000</v>
      </c>
      <c r="G890" s="2" t="inlineStr">
        <is>
          <t>No</t>
        </is>
      </c>
      <c r="H890" s="2" t="n">
        <v>14</v>
      </c>
      <c r="I890" s="2" t="n">
        <v>3.3</v>
      </c>
      <c r="J890" s="2" t="n">
        <v>2.7</v>
      </c>
      <c r="K890" s="2" t="n">
        <v>3.1</v>
      </c>
      <c r="L890" s="2" t="inlineStr">
        <is>
          <t>Active</t>
        </is>
      </c>
    </row>
    <row r="891">
      <c r="A891" s="2" t="inlineStr">
        <is>
          <t>EMP00125</t>
        </is>
      </c>
      <c r="B891" s="2" t="inlineStr">
        <is>
          <t>Sales</t>
        </is>
      </c>
      <c r="C891" s="2" t="inlineStr">
        <is>
          <t>Sales Executive</t>
        </is>
      </c>
      <c r="D891" s="2" t="n">
        <v>35</v>
      </c>
      <c r="E891" s="2" t="n">
        <v>3</v>
      </c>
      <c r="F891" s="2" t="n">
        <v>678000</v>
      </c>
      <c r="G891" s="2" t="inlineStr">
        <is>
          <t>No</t>
        </is>
      </c>
      <c r="H891" s="2" t="n">
        <v>30</v>
      </c>
      <c r="I891" s="2" t="n">
        <v>3.6</v>
      </c>
      <c r="J891" s="2" t="n">
        <v>4.8</v>
      </c>
      <c r="K891" s="2" t="n">
        <v>2.4</v>
      </c>
      <c r="L891" s="2" t="inlineStr">
        <is>
          <t>Active</t>
        </is>
      </c>
    </row>
    <row r="892">
      <c r="A892" s="2" t="inlineStr">
        <is>
          <t>EMP00196</t>
        </is>
      </c>
      <c r="B892" s="2" t="inlineStr">
        <is>
          <t>Sales</t>
        </is>
      </c>
      <c r="C892" s="2" t="inlineStr">
        <is>
          <t>Sales Executive</t>
        </is>
      </c>
      <c r="D892" s="2" t="n">
        <v>23</v>
      </c>
      <c r="E892" s="2" t="n">
        <v>3.8</v>
      </c>
      <c r="F892" s="2" t="n">
        <v>778000</v>
      </c>
      <c r="G892" s="2" t="inlineStr">
        <is>
          <t>No</t>
        </is>
      </c>
      <c r="H892" s="2" t="n">
        <v>49</v>
      </c>
      <c r="I892" s="2" t="n">
        <v>2.7</v>
      </c>
      <c r="J892" s="2" t="n">
        <v>3.8</v>
      </c>
      <c r="K892" s="2" t="n">
        <v>2.6</v>
      </c>
      <c r="L892" s="2" t="inlineStr">
        <is>
          <t>Active</t>
        </is>
      </c>
    </row>
    <row r="893">
      <c r="A893" s="2" t="inlineStr">
        <is>
          <t>EMP00227</t>
        </is>
      </c>
      <c r="B893" s="2" t="inlineStr">
        <is>
          <t>Sales</t>
        </is>
      </c>
      <c r="C893" s="2" t="inlineStr">
        <is>
          <t>Sales Manager</t>
        </is>
      </c>
      <c r="D893" s="2" t="n">
        <v>37</v>
      </c>
      <c r="E893" s="2" t="n">
        <v>3.2</v>
      </c>
      <c r="F893" s="2" t="n">
        <v>801000</v>
      </c>
      <c r="G893" s="2" t="inlineStr">
        <is>
          <t>No</t>
        </is>
      </c>
      <c r="H893" s="2" t="n">
        <v>7</v>
      </c>
      <c r="I893" s="2" t="n">
        <v>3.6</v>
      </c>
      <c r="J893" s="2" t="n">
        <v>3.3</v>
      </c>
      <c r="K893" s="2" t="n">
        <v>2.2</v>
      </c>
      <c r="L893" s="2" t="inlineStr">
        <is>
          <t>Active</t>
        </is>
      </c>
    </row>
    <row r="894">
      <c r="A894" s="2" t="inlineStr">
        <is>
          <t>EMP00690</t>
        </is>
      </c>
      <c r="B894" s="2" t="inlineStr">
        <is>
          <t>Operations</t>
        </is>
      </c>
      <c r="C894" s="2" t="inlineStr">
        <is>
          <t>Ops Manager</t>
        </is>
      </c>
      <c r="D894" s="2" t="n">
        <v>25</v>
      </c>
      <c r="E894" s="2" t="n">
        <v>2.7</v>
      </c>
      <c r="F894" s="2" t="n">
        <v>800000</v>
      </c>
      <c r="G894" s="2" t="inlineStr">
        <is>
          <t>No</t>
        </is>
      </c>
      <c r="H894" s="2" t="n">
        <v>42</v>
      </c>
      <c r="I894" s="2" t="n">
        <v>1.9</v>
      </c>
      <c r="J894" s="2" t="n">
        <v>4.1</v>
      </c>
      <c r="K894" s="2" t="n">
        <v>3.5</v>
      </c>
      <c r="L894" s="2" t="inlineStr">
        <is>
          <t>Active</t>
        </is>
      </c>
    </row>
    <row r="895">
      <c r="A895" s="2" t="inlineStr">
        <is>
          <t>EMP00269</t>
        </is>
      </c>
      <c r="B895" s="2" t="inlineStr">
        <is>
          <t>Sales</t>
        </is>
      </c>
      <c r="C895" s="2" t="inlineStr">
        <is>
          <t>Sales Executive</t>
        </is>
      </c>
      <c r="D895" s="2" t="n">
        <v>36</v>
      </c>
      <c r="E895" s="2" t="n">
        <v>5.4</v>
      </c>
      <c r="F895" s="2" t="n">
        <v>918000</v>
      </c>
      <c r="G895" s="2" t="inlineStr">
        <is>
          <t>No</t>
        </is>
      </c>
      <c r="H895" s="2" t="n">
        <v>26</v>
      </c>
      <c r="I895" s="2" t="n">
        <v>3.8</v>
      </c>
      <c r="J895" s="2" t="n">
        <v>3.5</v>
      </c>
      <c r="K895" s="2" t="n">
        <v>3.9</v>
      </c>
      <c r="L895" s="2" t="inlineStr">
        <is>
          <t>Active</t>
        </is>
      </c>
    </row>
    <row r="896">
      <c r="A896" s="2" t="inlineStr">
        <is>
          <t>EMP00153</t>
        </is>
      </c>
      <c r="B896" s="2" t="inlineStr">
        <is>
          <t>Sales</t>
        </is>
      </c>
      <c r="C896" s="2" t="inlineStr">
        <is>
          <t>Sales Executive</t>
        </is>
      </c>
      <c r="D896" s="2" t="n">
        <v>43</v>
      </c>
      <c r="E896" s="2" t="n">
        <v>4.4</v>
      </c>
      <c r="F896" s="2" t="n">
        <v>829000</v>
      </c>
      <c r="G896" s="2" t="inlineStr">
        <is>
          <t>Yes</t>
        </is>
      </c>
      <c r="H896" s="2" t="n">
        <v>49</v>
      </c>
      <c r="I896" s="2" t="n">
        <v>3.7</v>
      </c>
      <c r="J896" s="2" t="n">
        <v>3.8</v>
      </c>
      <c r="K896" s="2" t="n">
        <v>3.4</v>
      </c>
      <c r="L896" s="2" t="inlineStr">
        <is>
          <t>Active</t>
        </is>
      </c>
    </row>
    <row r="897">
      <c r="A897" s="2" t="inlineStr">
        <is>
          <t>EMP00910</t>
        </is>
      </c>
      <c r="B897" s="2" t="inlineStr">
        <is>
          <t>Engineering</t>
        </is>
      </c>
      <c r="C897" s="2" t="inlineStr">
        <is>
          <t>Engineering Manager</t>
        </is>
      </c>
      <c r="D897" s="2" t="n">
        <v>41</v>
      </c>
      <c r="E897" s="2" t="n">
        <v>13.3</v>
      </c>
      <c r="F897" s="2" t="n">
        <v>1607000</v>
      </c>
      <c r="G897" s="2" t="inlineStr">
        <is>
          <t>No</t>
        </is>
      </c>
      <c r="H897" s="2" t="n">
        <v>34</v>
      </c>
      <c r="I897" s="2" t="n">
        <v>2.1</v>
      </c>
      <c r="J897" s="2" t="n">
        <v>1.8</v>
      </c>
      <c r="K897" s="2" t="n">
        <v>4</v>
      </c>
      <c r="L897" s="2" t="inlineStr">
        <is>
          <t>Resigned</t>
        </is>
      </c>
    </row>
    <row r="898">
      <c r="A898" s="2" t="inlineStr">
        <is>
          <t>EMP00585</t>
        </is>
      </c>
      <c r="B898" s="2" t="inlineStr">
        <is>
          <t>Customer Support</t>
        </is>
      </c>
      <c r="C898" s="2" t="inlineStr">
        <is>
          <t>Support Manager</t>
        </is>
      </c>
      <c r="D898" s="2" t="n">
        <v>37</v>
      </c>
      <c r="E898" s="2" t="n">
        <v>2.4</v>
      </c>
      <c r="F898" s="2" t="n">
        <v>627000</v>
      </c>
      <c r="G898" s="2" t="inlineStr">
        <is>
          <t>Yes</t>
        </is>
      </c>
      <c r="H898" s="2" t="n">
        <v>51</v>
      </c>
      <c r="I898" s="2" t="n">
        <v>4</v>
      </c>
      <c r="J898" s="2" t="n">
        <v>3.2</v>
      </c>
      <c r="K898" s="2" t="n">
        <v>2.1</v>
      </c>
      <c r="L898" s="2" t="inlineStr">
        <is>
          <t>Active</t>
        </is>
      </c>
    </row>
    <row r="899">
      <c r="A899" s="2" t="inlineStr">
        <is>
          <t>EMP00951</t>
        </is>
      </c>
      <c r="B899" s="2" t="inlineStr">
        <is>
          <t>Operations</t>
        </is>
      </c>
      <c r="C899" s="2" t="inlineStr">
        <is>
          <t>Ops Analyst</t>
        </is>
      </c>
      <c r="D899" s="2" t="n">
        <v>35</v>
      </c>
      <c r="E899" s="2" t="n">
        <v>4.7</v>
      </c>
      <c r="F899" s="2" t="n">
        <v>706000</v>
      </c>
      <c r="G899" s="2" t="inlineStr">
        <is>
          <t>No</t>
        </is>
      </c>
      <c r="H899" s="2" t="n">
        <v>21</v>
      </c>
      <c r="I899" s="2" t="n">
        <v>4.1</v>
      </c>
      <c r="J899" s="2" t="n">
        <v>3.5</v>
      </c>
      <c r="K899" s="2" t="n">
        <v>3.3</v>
      </c>
      <c r="L899" s="2" t="inlineStr">
        <is>
          <t>Active</t>
        </is>
      </c>
    </row>
    <row r="900">
      <c r="A900" s="2" t="inlineStr">
        <is>
          <t>EMP00104</t>
        </is>
      </c>
      <c r="B900" s="2" t="inlineStr">
        <is>
          <t>Customer Support</t>
        </is>
      </c>
      <c r="C900" s="2" t="inlineStr">
        <is>
          <t>Support Associate</t>
        </is>
      </c>
      <c r="D900" s="2" t="n">
        <v>31</v>
      </c>
      <c r="E900" s="2" t="n">
        <v>2.3</v>
      </c>
      <c r="F900" s="2" t="n">
        <v>571000</v>
      </c>
      <c r="G900" s="2" t="inlineStr">
        <is>
          <t>Yes</t>
        </is>
      </c>
      <c r="H900" s="2" t="n">
        <v>16</v>
      </c>
      <c r="I900" s="2" t="n">
        <v>4.1</v>
      </c>
      <c r="J900" s="2" t="n">
        <v>1.5</v>
      </c>
      <c r="K900" s="2" t="n">
        <v>3.4</v>
      </c>
      <c r="L900" s="2" t="inlineStr">
        <is>
          <t>Resigned</t>
        </is>
      </c>
    </row>
    <row r="901">
      <c r="A901" s="2" t="inlineStr">
        <is>
          <t>EMP00594</t>
        </is>
      </c>
      <c r="B901" s="2" t="inlineStr">
        <is>
          <t>Operations</t>
        </is>
      </c>
      <c r="C901" s="2" t="inlineStr">
        <is>
          <t>Process Lead</t>
        </is>
      </c>
      <c r="D901" s="2" t="n">
        <v>32</v>
      </c>
      <c r="E901" s="2" t="n">
        <v>0.9</v>
      </c>
      <c r="F901" s="2" t="n">
        <v>696000</v>
      </c>
      <c r="G901" s="2" t="inlineStr">
        <is>
          <t>No</t>
        </is>
      </c>
      <c r="H901" s="2" t="n">
        <v>24</v>
      </c>
      <c r="I901" s="2" t="n">
        <v>5</v>
      </c>
      <c r="J901" s="2" t="n">
        <v>2.5</v>
      </c>
      <c r="K901" s="2" t="n">
        <v>3.8</v>
      </c>
      <c r="L901" s="2" t="inlineStr">
        <is>
          <t>Active</t>
        </is>
      </c>
    </row>
    <row r="902">
      <c r="A902" s="2" t="inlineStr">
        <is>
          <t>EMP01120</t>
        </is>
      </c>
      <c r="B902" s="2" t="inlineStr">
        <is>
          <t>Customer Support</t>
        </is>
      </c>
      <c r="C902" s="2" t="inlineStr">
        <is>
          <t>Support Manager</t>
        </is>
      </c>
      <c r="D902" s="2" t="n">
        <v>29</v>
      </c>
      <c r="E902" s="2" t="n">
        <v>3.5</v>
      </c>
      <c r="F902" s="2" t="n">
        <v>616000</v>
      </c>
      <c r="G902" s="2" t="inlineStr">
        <is>
          <t>Yes</t>
        </is>
      </c>
      <c r="H902" s="2" t="n">
        <v>22</v>
      </c>
      <c r="I902" s="2" t="n">
        <v>2.7</v>
      </c>
      <c r="J902" s="2" t="n">
        <v>3.6</v>
      </c>
      <c r="K902" s="2" t="n">
        <v>4.1</v>
      </c>
      <c r="L902" s="2" t="inlineStr">
        <is>
          <t>Active</t>
        </is>
      </c>
    </row>
    <row r="903">
      <c r="A903" s="2" t="inlineStr">
        <is>
          <t>EMP00787</t>
        </is>
      </c>
      <c r="B903" s="2" t="inlineStr">
        <is>
          <t>HR</t>
        </is>
      </c>
      <c r="C903" s="2" t="inlineStr">
        <is>
          <t>HR Manager</t>
        </is>
      </c>
      <c r="D903" s="2" t="n">
        <v>26</v>
      </c>
      <c r="E903" s="2" t="n">
        <v>3.4</v>
      </c>
      <c r="F903" s="2" t="n">
        <v>723000</v>
      </c>
      <c r="G903" s="2" t="inlineStr">
        <is>
          <t>No</t>
        </is>
      </c>
      <c r="H903" s="2" t="n">
        <v>35</v>
      </c>
      <c r="I903" s="2" t="n">
        <v>1.8</v>
      </c>
      <c r="J903" s="2" t="n">
        <v>3.1</v>
      </c>
      <c r="K903" s="2" t="n">
        <v>2.8</v>
      </c>
      <c r="L903" s="2" t="inlineStr">
        <is>
          <t>Active</t>
        </is>
      </c>
    </row>
    <row r="904">
      <c r="A904" s="2" t="inlineStr">
        <is>
          <t>EMP01018</t>
        </is>
      </c>
      <c r="B904" s="2" t="inlineStr">
        <is>
          <t>Customer Support</t>
        </is>
      </c>
      <c r="C904" s="2" t="inlineStr">
        <is>
          <t>Support Manager</t>
        </is>
      </c>
      <c r="D904" s="2" t="n">
        <v>30</v>
      </c>
      <c r="E904" s="2" t="n">
        <v>2.5</v>
      </c>
      <c r="F904" s="2" t="n">
        <v>474000</v>
      </c>
      <c r="G904" s="2" t="inlineStr">
        <is>
          <t>Yes</t>
        </is>
      </c>
      <c r="H904" s="2" t="n">
        <v>21</v>
      </c>
      <c r="I904" s="2" t="n">
        <v>5</v>
      </c>
      <c r="J904" s="2" t="n">
        <v>3.1</v>
      </c>
      <c r="K904" s="2" t="n">
        <v>3.2</v>
      </c>
      <c r="L904" s="2" t="inlineStr">
        <is>
          <t>Active</t>
        </is>
      </c>
    </row>
    <row r="905">
      <c r="A905" s="2" t="inlineStr">
        <is>
          <t>EMP00885</t>
        </is>
      </c>
      <c r="B905" s="2" t="inlineStr">
        <is>
          <t>Sales</t>
        </is>
      </c>
      <c r="C905" s="2" t="inlineStr">
        <is>
          <t>Account Manager</t>
        </is>
      </c>
      <c r="D905" s="2" t="n">
        <v>37</v>
      </c>
      <c r="E905" s="2" t="n">
        <v>2.4</v>
      </c>
      <c r="F905" s="2" t="n">
        <v>766000</v>
      </c>
      <c r="G905" s="2" t="inlineStr">
        <is>
          <t>No</t>
        </is>
      </c>
      <c r="H905" s="2" t="n">
        <v>44</v>
      </c>
      <c r="I905" s="2" t="n">
        <v>1.6</v>
      </c>
      <c r="J905" s="2" t="n">
        <v>3.1</v>
      </c>
      <c r="K905" s="2" t="n">
        <v>3.9</v>
      </c>
      <c r="L905" s="2" t="inlineStr">
        <is>
          <t>Active</t>
        </is>
      </c>
    </row>
    <row r="906">
      <c r="A906" s="2" t="inlineStr">
        <is>
          <t>EMP00777</t>
        </is>
      </c>
      <c r="B906" s="2" t="inlineStr">
        <is>
          <t>Finance</t>
        </is>
      </c>
      <c r="C906" s="2" t="inlineStr">
        <is>
          <t>Accountant</t>
        </is>
      </c>
      <c r="D906" s="2" t="n">
        <v>21</v>
      </c>
      <c r="E906" s="2" t="n">
        <v>3.2</v>
      </c>
      <c r="F906" s="2" t="n">
        <v>895000</v>
      </c>
      <c r="G906" s="2" t="inlineStr">
        <is>
          <t>Yes</t>
        </is>
      </c>
      <c r="H906" s="2" t="n">
        <v>57</v>
      </c>
      <c r="I906" s="2" t="n">
        <v>5</v>
      </c>
      <c r="J906" s="2" t="n">
        <v>2.3</v>
      </c>
      <c r="K906" s="2" t="n">
        <v>2.6</v>
      </c>
      <c r="L906" s="2" t="inlineStr">
        <is>
          <t>Active</t>
        </is>
      </c>
    </row>
    <row r="907">
      <c r="A907" s="2" t="inlineStr">
        <is>
          <t>EMP00949</t>
        </is>
      </c>
      <c r="B907" s="2" t="inlineStr">
        <is>
          <t>Customer Support</t>
        </is>
      </c>
      <c r="C907" s="2" t="inlineStr">
        <is>
          <t>Support Associate</t>
        </is>
      </c>
      <c r="D907" s="2" t="n">
        <v>34</v>
      </c>
      <c r="E907" s="2" t="n">
        <v>0.4</v>
      </c>
      <c r="F907" s="2" t="n">
        <v>493000</v>
      </c>
      <c r="G907" s="2" t="inlineStr">
        <is>
          <t>Yes</t>
        </is>
      </c>
      <c r="H907" s="2" t="n">
        <v>36</v>
      </c>
      <c r="I907" s="2" t="n">
        <v>2.3</v>
      </c>
      <c r="J907" s="2" t="n">
        <v>2.2</v>
      </c>
      <c r="K907" s="2" t="n">
        <v>3.4</v>
      </c>
      <c r="L907" s="2" t="inlineStr">
        <is>
          <t>Active</t>
        </is>
      </c>
    </row>
    <row r="908">
      <c r="A908" s="2" t="inlineStr">
        <is>
          <t>EMP00850</t>
        </is>
      </c>
      <c r="B908" s="2" t="inlineStr">
        <is>
          <t>Customer Support</t>
        </is>
      </c>
      <c r="C908" s="2" t="inlineStr">
        <is>
          <t>Support Lead</t>
        </is>
      </c>
      <c r="D908" s="2" t="n">
        <v>43</v>
      </c>
      <c r="E908" s="2" t="n">
        <v>0.9</v>
      </c>
      <c r="F908" s="2" t="n">
        <v>502000</v>
      </c>
      <c r="G908" s="2" t="inlineStr">
        <is>
          <t>No</t>
        </is>
      </c>
      <c r="H908" s="2" t="n">
        <v>13</v>
      </c>
      <c r="I908" s="2" t="n">
        <v>3.5</v>
      </c>
      <c r="J908" s="2" t="n">
        <v>1.3</v>
      </c>
      <c r="K908" s="2" t="n">
        <v>4</v>
      </c>
      <c r="L908" s="2" t="inlineStr">
        <is>
          <t>Active</t>
        </is>
      </c>
    </row>
    <row r="909">
      <c r="A909" s="2" t="inlineStr">
        <is>
          <t>EMP00895</t>
        </is>
      </c>
      <c r="B909" s="2" t="inlineStr">
        <is>
          <t>HR</t>
        </is>
      </c>
      <c r="C909" s="2" t="inlineStr">
        <is>
          <t>HR Generalist</t>
        </is>
      </c>
      <c r="D909" s="2" t="n">
        <v>37</v>
      </c>
      <c r="E909" s="2" t="n">
        <v>7.5</v>
      </c>
      <c r="F909" s="2" t="n">
        <v>724000</v>
      </c>
      <c r="G909" s="2" t="inlineStr">
        <is>
          <t>No</t>
        </is>
      </c>
      <c r="H909" s="2" t="n">
        <v>50</v>
      </c>
      <c r="I909" s="2" t="n">
        <v>2.5</v>
      </c>
      <c r="J909" s="2" t="n">
        <v>2.3</v>
      </c>
      <c r="K909" s="2" t="n">
        <v>3.2</v>
      </c>
      <c r="L909" s="2" t="inlineStr">
        <is>
          <t>Active</t>
        </is>
      </c>
    </row>
    <row r="910">
      <c r="A910" s="2" t="inlineStr">
        <is>
          <t>EMP00228</t>
        </is>
      </c>
      <c r="B910" s="2" t="inlineStr">
        <is>
          <t>Operations</t>
        </is>
      </c>
      <c r="C910" s="2" t="inlineStr">
        <is>
          <t>Ops Analyst</t>
        </is>
      </c>
      <c r="D910" s="2" t="n">
        <v>33</v>
      </c>
      <c r="E910" s="2" t="n">
        <v>1.1</v>
      </c>
      <c r="F910" s="2" t="n">
        <v>672000</v>
      </c>
      <c r="G910" s="2" t="inlineStr">
        <is>
          <t>No</t>
        </is>
      </c>
      <c r="H910" s="2" t="n">
        <v>25</v>
      </c>
      <c r="I910" s="2" t="n">
        <v>3.5</v>
      </c>
      <c r="J910" s="2" t="n">
        <v>3.2</v>
      </c>
      <c r="K910" s="2" t="n">
        <v>3.3</v>
      </c>
      <c r="L910" s="2" t="inlineStr">
        <is>
          <t>Active</t>
        </is>
      </c>
    </row>
    <row r="911">
      <c r="A911" s="2" t="inlineStr">
        <is>
          <t>EMP01142</t>
        </is>
      </c>
      <c r="B911" s="2" t="inlineStr">
        <is>
          <t>HR</t>
        </is>
      </c>
      <c r="C911" s="2" t="inlineStr">
        <is>
          <t>Recruiter</t>
        </is>
      </c>
      <c r="D911" s="2" t="n">
        <v>30</v>
      </c>
      <c r="E911" s="2" t="n">
        <v>3.4</v>
      </c>
      <c r="F911" s="2" t="n">
        <v>759000</v>
      </c>
      <c r="G911" s="2" t="inlineStr">
        <is>
          <t>No</t>
        </is>
      </c>
      <c r="H911" s="2" t="n">
        <v>2</v>
      </c>
      <c r="I911" s="2" t="n">
        <v>2.7</v>
      </c>
      <c r="J911" s="2" t="n">
        <v>3.4</v>
      </c>
      <c r="K911" s="2" t="n">
        <v>3.4</v>
      </c>
      <c r="L911" s="2" t="inlineStr">
        <is>
          <t>Active</t>
        </is>
      </c>
    </row>
    <row r="912">
      <c r="A912" s="2" t="inlineStr">
        <is>
          <t>EMP00302</t>
        </is>
      </c>
      <c r="B912" s="2" t="inlineStr">
        <is>
          <t>Sales</t>
        </is>
      </c>
      <c r="C912" s="2" t="inlineStr">
        <is>
          <t>Sales Manager</t>
        </is>
      </c>
      <c r="D912" s="2" t="n">
        <v>39</v>
      </c>
      <c r="E912" s="2" t="n">
        <v>4.3</v>
      </c>
      <c r="F912" s="2" t="n">
        <v>713000</v>
      </c>
      <c r="G912" s="2" t="inlineStr">
        <is>
          <t>No</t>
        </is>
      </c>
      <c r="H912" s="2" t="n">
        <v>39</v>
      </c>
      <c r="I912" s="2" t="n">
        <v>3.1</v>
      </c>
      <c r="J912" s="2" t="n">
        <v>3.5</v>
      </c>
      <c r="K912" s="2" t="n">
        <v>2.6</v>
      </c>
      <c r="L912" s="2" t="inlineStr">
        <is>
          <t>Active</t>
        </is>
      </c>
    </row>
    <row r="913">
      <c r="A913" s="2" t="inlineStr">
        <is>
          <t>EMP00855</t>
        </is>
      </c>
      <c r="B913" s="2" t="inlineStr">
        <is>
          <t>Sales</t>
        </is>
      </c>
      <c r="C913" s="2" t="inlineStr">
        <is>
          <t>Sales Executive</t>
        </is>
      </c>
      <c r="D913" s="2" t="n">
        <v>24</v>
      </c>
      <c r="E913" s="2" t="n">
        <v>5.5</v>
      </c>
      <c r="F913" s="2" t="n">
        <v>960000</v>
      </c>
      <c r="G913" s="2" t="inlineStr">
        <is>
          <t>Yes</t>
        </is>
      </c>
      <c r="H913" s="2" t="n">
        <v>23</v>
      </c>
      <c r="I913" s="2" t="n">
        <v>4.4</v>
      </c>
      <c r="J913" s="2" t="n">
        <v>2</v>
      </c>
      <c r="K913" s="2" t="n">
        <v>3.8</v>
      </c>
      <c r="L913" s="2" t="inlineStr">
        <is>
          <t>Active</t>
        </is>
      </c>
    </row>
    <row r="914">
      <c r="A914" s="2" t="inlineStr">
        <is>
          <t>EMP00276</t>
        </is>
      </c>
      <c r="B914" s="2" t="inlineStr">
        <is>
          <t>Engineering</t>
        </is>
      </c>
      <c r="C914" s="2" t="inlineStr">
        <is>
          <t>Senior Engineer</t>
        </is>
      </c>
      <c r="D914" s="2" t="n">
        <v>29</v>
      </c>
      <c r="E914" s="2" t="n">
        <v>0.2</v>
      </c>
      <c r="F914" s="2" t="n">
        <v>1030000</v>
      </c>
      <c r="G914" s="2" t="inlineStr">
        <is>
          <t>No</t>
        </is>
      </c>
      <c r="H914" s="2" t="n">
        <v>59</v>
      </c>
      <c r="I914" s="2" t="n">
        <v>2.5</v>
      </c>
      <c r="J914" s="2" t="n">
        <v>3.5</v>
      </c>
      <c r="K914" s="2" t="n">
        <v>3.1</v>
      </c>
      <c r="L914" s="2" t="inlineStr">
        <is>
          <t>Resigned</t>
        </is>
      </c>
    </row>
    <row r="915">
      <c r="A915" s="2" t="inlineStr">
        <is>
          <t>EMP00127</t>
        </is>
      </c>
      <c r="B915" s="2" t="inlineStr">
        <is>
          <t>Engineering</t>
        </is>
      </c>
      <c r="C915" s="2" t="inlineStr">
        <is>
          <t>Senior Engineer</t>
        </is>
      </c>
      <c r="D915" s="2" t="n">
        <v>51</v>
      </c>
      <c r="E915" s="2" t="n">
        <v>1.7</v>
      </c>
      <c r="F915" s="2" t="n">
        <v>972000</v>
      </c>
      <c r="G915" s="2" t="inlineStr">
        <is>
          <t>Yes</t>
        </is>
      </c>
      <c r="H915" s="2" t="n">
        <v>43</v>
      </c>
      <c r="I915" s="2" t="n">
        <v>3.2</v>
      </c>
      <c r="J915" s="2" t="n">
        <v>2.7</v>
      </c>
      <c r="K915" s="2" t="n">
        <v>2.9</v>
      </c>
      <c r="L915" s="2" t="inlineStr">
        <is>
          <t>Resigned</t>
        </is>
      </c>
    </row>
    <row r="916">
      <c r="A916" s="2" t="inlineStr">
        <is>
          <t>EMP00406</t>
        </is>
      </c>
      <c r="B916" s="2" t="inlineStr">
        <is>
          <t>Customer Support</t>
        </is>
      </c>
      <c r="C916" s="2" t="inlineStr">
        <is>
          <t>Support Manager</t>
        </is>
      </c>
      <c r="D916" s="2" t="n">
        <v>39</v>
      </c>
      <c r="E916" s="2" t="n">
        <v>3.9</v>
      </c>
      <c r="F916" s="2" t="n">
        <v>609000</v>
      </c>
      <c r="G916" s="2" t="inlineStr">
        <is>
          <t>No</t>
        </is>
      </c>
      <c r="H916" s="2" t="n">
        <v>57</v>
      </c>
      <c r="I916" s="2" t="n">
        <v>4.5</v>
      </c>
      <c r="J916" s="2" t="n">
        <v>3.5</v>
      </c>
      <c r="K916" s="2" t="n">
        <v>2.6</v>
      </c>
      <c r="L916" s="2" t="inlineStr">
        <is>
          <t>Resigned</t>
        </is>
      </c>
    </row>
    <row r="917">
      <c r="A917" s="2" t="inlineStr">
        <is>
          <t>EMP00776</t>
        </is>
      </c>
      <c r="B917" s="2" t="inlineStr">
        <is>
          <t>Customer Support</t>
        </is>
      </c>
      <c r="C917" s="2" t="inlineStr">
        <is>
          <t>Support Lead</t>
        </is>
      </c>
      <c r="D917" s="2" t="n">
        <v>36</v>
      </c>
      <c r="E917" s="2" t="n">
        <v>3.7</v>
      </c>
      <c r="F917" s="2" t="n">
        <v>597000</v>
      </c>
      <c r="G917" s="2" t="inlineStr">
        <is>
          <t>No</t>
        </is>
      </c>
      <c r="H917" s="2" t="n">
        <v>17</v>
      </c>
      <c r="I917" s="2" t="n">
        <v>3.1</v>
      </c>
      <c r="J917" s="2" t="n">
        <v>2.8</v>
      </c>
      <c r="K917" s="2" t="n">
        <v>3.5</v>
      </c>
      <c r="L917" s="2" t="inlineStr">
        <is>
          <t>Active</t>
        </is>
      </c>
    </row>
    <row r="918">
      <c r="A918" s="2" t="inlineStr">
        <is>
          <t>EMP00822</t>
        </is>
      </c>
      <c r="B918" s="2" t="inlineStr">
        <is>
          <t>Operations</t>
        </is>
      </c>
      <c r="C918" s="2" t="inlineStr">
        <is>
          <t>Ops Analyst</t>
        </is>
      </c>
      <c r="D918" s="2" t="n">
        <v>28</v>
      </c>
      <c r="E918" s="2" t="n">
        <v>1.1</v>
      </c>
      <c r="F918" s="2" t="n">
        <v>727000</v>
      </c>
      <c r="G918" s="2" t="inlineStr">
        <is>
          <t>Yes</t>
        </is>
      </c>
      <c r="H918" s="2" t="n">
        <v>3</v>
      </c>
      <c r="I918" s="2" t="n">
        <v>3.9</v>
      </c>
      <c r="J918" s="2" t="n">
        <v>2</v>
      </c>
      <c r="K918" s="2" t="n">
        <v>2.9</v>
      </c>
      <c r="L918" s="2" t="inlineStr">
        <is>
          <t>Active</t>
        </is>
      </c>
    </row>
    <row r="919">
      <c r="A919" s="2" t="inlineStr">
        <is>
          <t>EMP00712</t>
        </is>
      </c>
      <c r="B919" s="2" t="inlineStr">
        <is>
          <t>Finance</t>
        </is>
      </c>
      <c r="C919" s="2" t="inlineStr">
        <is>
          <t>Finance Manager</t>
        </is>
      </c>
      <c r="D919" s="2" t="n">
        <v>26</v>
      </c>
      <c r="E919" s="2" t="n">
        <v>2.5</v>
      </c>
      <c r="F919" s="2" t="n">
        <v>789000</v>
      </c>
      <c r="G919" s="2" t="inlineStr">
        <is>
          <t>Yes</t>
        </is>
      </c>
      <c r="H919" s="2" t="n">
        <v>58</v>
      </c>
      <c r="I919" s="2" t="n">
        <v>2.8</v>
      </c>
      <c r="J919" s="2" t="n">
        <v>3.1</v>
      </c>
      <c r="K919" s="2" t="n">
        <v>3.3</v>
      </c>
      <c r="L919" s="2" t="inlineStr">
        <is>
          <t>Active</t>
        </is>
      </c>
    </row>
    <row r="920">
      <c r="A920" s="2" t="inlineStr">
        <is>
          <t>EMP00766</t>
        </is>
      </c>
      <c r="B920" s="2" t="inlineStr">
        <is>
          <t>Sales</t>
        </is>
      </c>
      <c r="C920" s="2" t="inlineStr">
        <is>
          <t>Account Manager</t>
        </is>
      </c>
      <c r="D920" s="2" t="n">
        <v>46</v>
      </c>
      <c r="E920" s="2" t="n">
        <v>4.4</v>
      </c>
      <c r="F920" s="2" t="n">
        <v>878000</v>
      </c>
      <c r="G920" s="2" t="inlineStr">
        <is>
          <t>No</t>
        </is>
      </c>
      <c r="H920" s="2" t="n">
        <v>28</v>
      </c>
      <c r="I920" s="2" t="n">
        <v>3.8</v>
      </c>
      <c r="J920" s="2" t="n">
        <v>2.8</v>
      </c>
      <c r="K920" s="2" t="n">
        <v>3</v>
      </c>
      <c r="L920" s="2" t="inlineStr">
        <is>
          <t>Active</t>
        </is>
      </c>
    </row>
    <row r="921">
      <c r="A921" s="2" t="inlineStr">
        <is>
          <t>EMP00684</t>
        </is>
      </c>
      <c r="B921" s="2" t="inlineStr">
        <is>
          <t>Operations</t>
        </is>
      </c>
      <c r="C921" s="2" t="inlineStr">
        <is>
          <t>Ops Analyst</t>
        </is>
      </c>
      <c r="D921" s="2" t="n">
        <v>33</v>
      </c>
      <c r="E921" s="2" t="n">
        <v>17</v>
      </c>
      <c r="F921" s="2" t="n">
        <v>956000</v>
      </c>
      <c r="G921" s="2" t="inlineStr">
        <is>
          <t>No</t>
        </is>
      </c>
      <c r="H921" s="2" t="n">
        <v>9</v>
      </c>
      <c r="I921" s="2" t="n">
        <v>4.1</v>
      </c>
      <c r="J921" s="2" t="n">
        <v>3</v>
      </c>
      <c r="K921" s="2" t="n">
        <v>3.3</v>
      </c>
      <c r="L921" s="2" t="inlineStr">
        <is>
          <t>Active</t>
        </is>
      </c>
    </row>
    <row r="922">
      <c r="A922" s="2" t="inlineStr">
        <is>
          <t>EMP00750</t>
        </is>
      </c>
      <c r="B922" s="2" t="inlineStr">
        <is>
          <t>Customer Support</t>
        </is>
      </c>
      <c r="C922" s="2" t="inlineStr">
        <is>
          <t>Support Associate</t>
        </is>
      </c>
      <c r="D922" s="2" t="n">
        <v>40</v>
      </c>
      <c r="E922" s="2" t="n">
        <v>2.3</v>
      </c>
      <c r="F922" s="2" t="n">
        <v>505000</v>
      </c>
      <c r="G922" s="2" t="inlineStr">
        <is>
          <t>No</t>
        </is>
      </c>
      <c r="H922" s="2" t="n">
        <v>7</v>
      </c>
      <c r="I922" s="2" t="n">
        <v>5</v>
      </c>
      <c r="J922" s="2" t="n">
        <v>3.2</v>
      </c>
      <c r="K922" s="2" t="n">
        <v>2.8</v>
      </c>
      <c r="L922" s="2" t="inlineStr">
        <is>
          <t>Active</t>
        </is>
      </c>
    </row>
    <row r="923">
      <c r="A923" s="2" t="inlineStr">
        <is>
          <t>EMP01145</t>
        </is>
      </c>
      <c r="B923" s="2" t="inlineStr">
        <is>
          <t>Engineering</t>
        </is>
      </c>
      <c r="C923" s="2" t="inlineStr">
        <is>
          <t>Software Engineer</t>
        </is>
      </c>
      <c r="D923" s="2" t="n">
        <v>48</v>
      </c>
      <c r="E923" s="2" t="n">
        <v>2.5</v>
      </c>
      <c r="F923" s="2" t="n">
        <v>1099000</v>
      </c>
      <c r="G923" s="2" t="inlineStr">
        <is>
          <t>Yes</t>
        </is>
      </c>
      <c r="H923" s="2" t="n">
        <v>35</v>
      </c>
      <c r="I923" s="2" t="n">
        <v>3.1</v>
      </c>
      <c r="J923" s="2" t="n">
        <v>3.4</v>
      </c>
      <c r="K923" s="2" t="n">
        <v>2.7</v>
      </c>
      <c r="L923" s="2" t="inlineStr">
        <is>
          <t>Resigned</t>
        </is>
      </c>
    </row>
    <row r="924">
      <c r="A924" s="2" t="inlineStr">
        <is>
          <t>EMP00037</t>
        </is>
      </c>
      <c r="B924" s="2" t="inlineStr">
        <is>
          <t>Sales</t>
        </is>
      </c>
      <c r="C924" s="2" t="inlineStr">
        <is>
          <t>Account Manager</t>
        </is>
      </c>
      <c r="D924" s="2" t="n">
        <v>39</v>
      </c>
      <c r="E924" s="2" t="n">
        <v>4.1</v>
      </c>
      <c r="F924" s="2" t="n">
        <v>924000</v>
      </c>
      <c r="G924" s="2" t="inlineStr">
        <is>
          <t>No</t>
        </is>
      </c>
      <c r="H924" s="2" t="n">
        <v>14</v>
      </c>
      <c r="I924" s="2" t="n">
        <v>2.9</v>
      </c>
      <c r="J924" s="2" t="n">
        <v>2.7</v>
      </c>
      <c r="K924" s="2" t="n">
        <v>3.7</v>
      </c>
      <c r="L924" s="2" t="inlineStr">
        <is>
          <t>Resigned</t>
        </is>
      </c>
    </row>
    <row r="925">
      <c r="A925" s="2" t="inlineStr">
        <is>
          <t>EMP00304</t>
        </is>
      </c>
      <c r="B925" s="2" t="inlineStr">
        <is>
          <t>Operations</t>
        </is>
      </c>
      <c r="C925" s="2" t="inlineStr">
        <is>
          <t>Process Lead</t>
        </is>
      </c>
      <c r="D925" s="2" t="n">
        <v>35</v>
      </c>
      <c r="E925" s="2" t="n">
        <v>2.4</v>
      </c>
      <c r="F925" s="2" t="n">
        <v>731000</v>
      </c>
      <c r="G925" s="2" t="inlineStr">
        <is>
          <t>No</t>
        </is>
      </c>
      <c r="H925" s="2" t="n">
        <v>14</v>
      </c>
      <c r="I925" s="2" t="n">
        <v>5</v>
      </c>
      <c r="J925" s="2" t="n">
        <v>2.7</v>
      </c>
      <c r="K925" s="2" t="n">
        <v>3.5</v>
      </c>
      <c r="L925" s="2" t="inlineStr">
        <is>
          <t>Active</t>
        </is>
      </c>
    </row>
    <row r="926">
      <c r="A926" s="2" t="inlineStr">
        <is>
          <t>EMP00268</t>
        </is>
      </c>
      <c r="B926" s="2" t="inlineStr">
        <is>
          <t>Sales</t>
        </is>
      </c>
      <c r="C926" s="2" t="inlineStr">
        <is>
          <t>Sales Manager</t>
        </is>
      </c>
      <c r="D926" s="2" t="n">
        <v>48</v>
      </c>
      <c r="E926" s="2" t="n">
        <v>7.1</v>
      </c>
      <c r="F926" s="2" t="n">
        <v>941000</v>
      </c>
      <c r="G926" s="2" t="inlineStr">
        <is>
          <t>Yes</t>
        </is>
      </c>
      <c r="H926" s="2" t="n">
        <v>28</v>
      </c>
      <c r="I926" s="2" t="n">
        <v>1.7</v>
      </c>
      <c r="J926" s="2" t="n">
        <v>2.5</v>
      </c>
      <c r="K926" s="2" t="n">
        <v>4.4</v>
      </c>
      <c r="L926" s="2" t="inlineStr">
        <is>
          <t>Active</t>
        </is>
      </c>
    </row>
    <row r="927">
      <c r="A927" s="2" t="inlineStr">
        <is>
          <t>EMP00835</t>
        </is>
      </c>
      <c r="B927" s="2" t="inlineStr">
        <is>
          <t>Finance</t>
        </is>
      </c>
      <c r="C927" s="2" t="inlineStr">
        <is>
          <t>Accountant</t>
        </is>
      </c>
      <c r="D927" s="2" t="n">
        <v>33</v>
      </c>
      <c r="E927" s="2" t="n">
        <v>6.4</v>
      </c>
      <c r="F927" s="2" t="n">
        <v>971000</v>
      </c>
      <c r="G927" s="2" t="inlineStr">
        <is>
          <t>No</t>
        </is>
      </c>
      <c r="H927" s="2" t="n">
        <v>1</v>
      </c>
      <c r="I927" s="2" t="n">
        <v>4.3</v>
      </c>
      <c r="J927" s="2" t="n">
        <v>2.9</v>
      </c>
      <c r="K927" s="2" t="n">
        <v>3.9</v>
      </c>
      <c r="L927" s="2" t="inlineStr">
        <is>
          <t>Active</t>
        </is>
      </c>
    </row>
    <row r="928">
      <c r="A928" s="2" t="inlineStr">
        <is>
          <t>EMP00534</t>
        </is>
      </c>
      <c r="B928" s="2" t="inlineStr">
        <is>
          <t>Finance</t>
        </is>
      </c>
      <c r="C928" s="2" t="inlineStr">
        <is>
          <t>Accountant</t>
        </is>
      </c>
      <c r="D928" s="2" t="n">
        <v>30</v>
      </c>
      <c r="E928" s="2" t="n">
        <v>3.2</v>
      </c>
      <c r="F928" s="2" t="n">
        <v>1027000</v>
      </c>
      <c r="G928" s="2" t="inlineStr">
        <is>
          <t>No</t>
        </is>
      </c>
      <c r="H928" s="2" t="n">
        <v>38</v>
      </c>
      <c r="I928" s="2" t="n">
        <v>1.6</v>
      </c>
      <c r="J928" s="2" t="n">
        <v>4.4</v>
      </c>
      <c r="K928" s="2" t="n">
        <v>3</v>
      </c>
      <c r="L928" s="2" t="inlineStr">
        <is>
          <t>Active</t>
        </is>
      </c>
    </row>
    <row r="929">
      <c r="A929" s="2" t="inlineStr">
        <is>
          <t>EMP00546</t>
        </is>
      </c>
      <c r="B929" s="2" t="inlineStr">
        <is>
          <t>Operations</t>
        </is>
      </c>
      <c r="C929" s="2" t="inlineStr">
        <is>
          <t>Ops Analyst</t>
        </is>
      </c>
      <c r="D929" s="2" t="n">
        <v>38</v>
      </c>
      <c r="E929" s="2" t="n">
        <v>17.2</v>
      </c>
      <c r="F929" s="2" t="n">
        <v>827000</v>
      </c>
      <c r="G929" s="2" t="inlineStr">
        <is>
          <t>Yes</t>
        </is>
      </c>
      <c r="H929" s="2" t="n">
        <v>31</v>
      </c>
      <c r="I929" s="2" t="n">
        <v>2.3</v>
      </c>
      <c r="J929" s="2" t="n">
        <v>1.6</v>
      </c>
      <c r="K929" s="2" t="n">
        <v>3.6</v>
      </c>
      <c r="L929" s="2" t="inlineStr">
        <is>
          <t>Active</t>
        </is>
      </c>
    </row>
    <row r="930">
      <c r="A930" s="2" t="inlineStr">
        <is>
          <t>EMP00213</t>
        </is>
      </c>
      <c r="B930" s="2" t="inlineStr">
        <is>
          <t>Sales</t>
        </is>
      </c>
      <c r="C930" s="2" t="inlineStr">
        <is>
          <t>Sales Executive</t>
        </is>
      </c>
      <c r="D930" s="2" t="n">
        <v>27</v>
      </c>
      <c r="E930" s="2" t="n">
        <v>3.4</v>
      </c>
      <c r="F930" s="2" t="n">
        <v>681000</v>
      </c>
      <c r="G930" s="2" t="inlineStr">
        <is>
          <t>No</t>
        </is>
      </c>
      <c r="H930" s="2" t="n">
        <v>31</v>
      </c>
      <c r="I930" s="2" t="n">
        <v>3.8</v>
      </c>
      <c r="J930" s="2" t="n">
        <v>3.3</v>
      </c>
      <c r="K930" s="2" t="n">
        <v>3.9</v>
      </c>
      <c r="L930" s="2" t="inlineStr">
        <is>
          <t>Resigned</t>
        </is>
      </c>
    </row>
    <row r="931">
      <c r="A931" s="2" t="inlineStr">
        <is>
          <t>EMP00897</t>
        </is>
      </c>
      <c r="B931" s="2" t="inlineStr">
        <is>
          <t>Engineering</t>
        </is>
      </c>
      <c r="C931" s="2" t="inlineStr">
        <is>
          <t>Software Engineer</t>
        </is>
      </c>
      <c r="D931" s="2" t="n">
        <v>36</v>
      </c>
      <c r="E931" s="2" t="n">
        <v>4.3</v>
      </c>
      <c r="F931" s="2" t="n">
        <v>1361000</v>
      </c>
      <c r="G931" s="2" t="inlineStr">
        <is>
          <t>No</t>
        </is>
      </c>
      <c r="H931" s="2" t="n">
        <v>25</v>
      </c>
      <c r="I931" s="2" t="n">
        <v>5</v>
      </c>
      <c r="J931" s="2" t="n">
        <v>2</v>
      </c>
      <c r="K931" s="2" t="n">
        <v>2.7</v>
      </c>
      <c r="L931" s="2" t="inlineStr">
        <is>
          <t>Active</t>
        </is>
      </c>
    </row>
    <row r="932">
      <c r="A932" s="2" t="inlineStr">
        <is>
          <t>EMP00469</t>
        </is>
      </c>
      <c r="B932" s="2" t="inlineStr">
        <is>
          <t>Sales</t>
        </is>
      </c>
      <c r="C932" s="2" t="inlineStr">
        <is>
          <t>Sales Manager</t>
        </is>
      </c>
      <c r="D932" s="2" t="n">
        <v>33</v>
      </c>
      <c r="E932" s="2" t="n">
        <v>2.7</v>
      </c>
      <c r="F932" s="2" t="n">
        <v>678000</v>
      </c>
      <c r="G932" s="2" t="inlineStr">
        <is>
          <t>No</t>
        </is>
      </c>
      <c r="H932" s="2" t="n">
        <v>46</v>
      </c>
      <c r="I932" s="2" t="n">
        <v>1.8</v>
      </c>
      <c r="J932" s="2" t="n">
        <v>2.6</v>
      </c>
      <c r="K932" s="2" t="n">
        <v>2.7</v>
      </c>
      <c r="L932" s="2" t="inlineStr">
        <is>
          <t>Active</t>
        </is>
      </c>
    </row>
    <row r="933">
      <c r="A933" s="2" t="inlineStr">
        <is>
          <t>EMP00199</t>
        </is>
      </c>
      <c r="B933" s="2" t="inlineStr">
        <is>
          <t>Sales</t>
        </is>
      </c>
      <c r="C933" s="2" t="inlineStr">
        <is>
          <t>Sales Manager</t>
        </is>
      </c>
      <c r="D933" s="2" t="n">
        <v>26</v>
      </c>
      <c r="E933" s="2" t="n">
        <v>7.2</v>
      </c>
      <c r="F933" s="2" t="n">
        <v>807000</v>
      </c>
      <c r="G933" s="2" t="inlineStr">
        <is>
          <t>No</t>
        </is>
      </c>
      <c r="H933" s="2" t="n">
        <v>9</v>
      </c>
      <c r="I933" s="2" t="n">
        <v>3.4</v>
      </c>
      <c r="J933" s="2" t="n">
        <v>3.5</v>
      </c>
      <c r="K933" s="2" t="n">
        <v>2.6</v>
      </c>
      <c r="L933" s="2" t="inlineStr">
        <is>
          <t>Active</t>
        </is>
      </c>
    </row>
    <row r="934">
      <c r="A934" s="2" t="inlineStr">
        <is>
          <t>EMP01048</t>
        </is>
      </c>
      <c r="B934" s="2" t="inlineStr">
        <is>
          <t>HR</t>
        </is>
      </c>
      <c r="C934" s="2" t="inlineStr">
        <is>
          <t>Recruiter</t>
        </is>
      </c>
      <c r="D934" s="2" t="n">
        <v>37</v>
      </c>
      <c r="E934" s="2" t="n">
        <v>0.9</v>
      </c>
      <c r="F934" s="2" t="n">
        <v>518000</v>
      </c>
      <c r="G934" s="2" t="inlineStr">
        <is>
          <t>Yes</t>
        </is>
      </c>
      <c r="H934" s="2" t="n">
        <v>39</v>
      </c>
      <c r="I934" s="2" t="n">
        <v>2.5</v>
      </c>
      <c r="J934" s="2" t="n">
        <v>2.4</v>
      </c>
      <c r="K934" s="2" t="n">
        <v>3.8</v>
      </c>
      <c r="L934" s="2" t="inlineStr">
        <is>
          <t>Resigned</t>
        </is>
      </c>
    </row>
    <row r="935">
      <c r="A935" s="2" t="inlineStr">
        <is>
          <t>EMP00868</t>
        </is>
      </c>
      <c r="B935" s="2" t="inlineStr">
        <is>
          <t>HR</t>
        </is>
      </c>
      <c r="C935" s="2" t="inlineStr">
        <is>
          <t>HR Manager</t>
        </is>
      </c>
      <c r="D935" s="2" t="n">
        <v>35</v>
      </c>
      <c r="E935" s="2" t="n">
        <v>4.4</v>
      </c>
      <c r="F935" s="2" t="n">
        <v>774000</v>
      </c>
      <c r="G935" s="2" t="inlineStr">
        <is>
          <t>Yes</t>
        </is>
      </c>
      <c r="H935" s="2" t="n">
        <v>22</v>
      </c>
      <c r="I935" s="2" t="n">
        <v>5</v>
      </c>
      <c r="J935" s="2" t="n">
        <v>4.7</v>
      </c>
      <c r="K935" s="2" t="n">
        <v>3</v>
      </c>
      <c r="L935" s="2" t="inlineStr">
        <is>
          <t>Active</t>
        </is>
      </c>
    </row>
    <row r="936">
      <c r="A936" s="2" t="inlineStr">
        <is>
          <t>EMP00673</t>
        </is>
      </c>
      <c r="B936" s="2" t="inlineStr">
        <is>
          <t>Customer Support</t>
        </is>
      </c>
      <c r="C936" s="2" t="inlineStr">
        <is>
          <t>Support Associate</t>
        </is>
      </c>
      <c r="D936" s="2" t="n">
        <v>21</v>
      </c>
      <c r="E936" s="2" t="n">
        <v>0.9</v>
      </c>
      <c r="F936" s="2" t="n">
        <v>553000</v>
      </c>
      <c r="G936" s="2" t="inlineStr">
        <is>
          <t>No</t>
        </is>
      </c>
      <c r="H936" s="2" t="n">
        <v>30</v>
      </c>
      <c r="I936" s="2" t="n">
        <v>2.9</v>
      </c>
      <c r="J936" s="2" t="n">
        <v>2</v>
      </c>
      <c r="K936" s="2" t="n">
        <v>4.2</v>
      </c>
      <c r="L936" s="2" t="inlineStr">
        <is>
          <t>Active</t>
        </is>
      </c>
    </row>
    <row r="937">
      <c r="A937" s="2" t="inlineStr">
        <is>
          <t>EMP00528</t>
        </is>
      </c>
      <c r="B937" s="2" t="inlineStr">
        <is>
          <t>Customer Support</t>
        </is>
      </c>
      <c r="C937" s="2" t="inlineStr">
        <is>
          <t>Support Associate</t>
        </is>
      </c>
      <c r="D937" s="2" t="n">
        <v>31</v>
      </c>
      <c r="E937" s="2" t="n">
        <v>10.1</v>
      </c>
      <c r="F937" s="2" t="n">
        <v>718000</v>
      </c>
      <c r="G937" s="2" t="inlineStr">
        <is>
          <t>No</t>
        </is>
      </c>
      <c r="H937" s="2" t="n">
        <v>33</v>
      </c>
      <c r="I937" s="2" t="n">
        <v>2.4</v>
      </c>
      <c r="J937" s="2" t="n">
        <v>2.6</v>
      </c>
      <c r="K937" s="2" t="n">
        <v>2.9</v>
      </c>
      <c r="L937" s="2" t="inlineStr">
        <is>
          <t>Active</t>
        </is>
      </c>
    </row>
    <row r="938">
      <c r="A938" s="2" t="inlineStr">
        <is>
          <t>EMP00676</t>
        </is>
      </c>
      <c r="B938" s="2" t="inlineStr">
        <is>
          <t>Engineering</t>
        </is>
      </c>
      <c r="C938" s="2" t="inlineStr">
        <is>
          <t>Engineering Manager</t>
        </is>
      </c>
      <c r="D938" s="2" t="n">
        <v>24</v>
      </c>
      <c r="E938" s="2" t="n">
        <v>4.5</v>
      </c>
      <c r="F938" s="2" t="n">
        <v>1289000</v>
      </c>
      <c r="G938" s="2" t="inlineStr">
        <is>
          <t>No</t>
        </is>
      </c>
      <c r="H938" s="2" t="n">
        <v>5</v>
      </c>
      <c r="I938" s="2" t="n">
        <v>1.5</v>
      </c>
      <c r="J938" s="2" t="n">
        <v>4.3</v>
      </c>
      <c r="K938" s="2" t="n">
        <v>3.9</v>
      </c>
      <c r="L938" s="2" t="inlineStr">
        <is>
          <t>Active</t>
        </is>
      </c>
    </row>
    <row r="939">
      <c r="A939" s="2" t="inlineStr">
        <is>
          <t>EMP01074</t>
        </is>
      </c>
      <c r="B939" s="2" t="inlineStr">
        <is>
          <t>Customer Support</t>
        </is>
      </c>
      <c r="C939" s="2" t="inlineStr">
        <is>
          <t>Support Manager</t>
        </is>
      </c>
      <c r="D939" s="2" t="n">
        <v>40</v>
      </c>
      <c r="E939" s="2" t="n">
        <v>1.6</v>
      </c>
      <c r="F939" s="2" t="n">
        <v>475000</v>
      </c>
      <c r="G939" s="2" t="inlineStr">
        <is>
          <t>Yes</t>
        </is>
      </c>
      <c r="H939" s="2" t="n">
        <v>27</v>
      </c>
      <c r="I939" s="2" t="n">
        <v>4.2</v>
      </c>
      <c r="J939" s="2" t="n">
        <v>3.2</v>
      </c>
      <c r="K939" s="2" t="n">
        <v>4.1</v>
      </c>
      <c r="L939" s="2" t="inlineStr">
        <is>
          <t>Resigned</t>
        </is>
      </c>
    </row>
    <row r="940">
      <c r="A940" s="2" t="inlineStr">
        <is>
          <t>EMP00815</t>
        </is>
      </c>
      <c r="B940" s="2" t="inlineStr">
        <is>
          <t>Sales</t>
        </is>
      </c>
      <c r="C940" s="2" t="inlineStr">
        <is>
          <t>Account Manager</t>
        </is>
      </c>
      <c r="D940" s="2" t="n">
        <v>42</v>
      </c>
      <c r="E940" s="2" t="n">
        <v>0.7</v>
      </c>
      <c r="F940" s="2" t="n">
        <v>697000</v>
      </c>
      <c r="G940" s="2" t="inlineStr">
        <is>
          <t>Yes</t>
        </is>
      </c>
      <c r="H940" s="2" t="n">
        <v>6</v>
      </c>
      <c r="I940" s="2" t="n">
        <v>1.6</v>
      </c>
      <c r="J940" s="2" t="n">
        <v>2.4</v>
      </c>
      <c r="K940" s="2" t="n">
        <v>2.9</v>
      </c>
      <c r="L940" s="2" t="inlineStr">
        <is>
          <t>Active</t>
        </is>
      </c>
    </row>
    <row r="941">
      <c r="A941" s="2" t="inlineStr">
        <is>
          <t>EMP00242</t>
        </is>
      </c>
      <c r="B941" s="2" t="inlineStr">
        <is>
          <t>HR</t>
        </is>
      </c>
      <c r="C941" s="2" t="inlineStr">
        <is>
          <t>Recruiter</t>
        </is>
      </c>
      <c r="D941" s="2" t="n">
        <v>24</v>
      </c>
      <c r="E941" s="2" t="n">
        <v>4.9</v>
      </c>
      <c r="F941" s="2" t="n">
        <v>687000</v>
      </c>
      <c r="G941" s="2" t="inlineStr">
        <is>
          <t>No</t>
        </is>
      </c>
      <c r="H941" s="2" t="n">
        <v>36</v>
      </c>
      <c r="I941" s="2" t="n">
        <v>3.5</v>
      </c>
      <c r="J941" s="2" t="n">
        <v>3.3</v>
      </c>
      <c r="K941" s="2" t="n">
        <v>1.8</v>
      </c>
      <c r="L941" s="2" t="inlineStr">
        <is>
          <t>Active</t>
        </is>
      </c>
    </row>
    <row r="942">
      <c r="A942" s="2" t="inlineStr">
        <is>
          <t>EMP00343</t>
        </is>
      </c>
      <c r="B942" s="2" t="inlineStr">
        <is>
          <t>HR</t>
        </is>
      </c>
      <c r="C942" s="2" t="inlineStr">
        <is>
          <t>Recruiter</t>
        </is>
      </c>
      <c r="D942" s="2" t="n">
        <v>34</v>
      </c>
      <c r="E942" s="2" t="n">
        <v>0.9</v>
      </c>
      <c r="F942" s="2" t="n">
        <v>497000</v>
      </c>
      <c r="G942" s="2" t="inlineStr">
        <is>
          <t>No</t>
        </is>
      </c>
      <c r="H942" s="2" t="n">
        <v>42</v>
      </c>
      <c r="I942" s="2" t="n">
        <v>3.2</v>
      </c>
      <c r="J942" s="2" t="n">
        <v>3.3</v>
      </c>
      <c r="K942" s="2" t="n">
        <v>3.4</v>
      </c>
      <c r="L942" s="2" t="inlineStr">
        <is>
          <t>Active</t>
        </is>
      </c>
    </row>
    <row r="943">
      <c r="A943" s="2" t="inlineStr">
        <is>
          <t>EMP00550</t>
        </is>
      </c>
      <c r="B943" s="2" t="inlineStr">
        <is>
          <t>Operations</t>
        </is>
      </c>
      <c r="C943" s="2" t="inlineStr">
        <is>
          <t>Ops Manager</t>
        </is>
      </c>
      <c r="D943" s="2" t="n">
        <v>33</v>
      </c>
      <c r="E943" s="2" t="n">
        <v>1.7</v>
      </c>
      <c r="F943" s="2" t="n">
        <v>738000</v>
      </c>
      <c r="G943" s="2" t="inlineStr">
        <is>
          <t>Yes</t>
        </is>
      </c>
      <c r="H943" s="2" t="n">
        <v>24</v>
      </c>
      <c r="I943" s="2" t="n">
        <v>2.4</v>
      </c>
      <c r="J943" s="2" t="n">
        <v>2</v>
      </c>
      <c r="K943" s="2" t="n">
        <v>2</v>
      </c>
      <c r="L943" s="2" t="inlineStr">
        <is>
          <t>Active</t>
        </is>
      </c>
    </row>
    <row r="944">
      <c r="A944" s="2" t="inlineStr">
        <is>
          <t>EMP00387</t>
        </is>
      </c>
      <c r="B944" s="2" t="inlineStr">
        <is>
          <t>Finance</t>
        </is>
      </c>
      <c r="C944" s="2" t="inlineStr">
        <is>
          <t>Financial Analyst</t>
        </is>
      </c>
      <c r="D944" s="2" t="n">
        <v>36</v>
      </c>
      <c r="E944" s="2" t="n">
        <v>2</v>
      </c>
      <c r="F944" s="2" t="n">
        <v>743000</v>
      </c>
      <c r="G944" s="2" t="inlineStr">
        <is>
          <t>No</t>
        </is>
      </c>
      <c r="H944" s="2" t="n">
        <v>3</v>
      </c>
      <c r="I944" s="2" t="n">
        <v>3</v>
      </c>
      <c r="J944" s="2" t="n">
        <v>3.4</v>
      </c>
      <c r="K944" s="2" t="n">
        <v>2.1</v>
      </c>
      <c r="L944" s="2" t="inlineStr">
        <is>
          <t>Resigned</t>
        </is>
      </c>
    </row>
    <row r="945">
      <c r="A945" s="2" t="inlineStr">
        <is>
          <t>EMP01124</t>
        </is>
      </c>
      <c r="B945" s="2" t="inlineStr">
        <is>
          <t>Sales</t>
        </is>
      </c>
      <c r="C945" s="2" t="inlineStr">
        <is>
          <t>Sales Executive</t>
        </is>
      </c>
      <c r="D945" s="2" t="n">
        <v>47</v>
      </c>
      <c r="E945" s="2" t="n">
        <v>2.6</v>
      </c>
      <c r="F945" s="2" t="n">
        <v>769000</v>
      </c>
      <c r="G945" s="2" t="inlineStr">
        <is>
          <t>No</t>
        </is>
      </c>
      <c r="H945" s="2" t="n">
        <v>49</v>
      </c>
      <c r="I945" s="2" t="n">
        <v>2.6</v>
      </c>
      <c r="J945" s="2" t="n">
        <v>3.7</v>
      </c>
      <c r="K945" s="2" t="n">
        <v>3.5</v>
      </c>
      <c r="L945" s="2" t="inlineStr">
        <is>
          <t>Resigned</t>
        </is>
      </c>
    </row>
    <row r="946">
      <c r="A946" s="2" t="inlineStr">
        <is>
          <t>EMP00207</t>
        </is>
      </c>
      <c r="B946" s="2" t="inlineStr">
        <is>
          <t>Sales</t>
        </is>
      </c>
      <c r="C946" s="2" t="inlineStr">
        <is>
          <t>Account Manager</t>
        </is>
      </c>
      <c r="D946" s="2" t="n">
        <v>43</v>
      </c>
      <c r="E946" s="2" t="n">
        <v>11.1</v>
      </c>
      <c r="F946" s="2" t="n">
        <v>1142000</v>
      </c>
      <c r="G946" s="2" t="inlineStr">
        <is>
          <t>No</t>
        </is>
      </c>
      <c r="H946" s="2" t="n">
        <v>7</v>
      </c>
      <c r="I946" s="2" t="n">
        <v>2.8</v>
      </c>
      <c r="J946" s="2" t="n">
        <v>3.1</v>
      </c>
      <c r="K946" s="2" t="n">
        <v>3.6</v>
      </c>
      <c r="L946" s="2" t="inlineStr">
        <is>
          <t>Active</t>
        </is>
      </c>
    </row>
    <row r="947">
      <c r="A947" s="2" t="inlineStr">
        <is>
          <t>EMP00296</t>
        </is>
      </c>
      <c r="B947" s="2" t="inlineStr">
        <is>
          <t>Customer Support</t>
        </is>
      </c>
      <c r="C947" s="2" t="inlineStr">
        <is>
          <t>Support Lead</t>
        </is>
      </c>
      <c r="D947" s="2" t="n">
        <v>41</v>
      </c>
      <c r="E947" s="2" t="n">
        <v>13.6</v>
      </c>
      <c r="F947" s="2" t="n">
        <v>820000</v>
      </c>
      <c r="G947" s="2" t="inlineStr">
        <is>
          <t>No</t>
        </is>
      </c>
      <c r="H947" s="2" t="n">
        <v>19</v>
      </c>
      <c r="I947" s="2" t="n">
        <v>2.9</v>
      </c>
      <c r="J947" s="2" t="n">
        <v>3.6</v>
      </c>
      <c r="K947" s="2" t="n">
        <v>3.4</v>
      </c>
      <c r="L947" s="2" t="inlineStr">
        <is>
          <t>Resigned</t>
        </is>
      </c>
    </row>
    <row r="948">
      <c r="A948" s="2" t="inlineStr">
        <is>
          <t>EMP00696</t>
        </is>
      </c>
      <c r="B948" s="2" t="inlineStr">
        <is>
          <t>Operations</t>
        </is>
      </c>
      <c r="C948" s="2" t="inlineStr">
        <is>
          <t>Process Lead</t>
        </is>
      </c>
      <c r="D948" s="2" t="n">
        <v>43</v>
      </c>
      <c r="E948" s="2" t="n">
        <v>3.9</v>
      </c>
      <c r="F948" s="2" t="n">
        <v>780000</v>
      </c>
      <c r="G948" s="2" t="inlineStr">
        <is>
          <t>Yes</t>
        </is>
      </c>
      <c r="H948" s="2" t="n">
        <v>15</v>
      </c>
      <c r="I948" s="2" t="n">
        <v>3.5</v>
      </c>
      <c r="J948" s="2" t="n">
        <v>2.2</v>
      </c>
      <c r="K948" s="2" t="n">
        <v>3.1</v>
      </c>
      <c r="L948" s="2" t="inlineStr">
        <is>
          <t>Active</t>
        </is>
      </c>
    </row>
    <row r="949">
      <c r="A949" s="2" t="inlineStr">
        <is>
          <t>EMP01059</t>
        </is>
      </c>
      <c r="B949" s="2" t="inlineStr">
        <is>
          <t>Operations</t>
        </is>
      </c>
      <c r="C949" s="2" t="inlineStr">
        <is>
          <t>Process Lead</t>
        </is>
      </c>
      <c r="D949" s="2" t="n">
        <v>34</v>
      </c>
      <c r="E949" s="2" t="n">
        <v>3.8</v>
      </c>
      <c r="F949" s="2" t="n">
        <v>763000</v>
      </c>
      <c r="G949" s="2" t="inlineStr">
        <is>
          <t>No</t>
        </is>
      </c>
      <c r="H949" s="2" t="n">
        <v>12</v>
      </c>
      <c r="I949" s="2" t="n">
        <v>2</v>
      </c>
      <c r="J949" s="2" t="n">
        <v>2.8</v>
      </c>
      <c r="K949" s="2" t="n">
        <v>2.2</v>
      </c>
      <c r="L949" s="2" t="inlineStr">
        <is>
          <t>Active</t>
        </is>
      </c>
    </row>
    <row r="950">
      <c r="A950" s="2" t="inlineStr">
        <is>
          <t>EMP00074</t>
        </is>
      </c>
      <c r="B950" s="2" t="inlineStr">
        <is>
          <t>Engineering</t>
        </is>
      </c>
      <c r="C950" s="2" t="inlineStr">
        <is>
          <t>Software Engineer</t>
        </is>
      </c>
      <c r="D950" s="2" t="n">
        <v>29</v>
      </c>
      <c r="E950" s="2" t="n">
        <v>3.4</v>
      </c>
      <c r="F950" s="2" t="n">
        <v>1218000</v>
      </c>
      <c r="G950" s="2" t="inlineStr">
        <is>
          <t>Yes</t>
        </is>
      </c>
      <c r="H950" s="2" t="n">
        <v>56</v>
      </c>
      <c r="I950" s="2" t="n">
        <v>1.6</v>
      </c>
      <c r="J950" s="2" t="n">
        <v>1.8</v>
      </c>
      <c r="K950" s="2" t="n">
        <v>2.4</v>
      </c>
      <c r="L950" s="2" t="inlineStr">
        <is>
          <t>Active</t>
        </is>
      </c>
    </row>
    <row r="951">
      <c r="A951" s="2" t="inlineStr">
        <is>
          <t>EMP00606</t>
        </is>
      </c>
      <c r="B951" s="2" t="inlineStr">
        <is>
          <t>HR</t>
        </is>
      </c>
      <c r="C951" s="2" t="inlineStr">
        <is>
          <t>Recruiter</t>
        </is>
      </c>
      <c r="D951" s="2" t="n">
        <v>23</v>
      </c>
      <c r="E951" s="2" t="n">
        <v>0.9</v>
      </c>
      <c r="F951" s="2" t="n">
        <v>625000</v>
      </c>
      <c r="G951" s="2" t="inlineStr">
        <is>
          <t>Yes</t>
        </is>
      </c>
      <c r="H951" s="2" t="n">
        <v>41</v>
      </c>
      <c r="I951" s="2" t="n">
        <v>2.2</v>
      </c>
      <c r="J951" s="2" t="n">
        <v>2.6</v>
      </c>
      <c r="K951" s="2" t="n">
        <v>2.8</v>
      </c>
      <c r="L951" s="2" t="inlineStr">
        <is>
          <t>Active</t>
        </is>
      </c>
    </row>
    <row r="952">
      <c r="A952" s="2" t="inlineStr">
        <is>
          <t>EMP00105</t>
        </is>
      </c>
      <c r="B952" s="2" t="inlineStr">
        <is>
          <t>HR</t>
        </is>
      </c>
      <c r="C952" s="2" t="inlineStr">
        <is>
          <t>HR Generalist</t>
        </is>
      </c>
      <c r="D952" s="2" t="n">
        <v>51</v>
      </c>
      <c r="E952" s="2" t="n">
        <v>8.9</v>
      </c>
      <c r="F952" s="2" t="n">
        <v>876000</v>
      </c>
      <c r="G952" s="2" t="inlineStr">
        <is>
          <t>No</t>
        </is>
      </c>
      <c r="H952" s="2" t="n">
        <v>17</v>
      </c>
      <c r="I952" s="2" t="n">
        <v>4</v>
      </c>
      <c r="J952" s="2" t="n">
        <v>3.9</v>
      </c>
      <c r="K952" s="2" t="n">
        <v>2.8</v>
      </c>
      <c r="L952" s="2" t="inlineStr">
        <is>
          <t>Active</t>
        </is>
      </c>
    </row>
    <row r="953">
      <c r="A953" s="2" t="inlineStr">
        <is>
          <t>EMP01051</t>
        </is>
      </c>
      <c r="B953" s="2" t="inlineStr">
        <is>
          <t>Finance</t>
        </is>
      </c>
      <c r="C953" s="2" t="inlineStr">
        <is>
          <t>Accountant</t>
        </is>
      </c>
      <c r="D953" s="2" t="n">
        <v>22</v>
      </c>
      <c r="E953" s="2" t="n">
        <v>3.7</v>
      </c>
      <c r="F953" s="2" t="n">
        <v>903000</v>
      </c>
      <c r="G953" s="2" t="inlineStr">
        <is>
          <t>No</t>
        </is>
      </c>
      <c r="H953" s="2" t="n">
        <v>40</v>
      </c>
      <c r="I953" s="2" t="n">
        <v>2.3</v>
      </c>
      <c r="J953" s="2" t="n">
        <v>2.8</v>
      </c>
      <c r="K953" s="2" t="n">
        <v>2.4</v>
      </c>
      <c r="L953" s="2" t="inlineStr">
        <is>
          <t>Active</t>
        </is>
      </c>
    </row>
    <row r="954">
      <c r="A954" s="2" t="inlineStr">
        <is>
          <t>EMP01025</t>
        </is>
      </c>
      <c r="B954" s="2" t="inlineStr">
        <is>
          <t>Finance</t>
        </is>
      </c>
      <c r="C954" s="2" t="inlineStr">
        <is>
          <t>Accountant</t>
        </is>
      </c>
      <c r="D954" s="2" t="n">
        <v>34</v>
      </c>
      <c r="E954" s="2" t="n">
        <v>5.5</v>
      </c>
      <c r="F954" s="2" t="n">
        <v>982000</v>
      </c>
      <c r="G954" s="2" t="inlineStr">
        <is>
          <t>No</t>
        </is>
      </c>
      <c r="H954" s="2" t="n">
        <v>32</v>
      </c>
      <c r="I954" s="2" t="n">
        <v>2.7</v>
      </c>
      <c r="J954" s="2" t="n">
        <v>2.9</v>
      </c>
      <c r="K954" s="2" t="n">
        <v>3</v>
      </c>
      <c r="L954" s="2" t="inlineStr">
        <is>
          <t>Active</t>
        </is>
      </c>
    </row>
    <row r="955">
      <c r="A955" s="2" t="inlineStr">
        <is>
          <t>EMP00987</t>
        </is>
      </c>
      <c r="B955" s="2" t="inlineStr">
        <is>
          <t>Engineering</t>
        </is>
      </c>
      <c r="C955" s="2" t="inlineStr">
        <is>
          <t>Engineering Manager</t>
        </is>
      </c>
      <c r="D955" s="2" t="n">
        <v>28</v>
      </c>
      <c r="E955" s="2" t="n">
        <v>7.1</v>
      </c>
      <c r="F955" s="2" t="n">
        <v>1331000</v>
      </c>
      <c r="G955" s="2" t="inlineStr">
        <is>
          <t>Yes</t>
        </is>
      </c>
      <c r="H955" s="2" t="n">
        <v>32</v>
      </c>
      <c r="I955" s="2" t="n">
        <v>1.9</v>
      </c>
      <c r="J955" s="2" t="n">
        <v>2.5</v>
      </c>
      <c r="K955" s="2" t="n">
        <v>4.5</v>
      </c>
      <c r="L955" s="2" t="inlineStr">
        <is>
          <t>Active</t>
        </is>
      </c>
    </row>
    <row r="956">
      <c r="A956" s="2" t="inlineStr">
        <is>
          <t>EMP00017</t>
        </is>
      </c>
      <c r="B956" s="2" t="inlineStr">
        <is>
          <t>Operations</t>
        </is>
      </c>
      <c r="C956" s="2" t="inlineStr">
        <is>
          <t>Ops Manager</t>
        </is>
      </c>
      <c r="D956" s="2" t="n">
        <v>21</v>
      </c>
      <c r="E956" s="2" t="n">
        <v>0.6</v>
      </c>
      <c r="F956" s="2" t="n">
        <v>585000</v>
      </c>
      <c r="G956" s="2" t="inlineStr">
        <is>
          <t>Yes</t>
        </is>
      </c>
      <c r="H956" s="2" t="n">
        <v>49</v>
      </c>
      <c r="I956" s="2" t="n">
        <v>4</v>
      </c>
      <c r="J956" s="2" t="n">
        <v>3.3</v>
      </c>
      <c r="K956" s="2" t="n">
        <v>2.5</v>
      </c>
      <c r="L956" s="2" t="inlineStr">
        <is>
          <t>Active</t>
        </is>
      </c>
    </row>
    <row r="957">
      <c r="A957" s="2" t="inlineStr">
        <is>
          <t>EMP00440</t>
        </is>
      </c>
      <c r="B957" s="2" t="inlineStr">
        <is>
          <t>Finance</t>
        </is>
      </c>
      <c r="C957" s="2" t="inlineStr">
        <is>
          <t>Finance Manager</t>
        </is>
      </c>
      <c r="D957" s="2" t="n">
        <v>25</v>
      </c>
      <c r="E957" s="2" t="n">
        <v>0.4</v>
      </c>
      <c r="F957" s="2" t="n">
        <v>803000</v>
      </c>
      <c r="G957" s="2" t="inlineStr">
        <is>
          <t>No</t>
        </is>
      </c>
      <c r="H957" s="2" t="n">
        <v>27</v>
      </c>
      <c r="I957" s="2" t="n">
        <v>4.7</v>
      </c>
      <c r="J957" s="2" t="n">
        <v>1.4</v>
      </c>
      <c r="K957" s="2" t="n">
        <v>2.2</v>
      </c>
      <c r="L957" s="2" t="inlineStr">
        <is>
          <t>Active</t>
        </is>
      </c>
    </row>
    <row r="958">
      <c r="A958" s="2" t="inlineStr">
        <is>
          <t>EMP00092</t>
        </is>
      </c>
      <c r="B958" s="2" t="inlineStr">
        <is>
          <t>Finance</t>
        </is>
      </c>
      <c r="C958" s="2" t="inlineStr">
        <is>
          <t>Financial Analyst</t>
        </is>
      </c>
      <c r="D958" s="2" t="n">
        <v>37</v>
      </c>
      <c r="E958" s="2" t="n">
        <v>1.3</v>
      </c>
      <c r="F958" s="2" t="n">
        <v>704000</v>
      </c>
      <c r="G958" s="2" t="inlineStr">
        <is>
          <t>No</t>
        </is>
      </c>
      <c r="H958" s="2" t="n">
        <v>41</v>
      </c>
      <c r="I958" s="2" t="n">
        <v>2.4</v>
      </c>
      <c r="J958" s="2" t="n">
        <v>2.9</v>
      </c>
      <c r="K958" s="2" t="n">
        <v>2.5</v>
      </c>
      <c r="L958" s="2" t="inlineStr">
        <is>
          <t>Active</t>
        </is>
      </c>
    </row>
    <row r="959">
      <c r="A959" s="2" t="inlineStr">
        <is>
          <t>EMP00089</t>
        </is>
      </c>
      <c r="B959" s="2" t="inlineStr">
        <is>
          <t>Sales</t>
        </is>
      </c>
      <c r="C959" s="2" t="inlineStr">
        <is>
          <t>Account Manager</t>
        </is>
      </c>
      <c r="D959" s="2" t="n">
        <v>33</v>
      </c>
      <c r="E959" s="2" t="n">
        <v>3.2</v>
      </c>
      <c r="F959" s="2" t="n">
        <v>792000</v>
      </c>
      <c r="G959" s="2" t="inlineStr">
        <is>
          <t>No</t>
        </is>
      </c>
      <c r="H959" s="2" t="n">
        <v>37</v>
      </c>
      <c r="I959" s="2" t="n">
        <v>3.1</v>
      </c>
      <c r="J959" s="2" t="n">
        <v>3.2</v>
      </c>
      <c r="K959" s="2" t="n">
        <v>2.3</v>
      </c>
      <c r="L959" s="2" t="inlineStr">
        <is>
          <t>Active</t>
        </is>
      </c>
    </row>
    <row r="960">
      <c r="A960" s="2" t="inlineStr">
        <is>
          <t>EMP01058</t>
        </is>
      </c>
      <c r="B960" s="2" t="inlineStr">
        <is>
          <t>Sales</t>
        </is>
      </c>
      <c r="C960" s="2" t="inlineStr">
        <is>
          <t>Sales Executive</t>
        </is>
      </c>
      <c r="D960" s="2" t="n">
        <v>28</v>
      </c>
      <c r="E960" s="2" t="n">
        <v>1.2</v>
      </c>
      <c r="F960" s="2" t="n">
        <v>697000</v>
      </c>
      <c r="G960" s="2" t="inlineStr">
        <is>
          <t>No</t>
        </is>
      </c>
      <c r="H960" s="2" t="n">
        <v>57</v>
      </c>
      <c r="I960" s="2" t="n">
        <v>1.5</v>
      </c>
      <c r="J960" s="2" t="n">
        <v>1.2</v>
      </c>
      <c r="K960" s="2" t="n">
        <v>2.7</v>
      </c>
      <c r="L960" s="2" t="inlineStr">
        <is>
          <t>Active</t>
        </is>
      </c>
    </row>
    <row r="961">
      <c r="A961" s="2" t="inlineStr">
        <is>
          <t>EMP00909</t>
        </is>
      </c>
      <c r="B961" s="2" t="inlineStr">
        <is>
          <t>Engineering</t>
        </is>
      </c>
      <c r="C961" s="2" t="inlineStr">
        <is>
          <t>Software Engineer</t>
        </is>
      </c>
      <c r="D961" s="2" t="n">
        <v>51</v>
      </c>
      <c r="E961" s="2" t="n">
        <v>4.2</v>
      </c>
      <c r="F961" s="2" t="n">
        <v>1324000</v>
      </c>
      <c r="G961" s="2" t="inlineStr">
        <is>
          <t>No</t>
        </is>
      </c>
      <c r="H961" s="2" t="n">
        <v>23</v>
      </c>
      <c r="I961" s="2" t="n">
        <v>5</v>
      </c>
      <c r="J961" s="2" t="n">
        <v>1.8</v>
      </c>
      <c r="K961" s="2" t="n">
        <v>3.3</v>
      </c>
      <c r="L961" s="2" t="inlineStr">
        <is>
          <t>Active</t>
        </is>
      </c>
    </row>
    <row r="962">
      <c r="A962" s="2" t="inlineStr">
        <is>
          <t>EMP00451</t>
        </is>
      </c>
      <c r="B962" s="2" t="inlineStr">
        <is>
          <t>Sales</t>
        </is>
      </c>
      <c r="C962" s="2" t="inlineStr">
        <is>
          <t>Sales Executive</t>
        </is>
      </c>
      <c r="D962" s="2" t="n">
        <v>23</v>
      </c>
      <c r="E962" s="2" t="n">
        <v>4.3</v>
      </c>
      <c r="F962" s="2" t="n">
        <v>699000</v>
      </c>
      <c r="G962" s="2" t="inlineStr">
        <is>
          <t>No</t>
        </is>
      </c>
      <c r="H962" s="2" t="n">
        <v>4</v>
      </c>
      <c r="I962" s="2" t="n">
        <v>4.5</v>
      </c>
      <c r="J962" s="2" t="n">
        <v>5</v>
      </c>
      <c r="K962" s="2" t="n">
        <v>2.9</v>
      </c>
      <c r="L962" s="2" t="inlineStr">
        <is>
          <t>Active</t>
        </is>
      </c>
    </row>
    <row r="963">
      <c r="A963" s="2" t="inlineStr">
        <is>
          <t>EMP00718</t>
        </is>
      </c>
      <c r="B963" s="2" t="inlineStr">
        <is>
          <t>Sales</t>
        </is>
      </c>
      <c r="C963" s="2" t="inlineStr">
        <is>
          <t>Account Manager</t>
        </is>
      </c>
      <c r="D963" s="2" t="n">
        <v>37</v>
      </c>
      <c r="E963" s="2" t="n">
        <v>1.9</v>
      </c>
      <c r="F963" s="2" t="n">
        <v>683000</v>
      </c>
      <c r="G963" s="2" t="inlineStr">
        <is>
          <t>Yes</t>
        </is>
      </c>
      <c r="H963" s="2" t="n">
        <v>44</v>
      </c>
      <c r="I963" s="2" t="n">
        <v>4.4</v>
      </c>
      <c r="J963" s="2" t="n">
        <v>2.4</v>
      </c>
      <c r="K963" s="2" t="n">
        <v>3.4</v>
      </c>
      <c r="L963" s="2" t="inlineStr">
        <is>
          <t>Resigned</t>
        </is>
      </c>
    </row>
    <row r="964">
      <c r="A964" s="2" t="inlineStr">
        <is>
          <t>EMP00103</t>
        </is>
      </c>
      <c r="B964" s="2" t="inlineStr">
        <is>
          <t>Engineering</t>
        </is>
      </c>
      <c r="C964" s="2" t="inlineStr">
        <is>
          <t>Engineering Manager</t>
        </is>
      </c>
      <c r="D964" s="2" t="n">
        <v>32</v>
      </c>
      <c r="E964" s="2" t="n">
        <v>5.3</v>
      </c>
      <c r="F964" s="2" t="n">
        <v>1172000</v>
      </c>
      <c r="G964" s="2" t="inlineStr">
        <is>
          <t>No</t>
        </is>
      </c>
      <c r="H964" s="2" t="n">
        <v>18</v>
      </c>
      <c r="I964" s="2" t="n">
        <v>3.3</v>
      </c>
      <c r="J964" s="2" t="n">
        <v>3.1</v>
      </c>
      <c r="K964" s="2" t="n">
        <v>3.3</v>
      </c>
      <c r="L964" s="2" t="inlineStr">
        <is>
          <t>Active</t>
        </is>
      </c>
    </row>
    <row r="965">
      <c r="A965" s="2" t="inlineStr">
        <is>
          <t>EMP00239</t>
        </is>
      </c>
      <c r="B965" s="2" t="inlineStr">
        <is>
          <t>Sales</t>
        </is>
      </c>
      <c r="C965" s="2" t="inlineStr">
        <is>
          <t>Sales Executive</t>
        </is>
      </c>
      <c r="D965" s="2" t="n">
        <v>45</v>
      </c>
      <c r="E965" s="2" t="n">
        <v>0.6</v>
      </c>
      <c r="F965" s="2" t="n">
        <v>768000</v>
      </c>
      <c r="G965" s="2" t="inlineStr">
        <is>
          <t>No</t>
        </is>
      </c>
      <c r="H965" s="2" t="n">
        <v>52</v>
      </c>
      <c r="I965" s="2" t="n">
        <v>2.7</v>
      </c>
      <c r="J965" s="2" t="n">
        <v>4.1</v>
      </c>
      <c r="K965" s="2" t="n">
        <v>3.9</v>
      </c>
      <c r="L965" s="2" t="inlineStr">
        <is>
          <t>Active</t>
        </is>
      </c>
    </row>
    <row r="966">
      <c r="A966" s="2" t="inlineStr">
        <is>
          <t>EMP00069</t>
        </is>
      </c>
      <c r="B966" s="2" t="inlineStr">
        <is>
          <t>Sales</t>
        </is>
      </c>
      <c r="C966" s="2" t="inlineStr">
        <is>
          <t>Sales Executive</t>
        </is>
      </c>
      <c r="D966" s="2" t="n">
        <v>47</v>
      </c>
      <c r="E966" s="2" t="n">
        <v>4.2</v>
      </c>
      <c r="F966" s="2" t="n">
        <v>899000</v>
      </c>
      <c r="G966" s="2" t="inlineStr">
        <is>
          <t>No</t>
        </is>
      </c>
      <c r="H966" s="2" t="n">
        <v>31</v>
      </c>
      <c r="I966" s="2" t="n">
        <v>4.2</v>
      </c>
      <c r="J966" s="2" t="n">
        <v>3.9</v>
      </c>
      <c r="K966" s="2" t="n">
        <v>3.9</v>
      </c>
      <c r="L966" s="2" t="inlineStr">
        <is>
          <t>Active</t>
        </is>
      </c>
    </row>
    <row r="967">
      <c r="A967" s="2" t="inlineStr">
        <is>
          <t>EMP00943</t>
        </is>
      </c>
      <c r="B967" s="2" t="inlineStr">
        <is>
          <t>Sales</t>
        </is>
      </c>
      <c r="C967" s="2" t="inlineStr">
        <is>
          <t>Sales Executive</t>
        </is>
      </c>
      <c r="D967" s="2" t="n">
        <v>34</v>
      </c>
      <c r="E967" s="2" t="n">
        <v>4</v>
      </c>
      <c r="F967" s="2" t="n">
        <v>804000</v>
      </c>
      <c r="G967" s="2" t="inlineStr">
        <is>
          <t>No</t>
        </is>
      </c>
      <c r="H967" s="2" t="n">
        <v>8</v>
      </c>
      <c r="I967" s="2" t="n">
        <v>5</v>
      </c>
      <c r="J967" s="2" t="n">
        <v>4.2</v>
      </c>
      <c r="K967" s="2" t="n">
        <v>3</v>
      </c>
      <c r="L967" s="2" t="inlineStr">
        <is>
          <t>Active</t>
        </is>
      </c>
    </row>
    <row r="968">
      <c r="A968" s="2" t="inlineStr">
        <is>
          <t>EMP00247</t>
        </is>
      </c>
      <c r="B968" s="2" t="inlineStr">
        <is>
          <t>Finance</t>
        </is>
      </c>
      <c r="C968" s="2" t="inlineStr">
        <is>
          <t>Accountant</t>
        </is>
      </c>
      <c r="D968" s="2" t="n">
        <v>24</v>
      </c>
      <c r="E968" s="2" t="n">
        <v>3.3</v>
      </c>
      <c r="F968" s="2" t="n">
        <v>802000</v>
      </c>
      <c r="G968" s="2" t="inlineStr">
        <is>
          <t>Yes</t>
        </is>
      </c>
      <c r="H968" s="2" t="n">
        <v>49</v>
      </c>
      <c r="I968" s="2" t="n">
        <v>4.2</v>
      </c>
      <c r="J968" s="2" t="n">
        <v>3.3</v>
      </c>
      <c r="K968" s="2" t="n">
        <v>4</v>
      </c>
      <c r="L968" s="2" t="inlineStr">
        <is>
          <t>Active</t>
        </is>
      </c>
    </row>
    <row r="969">
      <c r="A969" s="2" t="inlineStr">
        <is>
          <t>EMP00939</t>
        </is>
      </c>
      <c r="B969" s="2" t="inlineStr">
        <is>
          <t>Customer Support</t>
        </is>
      </c>
      <c r="C969" s="2" t="inlineStr">
        <is>
          <t>Support Manager</t>
        </is>
      </c>
      <c r="D969" s="2" t="n">
        <v>41</v>
      </c>
      <c r="E969" s="2" t="n">
        <v>5</v>
      </c>
      <c r="F969" s="2" t="n">
        <v>658000</v>
      </c>
      <c r="G969" s="2" t="inlineStr">
        <is>
          <t>Yes</t>
        </is>
      </c>
      <c r="H969" s="2" t="n">
        <v>24</v>
      </c>
      <c r="I969" s="2" t="n">
        <v>3</v>
      </c>
      <c r="J969" s="2" t="n">
        <v>3.4</v>
      </c>
      <c r="K969" s="2" t="n">
        <v>3.5</v>
      </c>
      <c r="L969" s="2" t="inlineStr">
        <is>
          <t>Active</t>
        </is>
      </c>
    </row>
    <row r="970">
      <c r="A970" s="2" t="inlineStr">
        <is>
          <t>EMP01092</t>
        </is>
      </c>
      <c r="B970" s="2" t="inlineStr">
        <is>
          <t>Finance</t>
        </is>
      </c>
      <c r="C970" s="2" t="inlineStr">
        <is>
          <t>Accountant</t>
        </is>
      </c>
      <c r="D970" s="2" t="n">
        <v>30</v>
      </c>
      <c r="E970" s="2" t="n">
        <v>2.5</v>
      </c>
      <c r="F970" s="2" t="n">
        <v>763000</v>
      </c>
      <c r="G970" s="2" t="inlineStr">
        <is>
          <t>No</t>
        </is>
      </c>
      <c r="H970" s="2" t="n">
        <v>5</v>
      </c>
      <c r="I970" s="2" t="n">
        <v>2.7</v>
      </c>
      <c r="J970" s="2" t="n">
        <v>3.7</v>
      </c>
      <c r="K970" s="2" t="n">
        <v>3</v>
      </c>
      <c r="L970" s="2" t="inlineStr">
        <is>
          <t>Active</t>
        </is>
      </c>
    </row>
    <row r="971">
      <c r="A971" s="2" t="inlineStr">
        <is>
          <t>EMP00158</t>
        </is>
      </c>
      <c r="B971" s="2" t="inlineStr">
        <is>
          <t>Finance</t>
        </is>
      </c>
      <c r="C971" s="2" t="inlineStr">
        <is>
          <t>Finance Manager</t>
        </is>
      </c>
      <c r="D971" s="2" t="n">
        <v>34</v>
      </c>
      <c r="E971" s="2" t="n">
        <v>0.3</v>
      </c>
      <c r="F971" s="2" t="n">
        <v>853000</v>
      </c>
      <c r="G971" s="2" t="inlineStr">
        <is>
          <t>Yes</t>
        </is>
      </c>
      <c r="H971" s="2" t="n">
        <v>40</v>
      </c>
      <c r="I971" s="2" t="n">
        <v>4</v>
      </c>
      <c r="J971" s="2" t="n">
        <v>2.2</v>
      </c>
      <c r="K971" s="2" t="n">
        <v>4.6</v>
      </c>
      <c r="L971" s="2" t="inlineStr">
        <is>
          <t>Active</t>
        </is>
      </c>
    </row>
    <row r="972">
      <c r="A972" s="2" t="inlineStr">
        <is>
          <t>EMP00480</t>
        </is>
      </c>
      <c r="B972" s="2" t="inlineStr">
        <is>
          <t>Engineering</t>
        </is>
      </c>
      <c r="C972" s="2" t="inlineStr">
        <is>
          <t>Engineering Manager</t>
        </is>
      </c>
      <c r="D972" s="2" t="n">
        <v>21</v>
      </c>
      <c r="E972" s="2" t="n">
        <v>0.9</v>
      </c>
      <c r="F972" s="2" t="n">
        <v>996000</v>
      </c>
      <c r="G972" s="2" t="inlineStr">
        <is>
          <t>Yes</t>
        </is>
      </c>
      <c r="H972" s="2" t="n">
        <v>6</v>
      </c>
      <c r="I972" s="2" t="n">
        <v>4.9</v>
      </c>
      <c r="J972" s="2" t="n">
        <v>4</v>
      </c>
      <c r="K972" s="2" t="n">
        <v>3.6</v>
      </c>
      <c r="L972" s="2" t="inlineStr">
        <is>
          <t>Active</t>
        </is>
      </c>
    </row>
    <row r="973">
      <c r="A973" s="2" t="inlineStr">
        <is>
          <t>EMP00839</t>
        </is>
      </c>
      <c r="B973" s="2" t="inlineStr">
        <is>
          <t>Engineering</t>
        </is>
      </c>
      <c r="C973" s="2" t="inlineStr">
        <is>
          <t>Engineering Manager</t>
        </is>
      </c>
      <c r="D973" s="2" t="n">
        <v>45</v>
      </c>
      <c r="E973" s="2" t="n">
        <v>10.1</v>
      </c>
      <c r="F973" s="2" t="n">
        <v>1518000</v>
      </c>
      <c r="G973" s="2" t="inlineStr">
        <is>
          <t>Yes</t>
        </is>
      </c>
      <c r="H973" s="2" t="n">
        <v>47</v>
      </c>
      <c r="I973" s="2" t="n">
        <v>3.4</v>
      </c>
      <c r="J973" s="2" t="n">
        <v>2.1</v>
      </c>
      <c r="K973" s="2" t="n">
        <v>3.4</v>
      </c>
      <c r="L973" s="2" t="inlineStr">
        <is>
          <t>Active</t>
        </is>
      </c>
    </row>
    <row r="974">
      <c r="A974" s="2" t="inlineStr">
        <is>
          <t>EMP00646</t>
        </is>
      </c>
      <c r="B974" s="2" t="inlineStr">
        <is>
          <t>Customer Support</t>
        </is>
      </c>
      <c r="C974" s="2" t="inlineStr">
        <is>
          <t>Support Manager</t>
        </is>
      </c>
      <c r="D974" s="2" t="n">
        <v>31</v>
      </c>
      <c r="E974" s="2" t="n">
        <v>3</v>
      </c>
      <c r="F974" s="2" t="n">
        <v>498000</v>
      </c>
      <c r="G974" s="2" t="inlineStr">
        <is>
          <t>No</t>
        </is>
      </c>
      <c r="H974" s="2" t="n">
        <v>56</v>
      </c>
      <c r="I974" s="2" t="n">
        <v>2.2</v>
      </c>
      <c r="J974" s="2" t="n">
        <v>4</v>
      </c>
      <c r="K974" s="2" t="n">
        <v>2.5</v>
      </c>
      <c r="L974" s="2" t="inlineStr">
        <is>
          <t>Active</t>
        </is>
      </c>
    </row>
    <row r="975">
      <c r="A975" s="2" t="inlineStr">
        <is>
          <t>EMP00006</t>
        </is>
      </c>
      <c r="B975" s="2" t="inlineStr">
        <is>
          <t>Customer Support</t>
        </is>
      </c>
      <c r="C975" s="2" t="inlineStr">
        <is>
          <t>Support Manager</t>
        </is>
      </c>
      <c r="D975" s="2" t="n">
        <v>39</v>
      </c>
      <c r="E975" s="2" t="n">
        <v>5.4</v>
      </c>
      <c r="F975" s="2" t="n">
        <v>727000</v>
      </c>
      <c r="G975" s="2" t="inlineStr">
        <is>
          <t>No</t>
        </is>
      </c>
      <c r="H975" s="2" t="n">
        <v>25</v>
      </c>
      <c r="I975" s="2" t="n">
        <v>4.2</v>
      </c>
      <c r="J975" s="2" t="n">
        <v>4.8</v>
      </c>
      <c r="K975" s="2" t="n">
        <v>3.9</v>
      </c>
      <c r="L975" s="2" t="inlineStr">
        <is>
          <t>Active</t>
        </is>
      </c>
    </row>
    <row r="976">
      <c r="A976" s="2" t="inlineStr">
        <is>
          <t>EMP01098</t>
        </is>
      </c>
      <c r="B976" s="2" t="inlineStr">
        <is>
          <t>HR</t>
        </is>
      </c>
      <c r="C976" s="2" t="inlineStr">
        <is>
          <t>Recruiter</t>
        </is>
      </c>
      <c r="D976" s="2" t="n">
        <v>31</v>
      </c>
      <c r="E976" s="2" t="n">
        <v>3.8</v>
      </c>
      <c r="F976" s="2" t="n">
        <v>619000</v>
      </c>
      <c r="G976" s="2" t="inlineStr">
        <is>
          <t>Yes</t>
        </is>
      </c>
      <c r="H976" s="2" t="n">
        <v>40</v>
      </c>
      <c r="I976" s="2" t="n">
        <v>3.4</v>
      </c>
      <c r="J976" s="2" t="n">
        <v>3.2</v>
      </c>
      <c r="K976" s="2" t="n">
        <v>3.4</v>
      </c>
      <c r="L976" s="2" t="inlineStr">
        <is>
          <t>Active</t>
        </is>
      </c>
    </row>
    <row r="977">
      <c r="A977" s="2" t="inlineStr">
        <is>
          <t>EMP00872</t>
        </is>
      </c>
      <c r="B977" s="2" t="inlineStr">
        <is>
          <t>Sales</t>
        </is>
      </c>
      <c r="C977" s="2" t="inlineStr">
        <is>
          <t>Account Manager</t>
        </is>
      </c>
      <c r="D977" s="2" t="n">
        <v>43</v>
      </c>
      <c r="E977" s="2" t="n">
        <v>3</v>
      </c>
      <c r="F977" s="2" t="n">
        <v>853000</v>
      </c>
      <c r="G977" s="2" t="inlineStr">
        <is>
          <t>No</t>
        </is>
      </c>
      <c r="H977" s="2" t="n">
        <v>31</v>
      </c>
      <c r="I977" s="2" t="n">
        <v>3.1</v>
      </c>
      <c r="J977" s="2" t="n">
        <v>4.1</v>
      </c>
      <c r="K977" s="2" t="n">
        <v>3.2</v>
      </c>
      <c r="L977" s="2" t="inlineStr">
        <is>
          <t>Active</t>
        </is>
      </c>
    </row>
    <row r="978">
      <c r="A978" s="2" t="inlineStr">
        <is>
          <t>EMP00966</t>
        </is>
      </c>
      <c r="B978" s="2" t="inlineStr">
        <is>
          <t>Operations</t>
        </is>
      </c>
      <c r="C978" s="2" t="inlineStr">
        <is>
          <t>Process Lead</t>
        </is>
      </c>
      <c r="D978" s="2" t="n">
        <v>48</v>
      </c>
      <c r="E978" s="2" t="n">
        <v>4.6</v>
      </c>
      <c r="F978" s="2" t="n">
        <v>661000</v>
      </c>
      <c r="G978" s="2" t="inlineStr">
        <is>
          <t>No</t>
        </is>
      </c>
      <c r="H978" s="2" t="n">
        <v>27</v>
      </c>
      <c r="I978" s="2" t="n">
        <v>2.6</v>
      </c>
      <c r="J978" s="2" t="n">
        <v>4.3</v>
      </c>
      <c r="K978" s="2" t="n">
        <v>4.5</v>
      </c>
      <c r="L978" s="2" t="inlineStr">
        <is>
          <t>Resigned</t>
        </is>
      </c>
    </row>
    <row r="979">
      <c r="A979" s="2" t="inlineStr">
        <is>
          <t>EMP00019</t>
        </is>
      </c>
      <c r="B979" s="2" t="inlineStr">
        <is>
          <t>HR</t>
        </is>
      </c>
      <c r="C979" s="2" t="inlineStr">
        <is>
          <t>HR Generalist</t>
        </is>
      </c>
      <c r="D979" s="2" t="n">
        <v>37</v>
      </c>
      <c r="E979" s="2" t="n">
        <v>3</v>
      </c>
      <c r="F979" s="2" t="n">
        <v>738000</v>
      </c>
      <c r="G979" s="2" t="inlineStr">
        <is>
          <t>No</t>
        </is>
      </c>
      <c r="H979" s="2" t="n">
        <v>19</v>
      </c>
      <c r="I979" s="2" t="n">
        <v>3.9</v>
      </c>
      <c r="J979" s="2" t="n">
        <v>4.2</v>
      </c>
      <c r="K979" s="2" t="n">
        <v>2.9</v>
      </c>
      <c r="L979" s="2" t="inlineStr">
        <is>
          <t>Active</t>
        </is>
      </c>
    </row>
    <row r="980">
      <c r="A980" s="2" t="inlineStr">
        <is>
          <t>EMP01017</t>
        </is>
      </c>
      <c r="B980" s="2" t="inlineStr">
        <is>
          <t>Finance</t>
        </is>
      </c>
      <c r="C980" s="2" t="inlineStr">
        <is>
          <t>Accountant</t>
        </is>
      </c>
      <c r="D980" s="2" t="n">
        <v>25</v>
      </c>
      <c r="E980" s="2" t="n">
        <v>2.3</v>
      </c>
      <c r="F980" s="2" t="n">
        <v>803000</v>
      </c>
      <c r="G980" s="2" t="inlineStr">
        <is>
          <t>Yes</t>
        </is>
      </c>
      <c r="H980" s="2" t="n">
        <v>11</v>
      </c>
      <c r="I980" s="2" t="n">
        <v>2.9</v>
      </c>
      <c r="J980" s="2" t="n">
        <v>1.7</v>
      </c>
      <c r="K980" s="2" t="n">
        <v>2.5</v>
      </c>
      <c r="L980" s="2" t="inlineStr">
        <is>
          <t>Resigned</t>
        </is>
      </c>
    </row>
    <row r="981">
      <c r="A981" s="2" t="inlineStr">
        <is>
          <t>EMP00122</t>
        </is>
      </c>
      <c r="B981" s="2" t="inlineStr">
        <is>
          <t>Finance</t>
        </is>
      </c>
      <c r="C981" s="2" t="inlineStr">
        <is>
          <t>Financial Analyst</t>
        </is>
      </c>
      <c r="D981" s="2" t="n">
        <v>28</v>
      </c>
      <c r="E981" s="2" t="n">
        <v>1.1</v>
      </c>
      <c r="F981" s="2" t="n">
        <v>723000</v>
      </c>
      <c r="G981" s="2" t="inlineStr">
        <is>
          <t>No</t>
        </is>
      </c>
      <c r="H981" s="2" t="n">
        <v>39</v>
      </c>
      <c r="I981" s="2" t="n">
        <v>5</v>
      </c>
      <c r="J981" s="2" t="n">
        <v>4.4</v>
      </c>
      <c r="K981" s="2" t="n">
        <v>4.1</v>
      </c>
      <c r="L981" s="2" t="inlineStr">
        <is>
          <t>Active</t>
        </is>
      </c>
    </row>
    <row r="982">
      <c r="A982" s="2" t="inlineStr">
        <is>
          <t>EMP00947</t>
        </is>
      </c>
      <c r="B982" s="2" t="inlineStr">
        <is>
          <t>Finance</t>
        </is>
      </c>
      <c r="C982" s="2" t="inlineStr">
        <is>
          <t>Accountant</t>
        </is>
      </c>
      <c r="D982" s="2" t="n">
        <v>46</v>
      </c>
      <c r="E982" s="2" t="n">
        <v>3.3</v>
      </c>
      <c r="F982" s="2" t="n">
        <v>891000</v>
      </c>
      <c r="G982" s="2" t="inlineStr">
        <is>
          <t>No</t>
        </is>
      </c>
      <c r="H982" s="2" t="n">
        <v>51</v>
      </c>
      <c r="I982" s="2" t="n">
        <v>4</v>
      </c>
      <c r="J982" s="2" t="n">
        <v>3.1</v>
      </c>
      <c r="K982" s="2" t="n">
        <v>2.8</v>
      </c>
      <c r="L982" s="2" t="inlineStr">
        <is>
          <t>Active</t>
        </is>
      </c>
    </row>
    <row r="983">
      <c r="A983" s="2" t="inlineStr">
        <is>
          <t>EMP00662</t>
        </is>
      </c>
      <c r="B983" s="2" t="inlineStr">
        <is>
          <t>Customer Support</t>
        </is>
      </c>
      <c r="C983" s="2" t="inlineStr">
        <is>
          <t>Support Associate</t>
        </is>
      </c>
      <c r="D983" s="2" t="n">
        <v>22</v>
      </c>
      <c r="E983" s="2" t="n">
        <v>1.7</v>
      </c>
      <c r="F983" s="2" t="n">
        <v>517000</v>
      </c>
      <c r="G983" s="2" t="inlineStr">
        <is>
          <t>No</t>
        </is>
      </c>
      <c r="H983" s="2" t="n">
        <v>4</v>
      </c>
      <c r="I983" s="2" t="n">
        <v>3.7</v>
      </c>
      <c r="J983" s="2" t="n">
        <v>3.3</v>
      </c>
      <c r="K983" s="2" t="n">
        <v>2.8</v>
      </c>
      <c r="L983" s="2" t="inlineStr">
        <is>
          <t>Active</t>
        </is>
      </c>
    </row>
    <row r="984">
      <c r="A984" s="2" t="inlineStr">
        <is>
          <t>EMP01016</t>
        </is>
      </c>
      <c r="B984" s="2" t="inlineStr">
        <is>
          <t>Sales</t>
        </is>
      </c>
      <c r="C984" s="2" t="inlineStr">
        <is>
          <t>Account Manager</t>
        </is>
      </c>
      <c r="D984" s="2" t="n">
        <v>36</v>
      </c>
      <c r="E984" s="2" t="n">
        <v>4</v>
      </c>
      <c r="F984" s="2" t="n">
        <v>927000</v>
      </c>
      <c r="G984" s="2" t="inlineStr">
        <is>
          <t>No</t>
        </is>
      </c>
      <c r="H984" s="2" t="n">
        <v>52</v>
      </c>
      <c r="I984" s="2" t="n">
        <v>2.1</v>
      </c>
      <c r="J984" s="2" t="n">
        <v>3.6</v>
      </c>
      <c r="K984" s="2" t="n">
        <v>2.8</v>
      </c>
      <c r="L984" s="2" t="inlineStr">
        <is>
          <t>Active</t>
        </is>
      </c>
    </row>
    <row r="985">
      <c r="A985" s="2" t="inlineStr">
        <is>
          <t>EMP00275</t>
        </is>
      </c>
      <c r="B985" s="2" t="inlineStr">
        <is>
          <t>Finance</t>
        </is>
      </c>
      <c r="C985" s="2" t="inlineStr">
        <is>
          <t>Finance Manager</t>
        </is>
      </c>
      <c r="D985" s="2" t="n">
        <v>56</v>
      </c>
      <c r="E985" s="2" t="n">
        <v>6.5</v>
      </c>
      <c r="F985" s="2" t="n">
        <v>962000</v>
      </c>
      <c r="G985" s="2" t="inlineStr">
        <is>
          <t>Yes</t>
        </is>
      </c>
      <c r="H985" s="2" t="n">
        <v>15</v>
      </c>
      <c r="I985" s="2" t="n">
        <v>3.7</v>
      </c>
      <c r="J985" s="2" t="n">
        <v>2.5</v>
      </c>
      <c r="K985" s="2" t="n">
        <v>3.1</v>
      </c>
      <c r="L985" s="2" t="inlineStr">
        <is>
          <t>Active</t>
        </is>
      </c>
    </row>
    <row r="986">
      <c r="A986" s="2" t="inlineStr">
        <is>
          <t>EMP00434</t>
        </is>
      </c>
      <c r="B986" s="2" t="inlineStr">
        <is>
          <t>HR</t>
        </is>
      </c>
      <c r="C986" s="2" t="inlineStr">
        <is>
          <t>Recruiter</t>
        </is>
      </c>
      <c r="D986" s="2" t="n">
        <v>30</v>
      </c>
      <c r="E986" s="2" t="n">
        <v>1.8</v>
      </c>
      <c r="F986" s="2" t="n">
        <v>667000</v>
      </c>
      <c r="G986" s="2" t="inlineStr">
        <is>
          <t>Yes</t>
        </is>
      </c>
      <c r="H986" s="2" t="n">
        <v>26</v>
      </c>
      <c r="I986" s="2" t="n">
        <v>3.8</v>
      </c>
      <c r="J986" s="2" t="n">
        <v>3.2</v>
      </c>
      <c r="K986" s="2" t="n">
        <v>2.9</v>
      </c>
      <c r="L986" s="2" t="inlineStr">
        <is>
          <t>Active</t>
        </is>
      </c>
    </row>
    <row r="987">
      <c r="A987" s="2" t="inlineStr">
        <is>
          <t>EMP00812</t>
        </is>
      </c>
      <c r="B987" s="2" t="inlineStr">
        <is>
          <t>Sales</t>
        </is>
      </c>
      <c r="C987" s="2" t="inlineStr">
        <is>
          <t>Sales Executive</t>
        </is>
      </c>
      <c r="D987" s="2" t="n">
        <v>30</v>
      </c>
      <c r="E987" s="2" t="n">
        <v>1.4</v>
      </c>
      <c r="F987" s="2" t="n">
        <v>679000</v>
      </c>
      <c r="G987" s="2" t="inlineStr">
        <is>
          <t>No</t>
        </is>
      </c>
      <c r="H987" s="2" t="n">
        <v>33</v>
      </c>
      <c r="I987" s="2" t="n">
        <v>3.3</v>
      </c>
      <c r="J987" s="2" t="n">
        <v>3.9</v>
      </c>
      <c r="K987" s="2" t="n">
        <v>3.5</v>
      </c>
      <c r="L987" s="2" t="inlineStr">
        <is>
          <t>Active</t>
        </is>
      </c>
    </row>
    <row r="988">
      <c r="A988" s="2" t="inlineStr">
        <is>
          <t>EMP01150</t>
        </is>
      </c>
      <c r="B988" s="2" t="inlineStr">
        <is>
          <t>Customer Support</t>
        </is>
      </c>
      <c r="C988" s="2" t="inlineStr">
        <is>
          <t>Support Lead</t>
        </is>
      </c>
      <c r="D988" s="2" t="n">
        <v>39</v>
      </c>
      <c r="E988" s="2" t="n">
        <v>6.4</v>
      </c>
      <c r="F988" s="2" t="n">
        <v>649000</v>
      </c>
      <c r="G988" s="2" t="inlineStr">
        <is>
          <t>No</t>
        </is>
      </c>
      <c r="H988" s="2" t="n">
        <v>47</v>
      </c>
      <c r="I988" s="2" t="n">
        <v>3</v>
      </c>
      <c r="J988" s="2" t="n">
        <v>3.8</v>
      </c>
      <c r="K988" s="2" t="n">
        <v>3.9</v>
      </c>
      <c r="L988" s="2" t="inlineStr">
        <is>
          <t>Active</t>
        </is>
      </c>
    </row>
    <row r="989">
      <c r="A989" s="2" t="inlineStr">
        <is>
          <t>EMP00312</t>
        </is>
      </c>
      <c r="B989" s="2" t="inlineStr">
        <is>
          <t>Engineering</t>
        </is>
      </c>
      <c r="C989" s="2" t="inlineStr">
        <is>
          <t>Software Engineer</t>
        </is>
      </c>
      <c r="D989" s="2" t="n">
        <v>28</v>
      </c>
      <c r="E989" s="2" t="n">
        <v>2.1</v>
      </c>
      <c r="F989" s="2" t="n">
        <v>1181000</v>
      </c>
      <c r="G989" s="2" t="inlineStr">
        <is>
          <t>No</t>
        </is>
      </c>
      <c r="H989" s="2" t="n">
        <v>10</v>
      </c>
      <c r="I989" s="2" t="n">
        <v>3.5</v>
      </c>
      <c r="J989" s="2" t="n">
        <v>3.1</v>
      </c>
      <c r="K989" s="2" t="n">
        <v>4</v>
      </c>
      <c r="L989" s="2" t="inlineStr">
        <is>
          <t>Active</t>
        </is>
      </c>
    </row>
    <row r="990">
      <c r="A990" s="2" t="inlineStr">
        <is>
          <t>EMP01134</t>
        </is>
      </c>
      <c r="B990" s="2" t="inlineStr">
        <is>
          <t>Finance</t>
        </is>
      </c>
      <c r="C990" s="2" t="inlineStr">
        <is>
          <t>Finance Manager</t>
        </is>
      </c>
      <c r="D990" s="2" t="n">
        <v>34</v>
      </c>
      <c r="E990" s="2" t="n">
        <v>2.6</v>
      </c>
      <c r="F990" s="2" t="n">
        <v>825000</v>
      </c>
      <c r="G990" s="2" t="inlineStr">
        <is>
          <t>No</t>
        </is>
      </c>
      <c r="H990" s="2" t="n">
        <v>48</v>
      </c>
      <c r="I990" s="2" t="n">
        <v>3.3</v>
      </c>
      <c r="J990" s="2" t="n">
        <v>3.5</v>
      </c>
      <c r="K990" s="2" t="n">
        <v>3.3</v>
      </c>
      <c r="L990" s="2" t="inlineStr">
        <is>
          <t>Active</t>
        </is>
      </c>
    </row>
    <row r="991">
      <c r="A991" s="2" t="inlineStr">
        <is>
          <t>EMP01146</t>
        </is>
      </c>
      <c r="B991" s="2" t="inlineStr">
        <is>
          <t>Engineering</t>
        </is>
      </c>
      <c r="C991" s="2" t="inlineStr">
        <is>
          <t>Senior Engineer</t>
        </is>
      </c>
      <c r="D991" s="2" t="n">
        <v>51</v>
      </c>
      <c r="E991" s="2" t="n">
        <v>2.6</v>
      </c>
      <c r="F991" s="2" t="n">
        <v>1058000</v>
      </c>
      <c r="G991" s="2" t="inlineStr">
        <is>
          <t>Yes</t>
        </is>
      </c>
      <c r="H991" s="2" t="n">
        <v>50</v>
      </c>
      <c r="I991" s="2" t="n">
        <v>5</v>
      </c>
      <c r="J991" s="2" t="n">
        <v>3</v>
      </c>
      <c r="K991" s="2" t="n">
        <v>2.6</v>
      </c>
      <c r="L991" s="2" t="inlineStr">
        <is>
          <t>Active</t>
        </is>
      </c>
    </row>
    <row r="992">
      <c r="A992" s="2" t="inlineStr">
        <is>
          <t>EMP00781</t>
        </is>
      </c>
      <c r="B992" s="2" t="inlineStr">
        <is>
          <t>Engineering</t>
        </is>
      </c>
      <c r="C992" s="2" t="inlineStr">
        <is>
          <t>Software Engineer</t>
        </is>
      </c>
      <c r="D992" s="2" t="n">
        <v>39</v>
      </c>
      <c r="E992" s="2" t="n">
        <v>2.4</v>
      </c>
      <c r="F992" s="2" t="n">
        <v>1158000</v>
      </c>
      <c r="G992" s="2" t="inlineStr">
        <is>
          <t>No</t>
        </is>
      </c>
      <c r="H992" s="2" t="n">
        <v>60</v>
      </c>
      <c r="I992" s="2" t="n">
        <v>2.9</v>
      </c>
      <c r="J992" s="2" t="n">
        <v>3.7</v>
      </c>
      <c r="K992" s="2" t="n">
        <v>3.4</v>
      </c>
      <c r="L992" s="2" t="inlineStr">
        <is>
          <t>Active</t>
        </is>
      </c>
    </row>
    <row r="993">
      <c r="A993" s="2" t="inlineStr">
        <is>
          <t>EMP00547</t>
        </is>
      </c>
      <c r="B993" s="2" t="inlineStr">
        <is>
          <t>Engineering</t>
        </is>
      </c>
      <c r="C993" s="2" t="inlineStr">
        <is>
          <t>Senior Engineer</t>
        </is>
      </c>
      <c r="D993" s="2" t="n">
        <v>25</v>
      </c>
      <c r="E993" s="2" t="n">
        <v>0.9</v>
      </c>
      <c r="F993" s="2" t="n">
        <v>891000</v>
      </c>
      <c r="G993" s="2" t="inlineStr">
        <is>
          <t>No</t>
        </is>
      </c>
      <c r="H993" s="2" t="n">
        <v>14</v>
      </c>
      <c r="I993" s="2" t="n">
        <v>2.9</v>
      </c>
      <c r="J993" s="2" t="n">
        <v>3.3</v>
      </c>
      <c r="K993" s="2" t="n">
        <v>4</v>
      </c>
      <c r="L993" s="2" t="inlineStr">
        <is>
          <t>Active</t>
        </is>
      </c>
    </row>
    <row r="994">
      <c r="A994" s="2" t="inlineStr">
        <is>
          <t>EMP00182</t>
        </is>
      </c>
      <c r="B994" s="2" t="inlineStr">
        <is>
          <t>Customer Support</t>
        </is>
      </c>
      <c r="C994" s="2" t="inlineStr">
        <is>
          <t>Support Lead</t>
        </is>
      </c>
      <c r="D994" s="2" t="n">
        <v>32</v>
      </c>
      <c r="E994" s="2" t="n">
        <v>4.1</v>
      </c>
      <c r="F994" s="2" t="n">
        <v>527000</v>
      </c>
      <c r="G994" s="2" t="inlineStr">
        <is>
          <t>No</t>
        </is>
      </c>
      <c r="H994" s="2" t="n">
        <v>34</v>
      </c>
      <c r="I994" s="2" t="n">
        <v>2.8</v>
      </c>
      <c r="J994" s="2" t="n">
        <v>3</v>
      </c>
      <c r="K994" s="2" t="n">
        <v>2.7</v>
      </c>
      <c r="L994" s="2" t="inlineStr">
        <is>
          <t>Active</t>
        </is>
      </c>
    </row>
    <row r="995">
      <c r="A995" s="2" t="inlineStr">
        <is>
          <t>EMP00185</t>
        </is>
      </c>
      <c r="B995" s="2" t="inlineStr">
        <is>
          <t>HR</t>
        </is>
      </c>
      <c r="C995" s="2" t="inlineStr">
        <is>
          <t>Recruiter</t>
        </is>
      </c>
      <c r="D995" s="2" t="n">
        <v>42</v>
      </c>
      <c r="E995" s="2" t="n">
        <v>1.5</v>
      </c>
      <c r="F995" s="2" t="n">
        <v>644000</v>
      </c>
      <c r="G995" s="2" t="inlineStr">
        <is>
          <t>Yes</t>
        </is>
      </c>
      <c r="H995" s="2" t="n">
        <v>58</v>
      </c>
      <c r="I995" s="2" t="n">
        <v>5</v>
      </c>
      <c r="J995" s="2" t="n">
        <v>3.6</v>
      </c>
      <c r="K995" s="2" t="n">
        <v>3.1</v>
      </c>
      <c r="L995" s="2" t="inlineStr">
        <is>
          <t>Active</t>
        </is>
      </c>
    </row>
    <row r="996">
      <c r="A996" s="2" t="inlineStr">
        <is>
          <t>EMP00407</t>
        </is>
      </c>
      <c r="B996" s="2" t="inlineStr">
        <is>
          <t>Engineering</t>
        </is>
      </c>
      <c r="C996" s="2" t="inlineStr">
        <is>
          <t>Software Engineer</t>
        </is>
      </c>
      <c r="D996" s="2" t="n">
        <v>48</v>
      </c>
      <c r="E996" s="2" t="n">
        <v>6</v>
      </c>
      <c r="F996" s="2" t="n">
        <v>1407000</v>
      </c>
      <c r="G996" s="2" t="inlineStr">
        <is>
          <t>No</t>
        </is>
      </c>
      <c r="H996" s="2" t="n">
        <v>10</v>
      </c>
      <c r="I996" s="2" t="n">
        <v>3.5</v>
      </c>
      <c r="J996" s="2" t="n">
        <v>3.7</v>
      </c>
      <c r="K996" s="2" t="n">
        <v>2.6</v>
      </c>
      <c r="L996" s="2" t="inlineStr">
        <is>
          <t>Active</t>
        </is>
      </c>
    </row>
    <row r="997">
      <c r="A997" s="2" t="inlineStr">
        <is>
          <t>EMP00720</t>
        </is>
      </c>
      <c r="B997" s="2" t="inlineStr">
        <is>
          <t>Customer Support</t>
        </is>
      </c>
      <c r="C997" s="2" t="inlineStr">
        <is>
          <t>Support Manager</t>
        </is>
      </c>
      <c r="D997" s="2" t="n">
        <v>21</v>
      </c>
      <c r="E997" s="2" t="n">
        <v>1.2</v>
      </c>
      <c r="F997" s="2" t="n">
        <v>504000</v>
      </c>
      <c r="G997" s="2" t="inlineStr">
        <is>
          <t>No</t>
        </is>
      </c>
      <c r="H997" s="2" t="n">
        <v>21</v>
      </c>
      <c r="I997" s="2" t="n">
        <v>3.9</v>
      </c>
      <c r="J997" s="2" t="n">
        <v>3.3</v>
      </c>
      <c r="K997" s="2" t="n">
        <v>2.6</v>
      </c>
      <c r="L997" s="2" t="inlineStr">
        <is>
          <t>Active</t>
        </is>
      </c>
    </row>
    <row r="998">
      <c r="A998" s="2" t="inlineStr">
        <is>
          <t>EMP01023</t>
        </is>
      </c>
      <c r="B998" s="2" t="inlineStr">
        <is>
          <t>Customer Support</t>
        </is>
      </c>
      <c r="C998" s="2" t="inlineStr">
        <is>
          <t>Support Lead</t>
        </is>
      </c>
      <c r="D998" s="2" t="n">
        <v>25</v>
      </c>
      <c r="E998" s="2" t="n">
        <v>2.9</v>
      </c>
      <c r="F998" s="2" t="n">
        <v>598000</v>
      </c>
      <c r="G998" s="2" t="inlineStr">
        <is>
          <t>No</t>
        </is>
      </c>
      <c r="H998" s="2" t="n">
        <v>1</v>
      </c>
      <c r="I998" s="2" t="n">
        <v>3.5</v>
      </c>
      <c r="J998" s="2" t="n">
        <v>2.4</v>
      </c>
      <c r="K998" s="2" t="n">
        <v>4.3</v>
      </c>
      <c r="L998" s="2" t="inlineStr">
        <is>
          <t>Active</t>
        </is>
      </c>
    </row>
    <row r="999">
      <c r="A999" s="2" t="inlineStr">
        <is>
          <t>EMP00607</t>
        </is>
      </c>
      <c r="B999" s="2" t="inlineStr">
        <is>
          <t>Customer Support</t>
        </is>
      </c>
      <c r="C999" s="2" t="inlineStr">
        <is>
          <t>Support Lead</t>
        </is>
      </c>
      <c r="D999" s="2" t="n">
        <v>37</v>
      </c>
      <c r="E999" s="2" t="n">
        <v>7.7</v>
      </c>
      <c r="F999" s="2" t="n">
        <v>678000</v>
      </c>
      <c r="G999" s="2" t="inlineStr">
        <is>
          <t>No</t>
        </is>
      </c>
      <c r="H999" s="2" t="n">
        <v>50</v>
      </c>
      <c r="I999" s="2" t="n">
        <v>3.9</v>
      </c>
      <c r="J999" s="2" t="n">
        <v>2.6</v>
      </c>
      <c r="K999" s="2" t="n">
        <v>3.3</v>
      </c>
      <c r="L999" s="2" t="inlineStr">
        <is>
          <t>Active</t>
        </is>
      </c>
    </row>
    <row r="1000">
      <c r="A1000" s="2" t="inlineStr">
        <is>
          <t>EMP00693</t>
        </is>
      </c>
      <c r="B1000" s="2" t="inlineStr">
        <is>
          <t>Engineering</t>
        </is>
      </c>
      <c r="C1000" s="2" t="inlineStr">
        <is>
          <t>Engineering Manager</t>
        </is>
      </c>
      <c r="D1000" s="2" t="n">
        <v>25</v>
      </c>
      <c r="E1000" s="2" t="n">
        <v>1.7</v>
      </c>
      <c r="F1000" s="2" t="n">
        <v>1065000</v>
      </c>
      <c r="G1000" s="2" t="inlineStr">
        <is>
          <t>Yes</t>
        </is>
      </c>
      <c r="H1000" s="2" t="n">
        <v>33</v>
      </c>
      <c r="I1000" s="2" t="n">
        <v>3.5</v>
      </c>
      <c r="J1000" s="2" t="n">
        <v>2.5</v>
      </c>
      <c r="K1000" s="2" t="n">
        <v>3.3</v>
      </c>
      <c r="L1000" s="2" t="inlineStr">
        <is>
          <t>Active</t>
        </is>
      </c>
    </row>
    <row r="1001">
      <c r="A1001" s="2" t="inlineStr">
        <is>
          <t>EMP00521</t>
        </is>
      </c>
      <c r="B1001" s="2" t="inlineStr">
        <is>
          <t>Customer Support</t>
        </is>
      </c>
      <c r="C1001" s="2" t="inlineStr">
        <is>
          <t>Support Associate</t>
        </is>
      </c>
      <c r="D1001" s="2" t="n">
        <v>30</v>
      </c>
      <c r="E1001" s="2" t="n">
        <v>1.9</v>
      </c>
      <c r="F1001" s="2" t="n">
        <v>514000</v>
      </c>
      <c r="G1001" s="2" t="inlineStr">
        <is>
          <t>Yes</t>
        </is>
      </c>
      <c r="H1001" s="2" t="n">
        <v>51</v>
      </c>
      <c r="I1001" s="2" t="n">
        <v>4</v>
      </c>
      <c r="J1001" s="2" t="n">
        <v>1.3</v>
      </c>
      <c r="K1001" s="2" t="n">
        <v>3.1</v>
      </c>
      <c r="L1001" s="2" t="inlineStr">
        <is>
          <t>Resigned</t>
        </is>
      </c>
    </row>
    <row r="1002">
      <c r="A1002" s="2" t="inlineStr">
        <is>
          <t>EMP00866</t>
        </is>
      </c>
      <c r="B1002" s="2" t="inlineStr">
        <is>
          <t>Customer Support</t>
        </is>
      </c>
      <c r="C1002" s="2" t="inlineStr">
        <is>
          <t>Support Lead</t>
        </is>
      </c>
      <c r="D1002" s="2" t="n">
        <v>42</v>
      </c>
      <c r="E1002" s="2" t="n">
        <v>2.6</v>
      </c>
      <c r="F1002" s="2" t="n">
        <v>506000</v>
      </c>
      <c r="G1002" s="2" t="inlineStr">
        <is>
          <t>No</t>
        </is>
      </c>
      <c r="H1002" s="2" t="n">
        <v>41</v>
      </c>
      <c r="I1002" s="2" t="n">
        <v>3.6</v>
      </c>
      <c r="J1002" s="2" t="n">
        <v>2.1</v>
      </c>
      <c r="K1002" s="2" t="n">
        <v>2.5</v>
      </c>
      <c r="L1002" s="2" t="inlineStr">
        <is>
          <t>Active</t>
        </is>
      </c>
    </row>
    <row r="1003">
      <c r="A1003" s="2" t="inlineStr">
        <is>
          <t>EMP01004</t>
        </is>
      </c>
      <c r="B1003" s="2" t="inlineStr">
        <is>
          <t>Sales</t>
        </is>
      </c>
      <c r="C1003" s="2" t="inlineStr">
        <is>
          <t>Sales Manager</t>
        </is>
      </c>
      <c r="D1003" s="2" t="n">
        <v>25</v>
      </c>
      <c r="E1003" s="2" t="n">
        <v>1.3</v>
      </c>
      <c r="F1003" s="2" t="n">
        <v>754000</v>
      </c>
      <c r="G1003" s="2" t="inlineStr">
        <is>
          <t>Yes</t>
        </is>
      </c>
      <c r="H1003" s="2" t="n">
        <v>31</v>
      </c>
      <c r="I1003" s="2" t="n">
        <v>3.5</v>
      </c>
      <c r="J1003" s="2" t="n">
        <v>2.2</v>
      </c>
      <c r="K1003" s="2" t="n">
        <v>3.1</v>
      </c>
      <c r="L1003" s="2" t="inlineStr">
        <is>
          <t>Resigned</t>
        </is>
      </c>
    </row>
    <row r="1004">
      <c r="A1004" s="2" t="inlineStr">
        <is>
          <t>EMP00428</t>
        </is>
      </c>
      <c r="B1004" s="2" t="inlineStr">
        <is>
          <t>Customer Support</t>
        </is>
      </c>
      <c r="C1004" s="2" t="inlineStr">
        <is>
          <t>Support Manager</t>
        </is>
      </c>
      <c r="D1004" s="2" t="n">
        <v>28</v>
      </c>
      <c r="E1004" s="2" t="n">
        <v>7.9</v>
      </c>
      <c r="F1004" s="2" t="n">
        <v>685000</v>
      </c>
      <c r="G1004" s="2" t="inlineStr">
        <is>
          <t>Yes</t>
        </is>
      </c>
      <c r="H1004" s="2" t="n">
        <v>12</v>
      </c>
      <c r="I1004" s="2" t="n">
        <v>3.2</v>
      </c>
      <c r="J1004" s="2" t="n">
        <v>2.9</v>
      </c>
      <c r="K1004" s="2" t="n">
        <v>3</v>
      </c>
      <c r="L1004" s="2" t="inlineStr">
        <is>
          <t>Active</t>
        </is>
      </c>
    </row>
    <row r="1005">
      <c r="A1005" s="2" t="inlineStr">
        <is>
          <t>EMP00079</t>
        </is>
      </c>
      <c r="B1005" s="2" t="inlineStr">
        <is>
          <t>Operations</t>
        </is>
      </c>
      <c r="C1005" s="2" t="inlineStr">
        <is>
          <t>Ops Analyst</t>
        </is>
      </c>
      <c r="D1005" s="2" t="n">
        <v>33</v>
      </c>
      <c r="E1005" s="2" t="n">
        <v>6.1</v>
      </c>
      <c r="F1005" s="2" t="n">
        <v>817000</v>
      </c>
      <c r="G1005" s="2" t="inlineStr">
        <is>
          <t>No</t>
        </is>
      </c>
      <c r="H1005" s="2" t="n">
        <v>27</v>
      </c>
      <c r="I1005" s="2" t="n">
        <v>3.7</v>
      </c>
      <c r="J1005" s="2" t="n">
        <v>3.4</v>
      </c>
      <c r="K1005" s="2" t="n">
        <v>1.4</v>
      </c>
      <c r="L1005" s="2" t="inlineStr">
        <is>
          <t>Active</t>
        </is>
      </c>
    </row>
    <row r="1006">
      <c r="A1006" s="2" t="inlineStr">
        <is>
          <t>EMP01010</t>
        </is>
      </c>
      <c r="B1006" s="2" t="inlineStr">
        <is>
          <t>Operations</t>
        </is>
      </c>
      <c r="C1006" s="2" t="inlineStr">
        <is>
          <t>Ops Manager</t>
        </is>
      </c>
      <c r="D1006" s="2" t="n">
        <v>35</v>
      </c>
      <c r="E1006" s="2" t="n">
        <v>1.2</v>
      </c>
      <c r="F1006" s="2" t="n">
        <v>605000</v>
      </c>
      <c r="G1006" s="2" t="inlineStr">
        <is>
          <t>No</t>
        </is>
      </c>
      <c r="H1006" s="2" t="n">
        <v>6</v>
      </c>
      <c r="I1006" s="2" t="n">
        <v>2.9</v>
      </c>
      <c r="J1006" s="2" t="n">
        <v>3.4</v>
      </c>
      <c r="K1006" s="2" t="n">
        <v>2.7</v>
      </c>
      <c r="L1006" s="2" t="inlineStr">
        <is>
          <t>Active</t>
        </is>
      </c>
    </row>
    <row r="1007">
      <c r="A1007" s="2" t="inlineStr">
        <is>
          <t>EMP01198</t>
        </is>
      </c>
      <c r="B1007" s="2" t="inlineStr">
        <is>
          <t>Finance</t>
        </is>
      </c>
      <c r="C1007" s="2" t="inlineStr">
        <is>
          <t>Accountant</t>
        </is>
      </c>
      <c r="D1007" s="2" t="n">
        <v>32</v>
      </c>
      <c r="E1007" s="2" t="n">
        <v>2</v>
      </c>
      <c r="F1007" s="2" t="n">
        <v>848000</v>
      </c>
      <c r="G1007" s="2" t="inlineStr">
        <is>
          <t>No</t>
        </is>
      </c>
      <c r="H1007" s="2" t="n">
        <v>57</v>
      </c>
      <c r="I1007" s="2" t="n">
        <v>3.3</v>
      </c>
      <c r="J1007" s="2" t="n">
        <v>4.3</v>
      </c>
      <c r="K1007" s="2" t="n">
        <v>3.1</v>
      </c>
      <c r="L1007" s="2" t="inlineStr">
        <is>
          <t>Active</t>
        </is>
      </c>
    </row>
    <row r="1008">
      <c r="A1008" s="2" t="inlineStr">
        <is>
          <t>EMP00608</t>
        </is>
      </c>
      <c r="B1008" s="2" t="inlineStr">
        <is>
          <t>Sales</t>
        </is>
      </c>
      <c r="C1008" s="2" t="inlineStr">
        <is>
          <t>Account Manager</t>
        </is>
      </c>
      <c r="D1008" s="2" t="n">
        <v>53</v>
      </c>
      <c r="E1008" s="2" t="n">
        <v>8.4</v>
      </c>
      <c r="F1008" s="2" t="n">
        <v>870000</v>
      </c>
      <c r="G1008" s="2" t="inlineStr">
        <is>
          <t>No</t>
        </is>
      </c>
      <c r="H1008" s="2" t="n">
        <v>37</v>
      </c>
      <c r="I1008" s="2" t="n">
        <v>4.4</v>
      </c>
      <c r="J1008" s="2" t="n">
        <v>2.5</v>
      </c>
      <c r="K1008" s="2" t="n">
        <v>2.3</v>
      </c>
      <c r="L1008" s="2" t="inlineStr">
        <is>
          <t>Active</t>
        </is>
      </c>
    </row>
    <row r="1009">
      <c r="A1009" s="2" t="inlineStr">
        <is>
          <t>EMP01076</t>
        </is>
      </c>
      <c r="B1009" s="2" t="inlineStr">
        <is>
          <t>Engineering</t>
        </is>
      </c>
      <c r="C1009" s="2" t="inlineStr">
        <is>
          <t>Software Engineer</t>
        </is>
      </c>
      <c r="D1009" s="2" t="n">
        <v>40</v>
      </c>
      <c r="E1009" s="2" t="n">
        <v>6.3</v>
      </c>
      <c r="F1009" s="2" t="n">
        <v>1214000</v>
      </c>
      <c r="G1009" s="2" t="inlineStr">
        <is>
          <t>No</t>
        </is>
      </c>
      <c r="H1009" s="2" t="n">
        <v>41</v>
      </c>
      <c r="I1009" s="2" t="n">
        <v>3.6</v>
      </c>
      <c r="J1009" s="2" t="n">
        <v>2.8</v>
      </c>
      <c r="K1009" s="2" t="n">
        <v>3.7</v>
      </c>
      <c r="L1009" s="2" t="inlineStr">
        <is>
          <t>Active</t>
        </is>
      </c>
    </row>
    <row r="1010">
      <c r="A1010" s="2" t="inlineStr">
        <is>
          <t>EMP01104</t>
        </is>
      </c>
      <c r="B1010" s="2" t="inlineStr">
        <is>
          <t>HR</t>
        </is>
      </c>
      <c r="C1010" s="2" t="inlineStr">
        <is>
          <t>HR Generalist</t>
        </is>
      </c>
      <c r="D1010" s="2" t="n">
        <v>39</v>
      </c>
      <c r="E1010" s="2" t="n">
        <v>6.7</v>
      </c>
      <c r="F1010" s="2" t="n">
        <v>681000</v>
      </c>
      <c r="G1010" s="2" t="inlineStr">
        <is>
          <t>Yes</t>
        </is>
      </c>
      <c r="H1010" s="2" t="n">
        <v>40</v>
      </c>
      <c r="I1010" s="2" t="n">
        <v>2.5</v>
      </c>
      <c r="J1010" s="2" t="n">
        <v>2.5</v>
      </c>
      <c r="K1010" s="2" t="n">
        <v>5</v>
      </c>
      <c r="L1010" s="2" t="inlineStr">
        <is>
          <t>Active</t>
        </is>
      </c>
    </row>
    <row r="1011">
      <c r="A1011" s="2" t="inlineStr">
        <is>
          <t>EMP01064</t>
        </is>
      </c>
      <c r="B1011" s="2" t="inlineStr">
        <is>
          <t>Finance</t>
        </is>
      </c>
      <c r="C1011" s="2" t="inlineStr">
        <is>
          <t>Financial Analyst</t>
        </is>
      </c>
      <c r="D1011" s="2" t="n">
        <v>42</v>
      </c>
      <c r="E1011" s="2" t="n">
        <v>0.7</v>
      </c>
      <c r="F1011" s="2" t="n">
        <v>806000</v>
      </c>
      <c r="G1011" s="2" t="inlineStr">
        <is>
          <t>No</t>
        </is>
      </c>
      <c r="H1011" s="2" t="n">
        <v>19</v>
      </c>
      <c r="I1011" s="2" t="n">
        <v>4.1</v>
      </c>
      <c r="J1011" s="2" t="n">
        <v>4.3</v>
      </c>
      <c r="K1011" s="2" t="n">
        <v>3</v>
      </c>
      <c r="L1011" s="2" t="inlineStr">
        <is>
          <t>Active</t>
        </is>
      </c>
    </row>
    <row r="1012">
      <c r="A1012" s="2" t="inlineStr">
        <is>
          <t>EMP00959</t>
        </is>
      </c>
      <c r="B1012" s="2" t="inlineStr">
        <is>
          <t>Operations</t>
        </is>
      </c>
      <c r="C1012" s="2" t="inlineStr">
        <is>
          <t>Ops Analyst</t>
        </is>
      </c>
      <c r="D1012" s="2" t="n">
        <v>38</v>
      </c>
      <c r="E1012" s="2" t="n">
        <v>0.9</v>
      </c>
      <c r="F1012" s="2" t="n">
        <v>719000</v>
      </c>
      <c r="G1012" s="2" t="inlineStr">
        <is>
          <t>No</t>
        </is>
      </c>
      <c r="H1012" s="2" t="n">
        <v>36</v>
      </c>
      <c r="I1012" s="2" t="n">
        <v>2</v>
      </c>
      <c r="J1012" s="2" t="n">
        <v>3.6</v>
      </c>
      <c r="K1012" s="2" t="n">
        <v>2.9</v>
      </c>
      <c r="L1012" s="2" t="inlineStr">
        <is>
          <t>Active</t>
        </is>
      </c>
    </row>
    <row r="1013">
      <c r="A1013" s="2" t="inlineStr">
        <is>
          <t>EMP00847</t>
        </is>
      </c>
      <c r="B1013" s="2" t="inlineStr">
        <is>
          <t>Engineering</t>
        </is>
      </c>
      <c r="C1013" s="2" t="inlineStr">
        <is>
          <t>Engineering Manager</t>
        </is>
      </c>
      <c r="D1013" s="2" t="n">
        <v>35</v>
      </c>
      <c r="E1013" s="2" t="n">
        <v>7.7</v>
      </c>
      <c r="F1013" s="2" t="n">
        <v>1317000</v>
      </c>
      <c r="G1013" s="2" t="inlineStr">
        <is>
          <t>Yes</t>
        </is>
      </c>
      <c r="H1013" s="2" t="n">
        <v>43</v>
      </c>
      <c r="I1013" s="2" t="n">
        <v>3.8</v>
      </c>
      <c r="J1013" s="2" t="n">
        <v>2.2</v>
      </c>
      <c r="K1013" s="2" t="n">
        <v>3.5</v>
      </c>
      <c r="L1013" s="2" t="inlineStr">
        <is>
          <t>Active</t>
        </is>
      </c>
    </row>
    <row r="1014">
      <c r="A1014" s="2" t="inlineStr">
        <is>
          <t>EMP00691</t>
        </is>
      </c>
      <c r="B1014" s="2" t="inlineStr">
        <is>
          <t>Engineering</t>
        </is>
      </c>
      <c r="C1014" s="2" t="inlineStr">
        <is>
          <t>Senior Engineer</t>
        </is>
      </c>
      <c r="D1014" s="2" t="n">
        <v>36</v>
      </c>
      <c r="E1014" s="2" t="n">
        <v>1.5</v>
      </c>
      <c r="F1014" s="2" t="n">
        <v>1037000</v>
      </c>
      <c r="G1014" s="2" t="inlineStr">
        <is>
          <t>No</t>
        </is>
      </c>
      <c r="H1014" s="2" t="n">
        <v>46</v>
      </c>
      <c r="I1014" s="2" t="n">
        <v>2</v>
      </c>
      <c r="J1014" s="2" t="n">
        <v>2.8</v>
      </c>
      <c r="K1014" s="2" t="n">
        <v>2.9</v>
      </c>
      <c r="L1014" s="2" t="inlineStr">
        <is>
          <t>Active</t>
        </is>
      </c>
    </row>
    <row r="1015">
      <c r="A1015" s="2" t="inlineStr">
        <is>
          <t>EMP01179</t>
        </is>
      </c>
      <c r="B1015" s="2" t="inlineStr">
        <is>
          <t>Sales</t>
        </is>
      </c>
      <c r="C1015" s="2" t="inlineStr">
        <is>
          <t>Sales Manager</t>
        </is>
      </c>
      <c r="D1015" s="2" t="n">
        <v>33</v>
      </c>
      <c r="E1015" s="2" t="n">
        <v>1.2</v>
      </c>
      <c r="F1015" s="2" t="n">
        <v>709000</v>
      </c>
      <c r="G1015" s="2" t="inlineStr">
        <is>
          <t>No</t>
        </is>
      </c>
      <c r="H1015" s="2" t="n">
        <v>22</v>
      </c>
      <c r="I1015" s="2" t="n">
        <v>3.9</v>
      </c>
      <c r="J1015" s="2" t="n">
        <v>3.9</v>
      </c>
      <c r="K1015" s="2" t="n">
        <v>4</v>
      </c>
      <c r="L1015" s="2" t="inlineStr">
        <is>
          <t>Active</t>
        </is>
      </c>
    </row>
    <row r="1016">
      <c r="A1016" s="2" t="inlineStr">
        <is>
          <t>EMP01132</t>
        </is>
      </c>
      <c r="B1016" s="2" t="inlineStr">
        <is>
          <t>Operations</t>
        </is>
      </c>
      <c r="C1016" s="2" t="inlineStr">
        <is>
          <t>Ops Analyst</t>
        </is>
      </c>
      <c r="D1016" s="2" t="n">
        <v>38</v>
      </c>
      <c r="E1016" s="2" t="n">
        <v>1.3</v>
      </c>
      <c r="F1016" s="2" t="n">
        <v>709000</v>
      </c>
      <c r="G1016" s="2" t="inlineStr">
        <is>
          <t>Yes</t>
        </is>
      </c>
      <c r="H1016" s="2" t="n">
        <v>14</v>
      </c>
      <c r="I1016" s="2" t="n">
        <v>4.3</v>
      </c>
      <c r="J1016" s="2" t="n">
        <v>3.5</v>
      </c>
      <c r="K1016" s="2" t="n">
        <v>2.2</v>
      </c>
      <c r="L1016" s="2" t="inlineStr">
        <is>
          <t>Active</t>
        </is>
      </c>
    </row>
    <row r="1017">
      <c r="A1017" s="2" t="inlineStr">
        <is>
          <t>EMP00437</t>
        </is>
      </c>
      <c r="B1017" s="2" t="inlineStr">
        <is>
          <t>Sales</t>
        </is>
      </c>
      <c r="C1017" s="2" t="inlineStr">
        <is>
          <t>Sales Manager</t>
        </is>
      </c>
      <c r="D1017" s="2" t="n">
        <v>27</v>
      </c>
      <c r="E1017" s="2" t="n">
        <v>2.7</v>
      </c>
      <c r="F1017" s="2" t="n">
        <v>655000</v>
      </c>
      <c r="G1017" s="2" t="inlineStr">
        <is>
          <t>No</t>
        </is>
      </c>
      <c r="H1017" s="2" t="n">
        <v>13</v>
      </c>
      <c r="I1017" s="2" t="n">
        <v>2.2</v>
      </c>
      <c r="J1017" s="2" t="n">
        <v>2.4</v>
      </c>
      <c r="K1017" s="2" t="n">
        <v>4.4</v>
      </c>
      <c r="L1017" s="2" t="inlineStr">
        <is>
          <t>Active</t>
        </is>
      </c>
    </row>
    <row r="1018">
      <c r="A1018" s="2" t="inlineStr">
        <is>
          <t>EMP00491</t>
        </is>
      </c>
      <c r="B1018" s="2" t="inlineStr">
        <is>
          <t>Finance</t>
        </is>
      </c>
      <c r="C1018" s="2" t="inlineStr">
        <is>
          <t>Financial Analyst</t>
        </is>
      </c>
      <c r="D1018" s="2" t="n">
        <v>31</v>
      </c>
      <c r="E1018" s="2" t="n">
        <v>3.3</v>
      </c>
      <c r="F1018" s="2" t="n">
        <v>886000</v>
      </c>
      <c r="G1018" s="2" t="inlineStr">
        <is>
          <t>No</t>
        </is>
      </c>
      <c r="H1018" s="2" t="n">
        <v>19</v>
      </c>
      <c r="I1018" s="2" t="n">
        <v>4.4</v>
      </c>
      <c r="J1018" s="2" t="n">
        <v>3.4</v>
      </c>
      <c r="K1018" s="2" t="n">
        <v>2.8</v>
      </c>
      <c r="L1018" s="2" t="inlineStr">
        <is>
          <t>Active</t>
        </is>
      </c>
    </row>
    <row r="1019">
      <c r="A1019" s="2" t="inlineStr">
        <is>
          <t>EMP00596</t>
        </is>
      </c>
      <c r="B1019" s="2" t="inlineStr">
        <is>
          <t>Engineering</t>
        </is>
      </c>
      <c r="C1019" s="2" t="inlineStr">
        <is>
          <t>Senior Engineer</t>
        </is>
      </c>
      <c r="D1019" s="2" t="n">
        <v>28</v>
      </c>
      <c r="E1019" s="2" t="n">
        <v>3.1</v>
      </c>
      <c r="F1019" s="2" t="n">
        <v>1284000</v>
      </c>
      <c r="G1019" s="2" t="inlineStr">
        <is>
          <t>No</t>
        </is>
      </c>
      <c r="H1019" s="2" t="n">
        <v>21</v>
      </c>
      <c r="I1019" s="2" t="n">
        <v>2.1</v>
      </c>
      <c r="J1019" s="2" t="n">
        <v>3.1</v>
      </c>
      <c r="K1019" s="2" t="n">
        <v>3.5</v>
      </c>
      <c r="L1019" s="2" t="inlineStr">
        <is>
          <t>Active</t>
        </is>
      </c>
    </row>
    <row r="1020">
      <c r="A1020" s="2" t="inlineStr">
        <is>
          <t>EMP00070</t>
        </is>
      </c>
      <c r="B1020" s="2" t="inlineStr">
        <is>
          <t>Operations</t>
        </is>
      </c>
      <c r="C1020" s="2" t="inlineStr">
        <is>
          <t>Ops Analyst</t>
        </is>
      </c>
      <c r="D1020" s="2" t="n">
        <v>32</v>
      </c>
      <c r="E1020" s="2" t="n">
        <v>1.1</v>
      </c>
      <c r="F1020" s="2" t="n">
        <v>688000</v>
      </c>
      <c r="G1020" s="2" t="inlineStr">
        <is>
          <t>No</t>
        </is>
      </c>
      <c r="H1020" s="2" t="n">
        <v>36</v>
      </c>
      <c r="I1020" s="2" t="n">
        <v>1.8</v>
      </c>
      <c r="J1020" s="2" t="n">
        <v>3.9</v>
      </c>
      <c r="K1020" s="2" t="n">
        <v>2.9</v>
      </c>
      <c r="L1020" s="2" t="inlineStr">
        <is>
          <t>Active</t>
        </is>
      </c>
    </row>
    <row r="1021">
      <c r="A1021" s="2" t="inlineStr">
        <is>
          <t>EMP00809</t>
        </is>
      </c>
      <c r="B1021" s="2" t="inlineStr">
        <is>
          <t>Operations</t>
        </is>
      </c>
      <c r="C1021" s="2" t="inlineStr">
        <is>
          <t>Ops Manager</t>
        </is>
      </c>
      <c r="D1021" s="2" t="n">
        <v>41</v>
      </c>
      <c r="E1021" s="2" t="n">
        <v>1.1</v>
      </c>
      <c r="F1021" s="2" t="n">
        <v>637000</v>
      </c>
      <c r="G1021" s="2" t="inlineStr">
        <is>
          <t>No</t>
        </is>
      </c>
      <c r="H1021" s="2" t="n">
        <v>60</v>
      </c>
      <c r="I1021" s="2" t="n">
        <v>2.6</v>
      </c>
      <c r="J1021" s="2" t="n">
        <v>2.5</v>
      </c>
      <c r="K1021" s="2" t="n">
        <v>3.2</v>
      </c>
      <c r="L1021" s="2" t="inlineStr">
        <is>
          <t>Active</t>
        </is>
      </c>
    </row>
    <row r="1022">
      <c r="A1022" s="2" t="inlineStr">
        <is>
          <t>EMP00012</t>
        </is>
      </c>
      <c r="B1022" s="2" t="inlineStr">
        <is>
          <t>Customer Support</t>
        </is>
      </c>
      <c r="C1022" s="2" t="inlineStr">
        <is>
          <t>Support Associate</t>
        </is>
      </c>
      <c r="D1022" s="2" t="n">
        <v>40</v>
      </c>
      <c r="E1022" s="2" t="n">
        <v>3.5</v>
      </c>
      <c r="F1022" s="2" t="n">
        <v>537000</v>
      </c>
      <c r="G1022" s="2" t="inlineStr">
        <is>
          <t>No</t>
        </is>
      </c>
      <c r="H1022" s="2" t="n">
        <v>59</v>
      </c>
      <c r="I1022" s="2" t="n">
        <v>5</v>
      </c>
      <c r="J1022" s="2" t="n">
        <v>3.4</v>
      </c>
      <c r="K1022" s="2" t="n">
        <v>2.6</v>
      </c>
      <c r="L1022" s="2" t="inlineStr">
        <is>
          <t>Active</t>
        </is>
      </c>
    </row>
    <row r="1023">
      <c r="A1023" s="2" t="inlineStr">
        <is>
          <t>EMP00145</t>
        </is>
      </c>
      <c r="B1023" s="2" t="inlineStr">
        <is>
          <t>Operations</t>
        </is>
      </c>
      <c r="C1023" s="2" t="inlineStr">
        <is>
          <t>Process Lead</t>
        </is>
      </c>
      <c r="D1023" s="2" t="n">
        <v>36</v>
      </c>
      <c r="E1023" s="2" t="n">
        <v>15.7</v>
      </c>
      <c r="F1023" s="2" t="n">
        <v>899000</v>
      </c>
      <c r="G1023" s="2" t="inlineStr">
        <is>
          <t>Yes</t>
        </is>
      </c>
      <c r="H1023" s="2" t="n">
        <v>28</v>
      </c>
      <c r="I1023" s="2" t="n">
        <v>2.9</v>
      </c>
      <c r="J1023" s="2" t="n">
        <v>4.2</v>
      </c>
      <c r="K1023" s="2" t="n">
        <v>4.9</v>
      </c>
      <c r="L1023" s="2" t="inlineStr">
        <is>
          <t>Active</t>
        </is>
      </c>
    </row>
    <row r="1024">
      <c r="A1024" s="2" t="inlineStr">
        <is>
          <t>EMP00918</t>
        </is>
      </c>
      <c r="B1024" s="2" t="inlineStr">
        <is>
          <t>Sales</t>
        </is>
      </c>
      <c r="C1024" s="2" t="inlineStr">
        <is>
          <t>Account Manager</t>
        </is>
      </c>
      <c r="D1024" s="2" t="n">
        <v>27</v>
      </c>
      <c r="E1024" s="2" t="n">
        <v>2</v>
      </c>
      <c r="F1024" s="2" t="n">
        <v>705000</v>
      </c>
      <c r="G1024" s="2" t="inlineStr">
        <is>
          <t>No</t>
        </is>
      </c>
      <c r="H1024" s="2" t="n">
        <v>21</v>
      </c>
      <c r="I1024" s="2" t="n">
        <v>3.2</v>
      </c>
      <c r="J1024" s="2" t="n">
        <v>2.3</v>
      </c>
      <c r="K1024" s="2" t="n">
        <v>3.9</v>
      </c>
      <c r="L1024" s="2" t="inlineStr">
        <is>
          <t>Active</t>
        </is>
      </c>
    </row>
    <row r="1025">
      <c r="A1025" s="2" t="inlineStr">
        <is>
          <t>EMP00640</t>
        </is>
      </c>
      <c r="B1025" s="2" t="inlineStr">
        <is>
          <t>Customer Support</t>
        </is>
      </c>
      <c r="C1025" s="2" t="inlineStr">
        <is>
          <t>Support Associate</t>
        </is>
      </c>
      <c r="D1025" s="2" t="n">
        <v>31</v>
      </c>
      <c r="E1025" s="2" t="n">
        <v>2.8</v>
      </c>
      <c r="F1025" s="2" t="n">
        <v>600000</v>
      </c>
      <c r="G1025" s="2" t="inlineStr">
        <is>
          <t>Yes</t>
        </is>
      </c>
      <c r="H1025" s="2" t="n">
        <v>40</v>
      </c>
      <c r="I1025" s="2" t="n">
        <v>1.4</v>
      </c>
      <c r="J1025" s="2" t="n">
        <v>2.5</v>
      </c>
      <c r="K1025" s="2" t="n">
        <v>2.6</v>
      </c>
      <c r="L1025" s="2" t="inlineStr">
        <is>
          <t>Active</t>
        </is>
      </c>
    </row>
    <row r="1026">
      <c r="A1026" s="2" t="inlineStr">
        <is>
          <t>EMP00177</t>
        </is>
      </c>
      <c r="B1026" s="2" t="inlineStr">
        <is>
          <t>Operations</t>
        </is>
      </c>
      <c r="C1026" s="2" t="inlineStr">
        <is>
          <t>Ops Analyst</t>
        </is>
      </c>
      <c r="D1026" s="2" t="n">
        <v>32</v>
      </c>
      <c r="E1026" s="2" t="n">
        <v>3.5</v>
      </c>
      <c r="F1026" s="2" t="n">
        <v>632000</v>
      </c>
      <c r="G1026" s="2" t="inlineStr">
        <is>
          <t>No</t>
        </is>
      </c>
      <c r="H1026" s="2" t="n">
        <v>12</v>
      </c>
      <c r="I1026" s="2" t="n">
        <v>4.4</v>
      </c>
      <c r="J1026" s="2" t="n">
        <v>4.3</v>
      </c>
      <c r="K1026" s="2" t="n">
        <v>2.6</v>
      </c>
      <c r="L1026" s="2" t="inlineStr">
        <is>
          <t>Active</t>
        </is>
      </c>
    </row>
    <row r="1027">
      <c r="A1027" s="2" t="inlineStr">
        <is>
          <t>EMP00995</t>
        </is>
      </c>
      <c r="B1027" s="2" t="inlineStr">
        <is>
          <t>Customer Support</t>
        </is>
      </c>
      <c r="C1027" s="2" t="inlineStr">
        <is>
          <t>Support Lead</t>
        </is>
      </c>
      <c r="D1027" s="2" t="n">
        <v>33</v>
      </c>
      <c r="E1027" s="2" t="n">
        <v>2.9</v>
      </c>
      <c r="F1027" s="2" t="n">
        <v>610000</v>
      </c>
      <c r="G1027" s="2" t="inlineStr">
        <is>
          <t>No</t>
        </is>
      </c>
      <c r="H1027" s="2" t="n">
        <v>18</v>
      </c>
      <c r="I1027" s="2" t="n">
        <v>2.6</v>
      </c>
      <c r="J1027" s="2" t="n">
        <v>3.1</v>
      </c>
      <c r="K1027" s="2" t="n">
        <v>4.3</v>
      </c>
      <c r="L1027" s="2" t="inlineStr">
        <is>
          <t>Active</t>
        </is>
      </c>
    </row>
    <row r="1028">
      <c r="A1028" s="2" t="inlineStr">
        <is>
          <t>EMP00441</t>
        </is>
      </c>
      <c r="B1028" s="2" t="inlineStr">
        <is>
          <t>Customer Support</t>
        </is>
      </c>
      <c r="C1028" s="2" t="inlineStr">
        <is>
          <t>Support Lead</t>
        </is>
      </c>
      <c r="D1028" s="2" t="n">
        <v>34</v>
      </c>
      <c r="E1028" s="2" t="n">
        <v>1.5</v>
      </c>
      <c r="F1028" s="2" t="n">
        <v>499000</v>
      </c>
      <c r="G1028" s="2" t="inlineStr">
        <is>
          <t>No</t>
        </is>
      </c>
      <c r="H1028" s="2" t="n">
        <v>56</v>
      </c>
      <c r="I1028" s="2" t="n">
        <v>3.7</v>
      </c>
      <c r="J1028" s="2" t="n">
        <v>3</v>
      </c>
      <c r="K1028" s="2" t="n">
        <v>3.3</v>
      </c>
      <c r="L1028" s="2" t="inlineStr">
        <is>
          <t>Resigned</t>
        </is>
      </c>
    </row>
    <row r="1029">
      <c r="A1029" s="2" t="inlineStr">
        <is>
          <t>EMP00522</t>
        </is>
      </c>
      <c r="B1029" s="2" t="inlineStr">
        <is>
          <t>Engineering</t>
        </is>
      </c>
      <c r="C1029" s="2" t="inlineStr">
        <is>
          <t>Engineering Manager</t>
        </is>
      </c>
      <c r="D1029" s="2" t="n">
        <v>21</v>
      </c>
      <c r="E1029" s="2" t="n">
        <v>1.9</v>
      </c>
      <c r="F1029" s="2" t="n">
        <v>1044000</v>
      </c>
      <c r="G1029" s="2" t="inlineStr">
        <is>
          <t>Yes</t>
        </is>
      </c>
      <c r="H1029" s="2" t="n">
        <v>58</v>
      </c>
      <c r="I1029" s="2" t="n">
        <v>1.8</v>
      </c>
      <c r="J1029" s="2" t="n">
        <v>2.1</v>
      </c>
      <c r="K1029" s="2" t="n">
        <v>3.5</v>
      </c>
      <c r="L1029" s="2" t="inlineStr">
        <is>
          <t>Active</t>
        </is>
      </c>
    </row>
    <row r="1030">
      <c r="A1030" s="2" t="inlineStr">
        <is>
          <t>EMP01005</t>
        </is>
      </c>
      <c r="B1030" s="2" t="inlineStr">
        <is>
          <t>Finance</t>
        </is>
      </c>
      <c r="C1030" s="2" t="inlineStr">
        <is>
          <t>Accountant</t>
        </is>
      </c>
      <c r="D1030" s="2" t="n">
        <v>36</v>
      </c>
      <c r="E1030" s="2" t="n">
        <v>2.3</v>
      </c>
      <c r="F1030" s="2" t="n">
        <v>764000</v>
      </c>
      <c r="G1030" s="2" t="inlineStr">
        <is>
          <t>Yes</t>
        </is>
      </c>
      <c r="H1030" s="2" t="n">
        <v>22</v>
      </c>
      <c r="I1030" s="2" t="n">
        <v>2.7</v>
      </c>
      <c r="J1030" s="2" t="n">
        <v>3.1</v>
      </c>
      <c r="K1030" s="2" t="n">
        <v>2.2</v>
      </c>
      <c r="L1030" s="2" t="inlineStr">
        <is>
          <t>Resigned</t>
        </is>
      </c>
    </row>
    <row r="1031">
      <c r="A1031" s="2" t="inlineStr">
        <is>
          <t>EMP00144</t>
        </is>
      </c>
      <c r="B1031" s="2" t="inlineStr">
        <is>
          <t>Operations</t>
        </is>
      </c>
      <c r="C1031" s="2" t="inlineStr">
        <is>
          <t>Ops Manager</t>
        </is>
      </c>
      <c r="D1031" s="2" t="n">
        <v>26</v>
      </c>
      <c r="E1031" s="2" t="n">
        <v>1</v>
      </c>
      <c r="F1031" s="2" t="n">
        <v>609000</v>
      </c>
      <c r="G1031" s="2" t="inlineStr">
        <is>
          <t>No</t>
        </is>
      </c>
      <c r="H1031" s="2" t="n">
        <v>54</v>
      </c>
      <c r="I1031" s="2" t="n">
        <v>4.4</v>
      </c>
      <c r="J1031" s="2" t="n">
        <v>4.8</v>
      </c>
      <c r="K1031" s="2" t="n">
        <v>3.9</v>
      </c>
      <c r="L1031" s="2" t="inlineStr">
        <is>
          <t>Active</t>
        </is>
      </c>
    </row>
    <row r="1032">
      <c r="A1032" s="2" t="inlineStr">
        <is>
          <t>EMP00754</t>
        </is>
      </c>
      <c r="B1032" s="2" t="inlineStr">
        <is>
          <t>Operations</t>
        </is>
      </c>
      <c r="C1032" s="2" t="inlineStr">
        <is>
          <t>Process Lead</t>
        </is>
      </c>
      <c r="D1032" s="2" t="n">
        <v>31</v>
      </c>
      <c r="E1032" s="2" t="n">
        <v>2.2</v>
      </c>
      <c r="F1032" s="2" t="n">
        <v>721000</v>
      </c>
      <c r="G1032" s="2" t="inlineStr">
        <is>
          <t>No</t>
        </is>
      </c>
      <c r="H1032" s="2" t="n">
        <v>25</v>
      </c>
      <c r="I1032" s="2" t="n">
        <v>4.2</v>
      </c>
      <c r="J1032" s="2" t="n">
        <v>2</v>
      </c>
      <c r="K1032" s="2" t="n">
        <v>2.3</v>
      </c>
      <c r="L1032" s="2" t="inlineStr">
        <is>
          <t>Active</t>
        </is>
      </c>
    </row>
    <row r="1033">
      <c r="A1033" s="2" t="inlineStr">
        <is>
          <t>EMP00520</t>
        </is>
      </c>
      <c r="B1033" s="2" t="inlineStr">
        <is>
          <t>HR</t>
        </is>
      </c>
      <c r="C1033" s="2" t="inlineStr">
        <is>
          <t>Recruiter</t>
        </is>
      </c>
      <c r="D1033" s="2" t="n">
        <v>41</v>
      </c>
      <c r="E1033" s="2" t="n">
        <v>2.2</v>
      </c>
      <c r="F1033" s="2" t="n">
        <v>562000</v>
      </c>
      <c r="G1033" s="2" t="inlineStr">
        <is>
          <t>No</t>
        </is>
      </c>
      <c r="H1033" s="2" t="n">
        <v>24</v>
      </c>
      <c r="I1033" s="2" t="n">
        <v>3.6</v>
      </c>
      <c r="J1033" s="2" t="n">
        <v>3</v>
      </c>
      <c r="K1033" s="2" t="n">
        <v>3.5</v>
      </c>
      <c r="L1033" s="2" t="inlineStr">
        <is>
          <t>Active</t>
        </is>
      </c>
    </row>
    <row r="1034">
      <c r="A1034" s="2" t="inlineStr">
        <is>
          <t>EMP00823</t>
        </is>
      </c>
      <c r="B1034" s="2" t="inlineStr">
        <is>
          <t>Engineering</t>
        </is>
      </c>
      <c r="C1034" s="2" t="inlineStr">
        <is>
          <t>Engineering Manager</t>
        </is>
      </c>
      <c r="D1034" s="2" t="n">
        <v>38</v>
      </c>
      <c r="E1034" s="2" t="n">
        <v>3.3</v>
      </c>
      <c r="F1034" s="2" t="n">
        <v>1141000</v>
      </c>
      <c r="G1034" s="2" t="inlineStr">
        <is>
          <t>No</t>
        </is>
      </c>
      <c r="H1034" s="2" t="n">
        <v>2</v>
      </c>
      <c r="I1034" s="2" t="n">
        <v>4.3</v>
      </c>
      <c r="J1034" s="2" t="n">
        <v>3.1</v>
      </c>
      <c r="K1034" s="2" t="n">
        <v>3.3</v>
      </c>
      <c r="L1034" s="2" t="inlineStr">
        <is>
          <t>Active</t>
        </is>
      </c>
    </row>
    <row r="1035">
      <c r="A1035" s="2" t="inlineStr">
        <is>
          <t>EMP00429</t>
        </is>
      </c>
      <c r="B1035" s="2" t="inlineStr">
        <is>
          <t>Sales</t>
        </is>
      </c>
      <c r="C1035" s="2" t="inlineStr">
        <is>
          <t>Account Manager</t>
        </is>
      </c>
      <c r="D1035" s="2" t="n">
        <v>31</v>
      </c>
      <c r="E1035" s="2" t="n">
        <v>2.9</v>
      </c>
      <c r="F1035" s="2" t="n">
        <v>799000</v>
      </c>
      <c r="G1035" s="2" t="inlineStr">
        <is>
          <t>No</t>
        </is>
      </c>
      <c r="H1035" s="2" t="n">
        <v>57</v>
      </c>
      <c r="I1035" s="2" t="n">
        <v>2.6</v>
      </c>
      <c r="J1035" s="2" t="n">
        <v>3.5</v>
      </c>
      <c r="K1035" s="2" t="n">
        <v>4.4</v>
      </c>
      <c r="L1035" s="2" t="inlineStr">
        <is>
          <t>Active</t>
        </is>
      </c>
    </row>
    <row r="1036">
      <c r="A1036" s="2" t="inlineStr">
        <is>
          <t>EMP00613</t>
        </is>
      </c>
      <c r="B1036" s="2" t="inlineStr">
        <is>
          <t>Customer Support</t>
        </is>
      </c>
      <c r="C1036" s="2" t="inlineStr">
        <is>
          <t>Support Associate</t>
        </is>
      </c>
      <c r="D1036" s="2" t="n">
        <v>38</v>
      </c>
      <c r="E1036" s="2" t="n">
        <v>12.3</v>
      </c>
      <c r="F1036" s="2" t="n">
        <v>811000</v>
      </c>
      <c r="G1036" s="2" t="inlineStr">
        <is>
          <t>No</t>
        </is>
      </c>
      <c r="H1036" s="2" t="n">
        <v>44</v>
      </c>
      <c r="I1036" s="2" t="n">
        <v>2.4</v>
      </c>
      <c r="J1036" s="2" t="n">
        <v>3.7</v>
      </c>
      <c r="K1036" s="2" t="n">
        <v>4.9</v>
      </c>
      <c r="L1036" s="2" t="inlineStr">
        <is>
          <t>Active</t>
        </is>
      </c>
    </row>
    <row r="1037">
      <c r="A1037" s="2" t="inlineStr">
        <is>
          <t>EMP01033</t>
        </is>
      </c>
      <c r="B1037" s="2" t="inlineStr">
        <is>
          <t>Operations</t>
        </is>
      </c>
      <c r="C1037" s="2" t="inlineStr">
        <is>
          <t>Ops Analyst</t>
        </is>
      </c>
      <c r="D1037" s="2" t="n">
        <v>31</v>
      </c>
      <c r="E1037" s="2" t="n">
        <v>3.7</v>
      </c>
      <c r="F1037" s="2" t="n">
        <v>826000</v>
      </c>
      <c r="G1037" s="2" t="inlineStr">
        <is>
          <t>No</t>
        </is>
      </c>
      <c r="H1037" s="2" t="n">
        <v>32</v>
      </c>
      <c r="I1037" s="2" t="n">
        <v>3.7</v>
      </c>
      <c r="J1037" s="2" t="n">
        <v>2.7</v>
      </c>
      <c r="K1037" s="2" t="n">
        <v>3.4</v>
      </c>
      <c r="L1037" s="2" t="inlineStr">
        <is>
          <t>Active</t>
        </is>
      </c>
    </row>
    <row r="1038">
      <c r="A1038" s="2" t="inlineStr">
        <is>
          <t>EMP00157</t>
        </is>
      </c>
      <c r="B1038" s="2" t="inlineStr">
        <is>
          <t>Engineering</t>
        </is>
      </c>
      <c r="C1038" s="2" t="inlineStr">
        <is>
          <t>Engineering Manager</t>
        </is>
      </c>
      <c r="D1038" s="2" t="n">
        <v>31</v>
      </c>
      <c r="E1038" s="2" t="n">
        <v>2.9</v>
      </c>
      <c r="F1038" s="2" t="n">
        <v>1034000</v>
      </c>
      <c r="G1038" s="2" t="inlineStr">
        <is>
          <t>No</t>
        </is>
      </c>
      <c r="H1038" s="2" t="n">
        <v>51</v>
      </c>
      <c r="I1038" s="2" t="n">
        <v>3.2</v>
      </c>
      <c r="J1038" s="2" t="n">
        <v>2.8</v>
      </c>
      <c r="K1038" s="2" t="n">
        <v>4</v>
      </c>
      <c r="L1038" s="2" t="inlineStr">
        <is>
          <t>Active</t>
        </is>
      </c>
    </row>
    <row r="1039">
      <c r="A1039" s="2" t="inlineStr">
        <is>
          <t>EMP00540</t>
        </is>
      </c>
      <c r="B1039" s="2" t="inlineStr">
        <is>
          <t>HR</t>
        </is>
      </c>
      <c r="C1039" s="2" t="inlineStr">
        <is>
          <t>HR Generalist</t>
        </is>
      </c>
      <c r="D1039" s="2" t="n">
        <v>21</v>
      </c>
      <c r="E1039" s="2" t="n">
        <v>7.7</v>
      </c>
      <c r="F1039" s="2" t="n">
        <v>805000</v>
      </c>
      <c r="G1039" s="2" t="inlineStr">
        <is>
          <t>No</t>
        </is>
      </c>
      <c r="H1039" s="2" t="n">
        <v>24</v>
      </c>
      <c r="I1039" s="2" t="n">
        <v>3.3</v>
      </c>
      <c r="J1039" s="2" t="n">
        <v>4.2</v>
      </c>
      <c r="K1039" s="2" t="n">
        <v>3.7</v>
      </c>
      <c r="L1039" s="2" t="inlineStr">
        <is>
          <t>Active</t>
        </is>
      </c>
    </row>
    <row r="1040">
      <c r="A1040" s="2" t="inlineStr">
        <is>
          <t>EMP00462</t>
        </is>
      </c>
      <c r="B1040" s="2" t="inlineStr">
        <is>
          <t>Sales</t>
        </is>
      </c>
      <c r="C1040" s="2" t="inlineStr">
        <is>
          <t>Sales Manager</t>
        </is>
      </c>
      <c r="D1040" s="2" t="n">
        <v>43</v>
      </c>
      <c r="E1040" s="2" t="n">
        <v>5.8</v>
      </c>
      <c r="F1040" s="2" t="n">
        <v>757000</v>
      </c>
      <c r="G1040" s="2" t="inlineStr">
        <is>
          <t>Yes</t>
        </is>
      </c>
      <c r="H1040" s="2" t="n">
        <v>17</v>
      </c>
      <c r="I1040" s="2" t="n">
        <v>2.9</v>
      </c>
      <c r="J1040" s="2" t="n">
        <v>3</v>
      </c>
      <c r="K1040" s="2" t="n">
        <v>3.2</v>
      </c>
      <c r="L1040" s="2" t="inlineStr">
        <is>
          <t>Active</t>
        </is>
      </c>
    </row>
    <row r="1041">
      <c r="A1041" s="2" t="inlineStr">
        <is>
          <t>EMP00577</t>
        </is>
      </c>
      <c r="B1041" s="2" t="inlineStr">
        <is>
          <t>Customer Support</t>
        </is>
      </c>
      <c r="C1041" s="2" t="inlineStr">
        <is>
          <t>Support Lead</t>
        </is>
      </c>
      <c r="D1041" s="2" t="n">
        <v>43</v>
      </c>
      <c r="E1041" s="2" t="n">
        <v>5.6</v>
      </c>
      <c r="F1041" s="2" t="n">
        <v>640000</v>
      </c>
      <c r="G1041" s="2" t="inlineStr">
        <is>
          <t>No</t>
        </is>
      </c>
      <c r="H1041" s="2" t="n">
        <v>28</v>
      </c>
      <c r="I1041" s="2" t="n">
        <v>4.8</v>
      </c>
      <c r="J1041" s="2" t="n">
        <v>3.4</v>
      </c>
      <c r="K1041" s="2" t="n">
        <v>2.5</v>
      </c>
      <c r="L1041" s="2" t="inlineStr">
        <is>
          <t>Active</t>
        </is>
      </c>
    </row>
    <row r="1042">
      <c r="A1042" s="2" t="inlineStr">
        <is>
          <t>EMP00256</t>
        </is>
      </c>
      <c r="B1042" s="2" t="inlineStr">
        <is>
          <t>HR</t>
        </is>
      </c>
      <c r="C1042" s="2" t="inlineStr">
        <is>
          <t>Recruiter</t>
        </is>
      </c>
      <c r="D1042" s="2" t="n">
        <v>33</v>
      </c>
      <c r="E1042" s="2" t="n">
        <v>6.4</v>
      </c>
      <c r="F1042" s="2" t="n">
        <v>741000</v>
      </c>
      <c r="G1042" s="2" t="inlineStr">
        <is>
          <t>No</t>
        </is>
      </c>
      <c r="H1042" s="2" t="n">
        <v>30</v>
      </c>
      <c r="I1042" s="2" t="n">
        <v>3</v>
      </c>
      <c r="J1042" s="2" t="n">
        <v>3.1</v>
      </c>
      <c r="K1042" s="2" t="n">
        <v>2.2</v>
      </c>
      <c r="L1042" s="2" t="inlineStr">
        <is>
          <t>Active</t>
        </is>
      </c>
    </row>
    <row r="1043">
      <c r="A1043" s="2" t="inlineStr">
        <is>
          <t>EMP00980</t>
        </is>
      </c>
      <c r="B1043" s="2" t="inlineStr">
        <is>
          <t>Sales</t>
        </is>
      </c>
      <c r="C1043" s="2" t="inlineStr">
        <is>
          <t>Account Manager</t>
        </is>
      </c>
      <c r="D1043" s="2" t="n">
        <v>34</v>
      </c>
      <c r="E1043" s="2" t="n">
        <v>2.1</v>
      </c>
      <c r="F1043" s="2" t="n">
        <v>840000</v>
      </c>
      <c r="G1043" s="2" t="inlineStr">
        <is>
          <t>No</t>
        </is>
      </c>
      <c r="H1043" s="2" t="n">
        <v>48</v>
      </c>
      <c r="I1043" s="2" t="n">
        <v>3.4</v>
      </c>
      <c r="J1043" s="2" t="n">
        <v>3.4</v>
      </c>
      <c r="K1043" s="2" t="n">
        <v>2.8</v>
      </c>
      <c r="L1043" s="2" t="inlineStr">
        <is>
          <t>Active</t>
        </is>
      </c>
    </row>
    <row r="1044">
      <c r="A1044" s="2" t="inlineStr">
        <is>
          <t>EMP01007</t>
        </is>
      </c>
      <c r="B1044" s="2" t="inlineStr">
        <is>
          <t>Customer Support</t>
        </is>
      </c>
      <c r="C1044" s="2" t="inlineStr">
        <is>
          <t>Support Lead</t>
        </is>
      </c>
      <c r="D1044" s="2" t="n">
        <v>34</v>
      </c>
      <c r="E1044" s="2" t="n">
        <v>2</v>
      </c>
      <c r="F1044" s="2" t="n">
        <v>575000</v>
      </c>
      <c r="G1044" s="2" t="inlineStr">
        <is>
          <t>No</t>
        </is>
      </c>
      <c r="H1044" s="2" t="n">
        <v>39</v>
      </c>
      <c r="I1044" s="2" t="n">
        <v>3.2</v>
      </c>
      <c r="J1044" s="2" t="n">
        <v>2.6</v>
      </c>
      <c r="K1044" s="2" t="n">
        <v>3.2</v>
      </c>
      <c r="L1044" s="2" t="inlineStr">
        <is>
          <t>Active</t>
        </is>
      </c>
    </row>
    <row r="1045">
      <c r="A1045" s="2" t="inlineStr">
        <is>
          <t>EMP00561</t>
        </is>
      </c>
      <c r="B1045" s="2" t="inlineStr">
        <is>
          <t>Sales</t>
        </is>
      </c>
      <c r="C1045" s="2" t="inlineStr">
        <is>
          <t>Sales Manager</t>
        </is>
      </c>
      <c r="D1045" s="2" t="n">
        <v>33</v>
      </c>
      <c r="E1045" s="2" t="n">
        <v>1.7</v>
      </c>
      <c r="F1045" s="2" t="n">
        <v>806000</v>
      </c>
      <c r="G1045" s="2" t="inlineStr">
        <is>
          <t>No</t>
        </is>
      </c>
      <c r="H1045" s="2" t="n">
        <v>12</v>
      </c>
      <c r="I1045" s="2" t="n">
        <v>4.2</v>
      </c>
      <c r="J1045" s="2" t="n">
        <v>2.4</v>
      </c>
      <c r="K1045" s="2" t="n">
        <v>2.1</v>
      </c>
      <c r="L1045" s="2" t="inlineStr">
        <is>
          <t>Active</t>
        </is>
      </c>
    </row>
    <row r="1046">
      <c r="A1046" s="2" t="inlineStr">
        <is>
          <t>EMP00209</t>
        </is>
      </c>
      <c r="B1046" s="2" t="inlineStr">
        <is>
          <t>Sales</t>
        </is>
      </c>
      <c r="C1046" s="2" t="inlineStr">
        <is>
          <t>Account Manager</t>
        </is>
      </c>
      <c r="D1046" s="2" t="n">
        <v>47</v>
      </c>
      <c r="E1046" s="2" t="n">
        <v>2.7</v>
      </c>
      <c r="F1046" s="2" t="n">
        <v>664000</v>
      </c>
      <c r="G1046" s="2" t="inlineStr">
        <is>
          <t>Yes</t>
        </is>
      </c>
      <c r="H1046" s="2" t="n">
        <v>14</v>
      </c>
      <c r="I1046" s="2" t="n">
        <v>1.7</v>
      </c>
      <c r="J1046" s="2" t="n">
        <v>3.5</v>
      </c>
      <c r="K1046" s="2" t="n">
        <v>2.4</v>
      </c>
      <c r="L1046" s="2" t="inlineStr">
        <is>
          <t>Active</t>
        </is>
      </c>
    </row>
    <row r="1047">
      <c r="A1047" s="2" t="inlineStr">
        <is>
          <t>EMP00911</t>
        </is>
      </c>
      <c r="B1047" s="2" t="inlineStr">
        <is>
          <t>HR</t>
        </is>
      </c>
      <c r="C1047" s="2" t="inlineStr">
        <is>
          <t>Recruiter</t>
        </is>
      </c>
      <c r="D1047" s="2" t="n">
        <v>38</v>
      </c>
      <c r="E1047" s="2" t="n">
        <v>1.9</v>
      </c>
      <c r="F1047" s="2" t="n">
        <v>584000</v>
      </c>
      <c r="G1047" s="2" t="inlineStr">
        <is>
          <t>Yes</t>
        </is>
      </c>
      <c r="H1047" s="2" t="n">
        <v>54</v>
      </c>
      <c r="I1047" s="2" t="n">
        <v>4.6</v>
      </c>
      <c r="J1047" s="2" t="n">
        <v>2.4</v>
      </c>
      <c r="K1047" s="2" t="n">
        <v>3.4</v>
      </c>
      <c r="L1047" s="2" t="inlineStr">
        <is>
          <t>Resigned</t>
        </is>
      </c>
    </row>
    <row r="1048">
      <c r="A1048" s="2" t="inlineStr">
        <is>
          <t>EMP00002</t>
        </is>
      </c>
      <c r="B1048" s="2" t="inlineStr">
        <is>
          <t>Operations</t>
        </is>
      </c>
      <c r="C1048" s="2" t="inlineStr">
        <is>
          <t>Ops Manager</t>
        </is>
      </c>
      <c r="D1048" s="2" t="n">
        <v>23</v>
      </c>
      <c r="E1048" s="2" t="n">
        <v>3.2</v>
      </c>
      <c r="F1048" s="2" t="n">
        <v>723000</v>
      </c>
      <c r="G1048" s="2" t="inlineStr">
        <is>
          <t>No</t>
        </is>
      </c>
      <c r="H1048" s="2" t="n">
        <v>60</v>
      </c>
      <c r="I1048" s="2" t="n">
        <v>2.9</v>
      </c>
      <c r="J1048" s="2" t="n">
        <v>3.3</v>
      </c>
      <c r="K1048" s="2" t="n">
        <v>3.6</v>
      </c>
      <c r="L1048" s="2" t="inlineStr">
        <is>
          <t>Active</t>
        </is>
      </c>
    </row>
    <row r="1049">
      <c r="A1049" s="2" t="inlineStr">
        <is>
          <t>EMP00270</t>
        </is>
      </c>
      <c r="B1049" s="2" t="inlineStr">
        <is>
          <t>Sales</t>
        </is>
      </c>
      <c r="C1049" s="2" t="inlineStr">
        <is>
          <t>Sales Manager</t>
        </is>
      </c>
      <c r="D1049" s="2" t="n">
        <v>30</v>
      </c>
      <c r="E1049" s="2" t="n">
        <v>7.4</v>
      </c>
      <c r="F1049" s="2" t="n">
        <v>822000</v>
      </c>
      <c r="G1049" s="2" t="inlineStr">
        <is>
          <t>No</t>
        </is>
      </c>
      <c r="H1049" s="2" t="n">
        <v>56</v>
      </c>
      <c r="I1049" s="2" t="n">
        <v>1.8</v>
      </c>
      <c r="J1049" s="2" t="n">
        <v>2.3</v>
      </c>
      <c r="K1049" s="2" t="n">
        <v>4</v>
      </c>
      <c r="L1049" s="2" t="inlineStr">
        <is>
          <t>Active</t>
        </is>
      </c>
    </row>
    <row r="1050">
      <c r="A1050" s="2" t="inlineStr">
        <is>
          <t>EMP00266</t>
        </is>
      </c>
      <c r="B1050" s="2" t="inlineStr">
        <is>
          <t>Sales</t>
        </is>
      </c>
      <c r="C1050" s="2" t="inlineStr">
        <is>
          <t>Account Manager</t>
        </is>
      </c>
      <c r="D1050" s="2" t="n">
        <v>38</v>
      </c>
      <c r="E1050" s="2" t="n">
        <v>3.9</v>
      </c>
      <c r="F1050" s="2" t="n">
        <v>691000</v>
      </c>
      <c r="G1050" s="2" t="inlineStr">
        <is>
          <t>Yes</t>
        </is>
      </c>
      <c r="H1050" s="2" t="n">
        <v>51</v>
      </c>
      <c r="I1050" s="2" t="n">
        <v>1.6</v>
      </c>
      <c r="J1050" s="2" t="n">
        <v>2.3</v>
      </c>
      <c r="K1050" s="2" t="n">
        <v>3.9</v>
      </c>
      <c r="L1050" s="2" t="inlineStr">
        <is>
          <t>Resigned</t>
        </is>
      </c>
    </row>
    <row r="1051">
      <c r="A1051" s="2" t="inlineStr">
        <is>
          <t>EMP00915</t>
        </is>
      </c>
      <c r="B1051" s="2" t="inlineStr">
        <is>
          <t>Customer Support</t>
        </is>
      </c>
      <c r="C1051" s="2" t="inlineStr">
        <is>
          <t>Support Lead</t>
        </is>
      </c>
      <c r="D1051" s="2" t="n">
        <v>35</v>
      </c>
      <c r="E1051" s="2" t="n">
        <v>7.9</v>
      </c>
      <c r="F1051" s="2" t="n">
        <v>618000</v>
      </c>
      <c r="G1051" s="2" t="inlineStr">
        <is>
          <t>No</t>
        </is>
      </c>
      <c r="H1051" s="2" t="n">
        <v>19</v>
      </c>
      <c r="I1051" s="2" t="n">
        <v>3.4</v>
      </c>
      <c r="J1051" s="2" t="n">
        <v>2.7</v>
      </c>
      <c r="K1051" s="2" t="n">
        <v>3.1</v>
      </c>
      <c r="L1051" s="2" t="inlineStr">
        <is>
          <t>Active</t>
        </is>
      </c>
    </row>
    <row r="1052">
      <c r="A1052" s="2" t="inlineStr">
        <is>
          <t>EMP00231</t>
        </is>
      </c>
      <c r="B1052" s="2" t="inlineStr">
        <is>
          <t>Sales</t>
        </is>
      </c>
      <c r="C1052" s="2" t="inlineStr">
        <is>
          <t>Sales Manager</t>
        </is>
      </c>
      <c r="D1052" s="2" t="n">
        <v>34</v>
      </c>
      <c r="E1052" s="2" t="n">
        <v>4.3</v>
      </c>
      <c r="F1052" s="2" t="n">
        <v>872000</v>
      </c>
      <c r="G1052" s="2" t="inlineStr">
        <is>
          <t>No</t>
        </is>
      </c>
      <c r="H1052" s="2" t="n">
        <v>48</v>
      </c>
      <c r="I1052" s="2" t="n">
        <v>5</v>
      </c>
      <c r="J1052" s="2" t="n">
        <v>2.9</v>
      </c>
      <c r="K1052" s="2" t="n">
        <v>2.8</v>
      </c>
      <c r="L1052" s="2" t="inlineStr">
        <is>
          <t>Active</t>
        </is>
      </c>
    </row>
    <row r="1053">
      <c r="A1053" s="2" t="inlineStr">
        <is>
          <t>EMP00807</t>
        </is>
      </c>
      <c r="B1053" s="2" t="inlineStr">
        <is>
          <t>Finance</t>
        </is>
      </c>
      <c r="C1053" s="2" t="inlineStr">
        <is>
          <t>Finance Manager</t>
        </is>
      </c>
      <c r="D1053" s="2" t="n">
        <v>37</v>
      </c>
      <c r="E1053" s="2" t="n">
        <v>2.9</v>
      </c>
      <c r="F1053" s="2" t="n">
        <v>889000</v>
      </c>
      <c r="G1053" s="2" t="inlineStr">
        <is>
          <t>No</t>
        </is>
      </c>
      <c r="H1053" s="2" t="n">
        <v>11</v>
      </c>
      <c r="I1053" s="2" t="n">
        <v>3.1</v>
      </c>
      <c r="J1053" s="2" t="n">
        <v>4.3</v>
      </c>
      <c r="K1053" s="2" t="n">
        <v>3.3</v>
      </c>
      <c r="L1053" s="2" t="inlineStr">
        <is>
          <t>Active</t>
        </is>
      </c>
    </row>
    <row r="1054">
      <c r="A1054" s="2" t="inlineStr">
        <is>
          <t>EMP01197</t>
        </is>
      </c>
      <c r="B1054" s="2" t="inlineStr">
        <is>
          <t>Engineering</t>
        </is>
      </c>
      <c r="C1054" s="2" t="inlineStr">
        <is>
          <t>Senior Engineer</t>
        </is>
      </c>
      <c r="D1054" s="2" t="n">
        <v>32</v>
      </c>
      <c r="E1054" s="2" t="n">
        <v>1.6</v>
      </c>
      <c r="F1054" s="2" t="n">
        <v>937000</v>
      </c>
      <c r="G1054" s="2" t="inlineStr">
        <is>
          <t>No</t>
        </is>
      </c>
      <c r="H1054" s="2" t="n">
        <v>15</v>
      </c>
      <c r="I1054" s="2" t="n">
        <v>5</v>
      </c>
      <c r="J1054" s="2" t="n">
        <v>4.2</v>
      </c>
      <c r="K1054" s="2" t="n">
        <v>3.4</v>
      </c>
      <c r="L1054" s="2" t="inlineStr">
        <is>
          <t>Active</t>
        </is>
      </c>
    </row>
    <row r="1055">
      <c r="A1055" s="2" t="inlineStr">
        <is>
          <t>EMP00865</t>
        </is>
      </c>
      <c r="B1055" s="2" t="inlineStr">
        <is>
          <t>Sales</t>
        </is>
      </c>
      <c r="C1055" s="2" t="inlineStr">
        <is>
          <t>Account Manager</t>
        </is>
      </c>
      <c r="D1055" s="2" t="n">
        <v>46</v>
      </c>
      <c r="E1055" s="2" t="n">
        <v>3.4</v>
      </c>
      <c r="F1055" s="2" t="n">
        <v>732000</v>
      </c>
      <c r="G1055" s="2" t="inlineStr">
        <is>
          <t>Yes</t>
        </is>
      </c>
      <c r="H1055" s="2" t="n">
        <v>21</v>
      </c>
      <c r="I1055" s="2" t="n">
        <v>3.3</v>
      </c>
      <c r="J1055" s="2" t="n">
        <v>2</v>
      </c>
      <c r="K1055" s="2" t="n">
        <v>3.5</v>
      </c>
      <c r="L1055" s="2" t="inlineStr">
        <is>
          <t>Active</t>
        </is>
      </c>
    </row>
    <row r="1056">
      <c r="A1056" s="2" t="inlineStr">
        <is>
          <t>EMP01067</t>
        </is>
      </c>
      <c r="B1056" s="2" t="inlineStr">
        <is>
          <t>Engineering</t>
        </is>
      </c>
      <c r="C1056" s="2" t="inlineStr">
        <is>
          <t>Senior Engineer</t>
        </is>
      </c>
      <c r="D1056" s="2" t="n">
        <v>43</v>
      </c>
      <c r="E1056" s="2" t="n">
        <v>2.5</v>
      </c>
      <c r="F1056" s="2" t="n">
        <v>1074000</v>
      </c>
      <c r="G1056" s="2" t="inlineStr">
        <is>
          <t>Yes</t>
        </is>
      </c>
      <c r="H1056" s="2" t="n">
        <v>28</v>
      </c>
      <c r="I1056" s="2" t="n">
        <v>3.6</v>
      </c>
      <c r="J1056" s="2" t="n">
        <v>2.8</v>
      </c>
      <c r="K1056" s="2" t="n">
        <v>2.8</v>
      </c>
      <c r="L1056" s="2" t="inlineStr">
        <is>
          <t>Active</t>
        </is>
      </c>
    </row>
    <row r="1057">
      <c r="A1057" s="2" t="inlineStr">
        <is>
          <t>EMP00874</t>
        </is>
      </c>
      <c r="B1057" s="2" t="inlineStr">
        <is>
          <t>Engineering</t>
        </is>
      </c>
      <c r="C1057" s="2" t="inlineStr">
        <is>
          <t>Senior Engineer</t>
        </is>
      </c>
      <c r="D1057" s="2" t="n">
        <v>35</v>
      </c>
      <c r="E1057" s="2" t="n">
        <v>2.3</v>
      </c>
      <c r="F1057" s="2" t="n">
        <v>1163000</v>
      </c>
      <c r="G1057" s="2" t="inlineStr">
        <is>
          <t>No</t>
        </is>
      </c>
      <c r="H1057" s="2" t="n">
        <v>38</v>
      </c>
      <c r="I1057" s="2" t="n">
        <v>1.9</v>
      </c>
      <c r="J1057" s="2" t="n">
        <v>1.9</v>
      </c>
      <c r="K1057" s="2" t="n">
        <v>2.6</v>
      </c>
      <c r="L1057" s="2" t="inlineStr">
        <is>
          <t>Active</t>
        </is>
      </c>
    </row>
    <row r="1058">
      <c r="A1058" s="2" t="inlineStr">
        <is>
          <t>EMP01085</t>
        </is>
      </c>
      <c r="B1058" s="2" t="inlineStr">
        <is>
          <t>Customer Support</t>
        </is>
      </c>
      <c r="C1058" s="2" t="inlineStr">
        <is>
          <t>Support Lead</t>
        </is>
      </c>
      <c r="D1058" s="2" t="n">
        <v>33</v>
      </c>
      <c r="E1058" s="2" t="n">
        <v>1.6</v>
      </c>
      <c r="F1058" s="2" t="n">
        <v>605000</v>
      </c>
      <c r="G1058" s="2" t="inlineStr">
        <is>
          <t>No</t>
        </is>
      </c>
      <c r="H1058" s="2" t="n">
        <v>59</v>
      </c>
      <c r="I1058" s="2" t="n">
        <v>5</v>
      </c>
      <c r="J1058" s="2" t="n">
        <v>3.7</v>
      </c>
      <c r="K1058" s="2" t="n">
        <v>2</v>
      </c>
      <c r="L1058" s="2" t="inlineStr">
        <is>
          <t>Active</t>
        </is>
      </c>
    </row>
    <row r="1059">
      <c r="A1059" s="2" t="inlineStr">
        <is>
          <t>EMP00399</t>
        </is>
      </c>
      <c r="B1059" s="2" t="inlineStr">
        <is>
          <t>Operations</t>
        </is>
      </c>
      <c r="C1059" s="2" t="inlineStr">
        <is>
          <t>Process Lead</t>
        </is>
      </c>
      <c r="D1059" s="2" t="n">
        <v>41</v>
      </c>
      <c r="E1059" s="2" t="n">
        <v>4.2</v>
      </c>
      <c r="F1059" s="2" t="n">
        <v>704000</v>
      </c>
      <c r="G1059" s="2" t="inlineStr">
        <is>
          <t>No</t>
        </is>
      </c>
      <c r="H1059" s="2" t="n">
        <v>22</v>
      </c>
      <c r="I1059" s="2" t="n">
        <v>3</v>
      </c>
      <c r="J1059" s="2" t="n">
        <v>2</v>
      </c>
      <c r="K1059" s="2" t="n">
        <v>3.8</v>
      </c>
      <c r="L1059" s="2" t="inlineStr">
        <is>
          <t>Active</t>
        </is>
      </c>
    </row>
    <row r="1060">
      <c r="A1060" s="2" t="inlineStr">
        <is>
          <t>EMP01107</t>
        </is>
      </c>
      <c r="B1060" s="2" t="inlineStr">
        <is>
          <t>Sales</t>
        </is>
      </c>
      <c r="C1060" s="2" t="inlineStr">
        <is>
          <t>Sales Manager</t>
        </is>
      </c>
      <c r="D1060" s="2" t="n">
        <v>29</v>
      </c>
      <c r="E1060" s="2" t="n">
        <v>4.6</v>
      </c>
      <c r="F1060" s="2" t="n">
        <v>807000</v>
      </c>
      <c r="G1060" s="2" t="inlineStr">
        <is>
          <t>No</t>
        </is>
      </c>
      <c r="H1060" s="2" t="n">
        <v>22</v>
      </c>
      <c r="I1060" s="2" t="n">
        <v>2</v>
      </c>
      <c r="J1060" s="2" t="n">
        <v>3</v>
      </c>
      <c r="K1060" s="2" t="n">
        <v>5</v>
      </c>
      <c r="L1060" s="2" t="inlineStr">
        <is>
          <t>Active</t>
        </is>
      </c>
    </row>
    <row r="1061">
      <c r="A1061" s="2" t="inlineStr">
        <is>
          <t>EMP00046</t>
        </is>
      </c>
      <c r="B1061" s="2" t="inlineStr">
        <is>
          <t>HR</t>
        </is>
      </c>
      <c r="C1061" s="2" t="inlineStr">
        <is>
          <t>HR Manager</t>
        </is>
      </c>
      <c r="D1061" s="2" t="n">
        <v>38</v>
      </c>
      <c r="E1061" s="2" t="n">
        <v>3.6</v>
      </c>
      <c r="F1061" s="2" t="n">
        <v>745000</v>
      </c>
      <c r="G1061" s="2" t="inlineStr">
        <is>
          <t>Yes</t>
        </is>
      </c>
      <c r="H1061" s="2" t="n">
        <v>5</v>
      </c>
      <c r="I1061" s="2" t="n">
        <v>4.2</v>
      </c>
      <c r="J1061" s="2" t="n">
        <v>5</v>
      </c>
      <c r="K1061" s="2" t="n">
        <v>3.2</v>
      </c>
      <c r="L1061" s="2" t="inlineStr">
        <is>
          <t>Active</t>
        </is>
      </c>
    </row>
    <row r="1062">
      <c r="A1062" s="2" t="inlineStr">
        <is>
          <t>EMP00162</t>
        </is>
      </c>
      <c r="B1062" s="2" t="inlineStr">
        <is>
          <t>Customer Support</t>
        </is>
      </c>
      <c r="C1062" s="2" t="inlineStr">
        <is>
          <t>Support Lead</t>
        </is>
      </c>
      <c r="D1062" s="2" t="n">
        <v>34</v>
      </c>
      <c r="E1062" s="2" t="n">
        <v>2.8</v>
      </c>
      <c r="F1062" s="2" t="n">
        <v>623000</v>
      </c>
      <c r="G1062" s="2" t="inlineStr">
        <is>
          <t>No</t>
        </is>
      </c>
      <c r="H1062" s="2" t="n">
        <v>34</v>
      </c>
      <c r="I1062" s="2" t="n">
        <v>3.4</v>
      </c>
      <c r="J1062" s="2" t="n">
        <v>3.9</v>
      </c>
      <c r="K1062" s="2" t="n">
        <v>3.7</v>
      </c>
      <c r="L1062" s="2" t="inlineStr">
        <is>
          <t>Active</t>
        </is>
      </c>
    </row>
    <row r="1063">
      <c r="A1063" s="2" t="inlineStr">
        <is>
          <t>EMP00992</t>
        </is>
      </c>
      <c r="B1063" s="2" t="inlineStr">
        <is>
          <t>HR</t>
        </is>
      </c>
      <c r="C1063" s="2" t="inlineStr">
        <is>
          <t>Recruiter</t>
        </is>
      </c>
      <c r="D1063" s="2" t="n">
        <v>32</v>
      </c>
      <c r="E1063" s="2" t="n">
        <v>4</v>
      </c>
      <c r="F1063" s="2" t="n">
        <v>647000</v>
      </c>
      <c r="G1063" s="2" t="inlineStr">
        <is>
          <t>No</t>
        </is>
      </c>
      <c r="H1063" s="2" t="n">
        <v>50</v>
      </c>
      <c r="I1063" s="2" t="n">
        <v>2.6</v>
      </c>
      <c r="J1063" s="2" t="n">
        <v>5</v>
      </c>
      <c r="K1063" s="2" t="n">
        <v>3.4</v>
      </c>
      <c r="L1063" s="2" t="inlineStr">
        <is>
          <t>Active</t>
        </is>
      </c>
    </row>
    <row r="1064">
      <c r="A1064" s="2" t="inlineStr">
        <is>
          <t>EMP00728</t>
        </is>
      </c>
      <c r="B1064" s="2" t="inlineStr">
        <is>
          <t>Sales</t>
        </is>
      </c>
      <c r="C1064" s="2" t="inlineStr">
        <is>
          <t>Sales Manager</t>
        </is>
      </c>
      <c r="D1064" s="2" t="n">
        <v>30</v>
      </c>
      <c r="E1064" s="2" t="n">
        <v>0.9</v>
      </c>
      <c r="F1064" s="2" t="n">
        <v>720000</v>
      </c>
      <c r="G1064" s="2" t="inlineStr">
        <is>
          <t>No</t>
        </is>
      </c>
      <c r="H1064" s="2" t="n">
        <v>44</v>
      </c>
      <c r="I1064" s="2" t="n">
        <v>4.1</v>
      </c>
      <c r="J1064" s="2" t="n">
        <v>3.5</v>
      </c>
      <c r="K1064" s="2" t="n">
        <v>3.2</v>
      </c>
      <c r="L1064" s="2" t="inlineStr">
        <is>
          <t>Active</t>
        </is>
      </c>
    </row>
    <row r="1065">
      <c r="A1065" s="2" t="inlineStr">
        <is>
          <t>EMP00630</t>
        </is>
      </c>
      <c r="B1065" s="2" t="inlineStr">
        <is>
          <t>HR</t>
        </is>
      </c>
      <c r="C1065" s="2" t="inlineStr">
        <is>
          <t>HR Manager</t>
        </is>
      </c>
      <c r="D1065" s="2" t="n">
        <v>36</v>
      </c>
      <c r="E1065" s="2" t="n">
        <v>3.9</v>
      </c>
      <c r="F1065" s="2" t="n">
        <v>668000</v>
      </c>
      <c r="G1065" s="2" t="inlineStr">
        <is>
          <t>No</t>
        </is>
      </c>
      <c r="H1065" s="2" t="n">
        <v>17</v>
      </c>
      <c r="I1065" s="2" t="n">
        <v>1.9</v>
      </c>
      <c r="J1065" s="2" t="n">
        <v>2.4</v>
      </c>
      <c r="K1065" s="2" t="n">
        <v>2.5</v>
      </c>
      <c r="L1065" s="2" t="inlineStr">
        <is>
          <t>Active</t>
        </is>
      </c>
    </row>
    <row r="1066">
      <c r="A1066" s="2" t="inlineStr">
        <is>
          <t>EMP00289</t>
        </is>
      </c>
      <c r="B1066" s="2" t="inlineStr">
        <is>
          <t>Operations</t>
        </is>
      </c>
      <c r="C1066" s="2" t="inlineStr">
        <is>
          <t>Ops Manager</t>
        </is>
      </c>
      <c r="D1066" s="2" t="n">
        <v>29</v>
      </c>
      <c r="E1066" s="2" t="n">
        <v>4.8</v>
      </c>
      <c r="F1066" s="2" t="n">
        <v>810000</v>
      </c>
      <c r="G1066" s="2" t="inlineStr">
        <is>
          <t>No</t>
        </is>
      </c>
      <c r="H1066" s="2" t="n">
        <v>47</v>
      </c>
      <c r="I1066" s="2" t="n">
        <v>3.2</v>
      </c>
      <c r="J1066" s="2" t="n">
        <v>3.1</v>
      </c>
      <c r="K1066" s="2" t="n">
        <v>3.6</v>
      </c>
      <c r="L1066" s="2" t="inlineStr">
        <is>
          <t>Active</t>
        </is>
      </c>
    </row>
    <row r="1067">
      <c r="A1067" s="2" t="inlineStr">
        <is>
          <t>EMP01060</t>
        </is>
      </c>
      <c r="B1067" s="2" t="inlineStr">
        <is>
          <t>Finance</t>
        </is>
      </c>
      <c r="C1067" s="2" t="inlineStr">
        <is>
          <t>Accountant</t>
        </is>
      </c>
      <c r="D1067" s="2" t="n">
        <v>42</v>
      </c>
      <c r="E1067" s="2" t="n">
        <v>4.8</v>
      </c>
      <c r="F1067" s="2" t="n">
        <v>1081000</v>
      </c>
      <c r="G1067" s="2" t="inlineStr">
        <is>
          <t>No</t>
        </is>
      </c>
      <c r="H1067" s="2" t="n">
        <v>11</v>
      </c>
      <c r="I1067" s="2" t="n">
        <v>4.1</v>
      </c>
      <c r="J1067" s="2" t="n">
        <v>3.1</v>
      </c>
      <c r="K1067" s="2" t="n">
        <v>3.1</v>
      </c>
      <c r="L1067" s="2" t="inlineStr">
        <is>
          <t>Active</t>
        </is>
      </c>
    </row>
    <row r="1068">
      <c r="A1068" s="2" t="inlineStr">
        <is>
          <t>EMP01187</t>
        </is>
      </c>
      <c r="B1068" s="2" t="inlineStr">
        <is>
          <t>Engineering</t>
        </is>
      </c>
      <c r="C1068" s="2" t="inlineStr">
        <is>
          <t>Senior Engineer</t>
        </is>
      </c>
      <c r="D1068" s="2" t="n">
        <v>49</v>
      </c>
      <c r="E1068" s="2" t="n">
        <v>1.4</v>
      </c>
      <c r="F1068" s="2" t="n">
        <v>981000</v>
      </c>
      <c r="G1068" s="2" t="inlineStr">
        <is>
          <t>No</t>
        </is>
      </c>
      <c r="H1068" s="2" t="n">
        <v>53</v>
      </c>
      <c r="I1068" s="2" t="n">
        <v>3.5</v>
      </c>
      <c r="J1068" s="2" t="n">
        <v>4.7</v>
      </c>
      <c r="K1068" s="2" t="n">
        <v>4</v>
      </c>
      <c r="L1068" s="2" t="inlineStr">
        <is>
          <t>Resigned</t>
        </is>
      </c>
    </row>
    <row r="1069">
      <c r="A1069" s="2" t="inlineStr">
        <is>
          <t>EMP00576</t>
        </is>
      </c>
      <c r="B1069" s="2" t="inlineStr">
        <is>
          <t>Operations</t>
        </is>
      </c>
      <c r="C1069" s="2" t="inlineStr">
        <is>
          <t>Ops Manager</t>
        </is>
      </c>
      <c r="D1069" s="2" t="n">
        <v>36</v>
      </c>
      <c r="E1069" s="2" t="n">
        <v>1.7</v>
      </c>
      <c r="F1069" s="2" t="n">
        <v>721000</v>
      </c>
      <c r="G1069" s="2" t="inlineStr">
        <is>
          <t>No</t>
        </is>
      </c>
      <c r="H1069" s="2" t="n">
        <v>13</v>
      </c>
      <c r="I1069" s="2" t="n">
        <v>2.5</v>
      </c>
      <c r="J1069" s="2" t="n">
        <v>4.9</v>
      </c>
      <c r="K1069" s="2" t="n">
        <v>3.1</v>
      </c>
      <c r="L1069" s="2" t="inlineStr">
        <is>
          <t>Active</t>
        </is>
      </c>
    </row>
    <row r="1070">
      <c r="A1070" s="2" t="inlineStr">
        <is>
          <t>EMP00851</t>
        </is>
      </c>
      <c r="B1070" s="2" t="inlineStr">
        <is>
          <t>Sales</t>
        </is>
      </c>
      <c r="C1070" s="2" t="inlineStr">
        <is>
          <t>Account Manager</t>
        </is>
      </c>
      <c r="D1070" s="2" t="n">
        <v>40</v>
      </c>
      <c r="E1070" s="2" t="n">
        <v>0.3</v>
      </c>
      <c r="F1070" s="2" t="n">
        <v>632000</v>
      </c>
      <c r="G1070" s="2" t="inlineStr">
        <is>
          <t>No</t>
        </is>
      </c>
      <c r="H1070" s="2" t="n">
        <v>18</v>
      </c>
      <c r="I1070" s="2" t="n">
        <v>4.9</v>
      </c>
      <c r="J1070" s="2" t="n">
        <v>3.2</v>
      </c>
      <c r="K1070" s="2" t="n">
        <v>2.9</v>
      </c>
      <c r="L1070" s="2" t="inlineStr">
        <is>
          <t>Active</t>
        </is>
      </c>
    </row>
    <row r="1071">
      <c r="A1071" s="2" t="inlineStr">
        <is>
          <t>EMP00912</t>
        </is>
      </c>
      <c r="B1071" s="2" t="inlineStr">
        <is>
          <t>Customer Support</t>
        </is>
      </c>
      <c r="C1071" s="2" t="inlineStr">
        <is>
          <t>Support Lead</t>
        </is>
      </c>
      <c r="D1071" s="2" t="n">
        <v>26</v>
      </c>
      <c r="E1071" s="2" t="n">
        <v>7.6</v>
      </c>
      <c r="F1071" s="2" t="n">
        <v>705000</v>
      </c>
      <c r="G1071" s="2" t="inlineStr">
        <is>
          <t>No</t>
        </is>
      </c>
      <c r="H1071" s="2" t="n">
        <v>59</v>
      </c>
      <c r="I1071" s="2" t="n">
        <v>3.5</v>
      </c>
      <c r="J1071" s="2" t="n">
        <v>1.2</v>
      </c>
      <c r="K1071" s="2" t="n">
        <v>2.9</v>
      </c>
      <c r="L1071" s="2" t="inlineStr">
        <is>
          <t>Active</t>
        </is>
      </c>
    </row>
    <row r="1072">
      <c r="A1072" s="2" t="inlineStr">
        <is>
          <t>EMP00737</t>
        </is>
      </c>
      <c r="B1072" s="2" t="inlineStr">
        <is>
          <t>Sales</t>
        </is>
      </c>
      <c r="C1072" s="2" t="inlineStr">
        <is>
          <t>Account Manager</t>
        </is>
      </c>
      <c r="D1072" s="2" t="n">
        <v>35</v>
      </c>
      <c r="E1072" s="2" t="n">
        <v>3.9</v>
      </c>
      <c r="F1072" s="2" t="n">
        <v>907000</v>
      </c>
      <c r="G1072" s="2" t="inlineStr">
        <is>
          <t>No</t>
        </is>
      </c>
      <c r="H1072" s="2" t="n">
        <v>47</v>
      </c>
      <c r="I1072" s="2" t="n">
        <v>2.9</v>
      </c>
      <c r="J1072" s="2" t="n">
        <v>3.3</v>
      </c>
      <c r="K1072" s="2" t="n">
        <v>4.2</v>
      </c>
      <c r="L1072" s="2" t="inlineStr">
        <is>
          <t>Active</t>
        </is>
      </c>
    </row>
    <row r="1073">
      <c r="A1073" s="2" t="inlineStr">
        <is>
          <t>EMP00933</t>
        </is>
      </c>
      <c r="B1073" s="2" t="inlineStr">
        <is>
          <t>Engineering</t>
        </is>
      </c>
      <c r="C1073" s="2" t="inlineStr">
        <is>
          <t>Software Engineer</t>
        </is>
      </c>
      <c r="D1073" s="2" t="n">
        <v>43</v>
      </c>
      <c r="E1073" s="2" t="n">
        <v>8.800000000000001</v>
      </c>
      <c r="F1073" s="2" t="n">
        <v>1599000</v>
      </c>
      <c r="G1073" s="2" t="inlineStr">
        <is>
          <t>No</t>
        </is>
      </c>
      <c r="H1073" s="2" t="n">
        <v>14</v>
      </c>
      <c r="I1073" s="2" t="n">
        <v>3.6</v>
      </c>
      <c r="J1073" s="2" t="n">
        <v>2.9</v>
      </c>
      <c r="K1073" s="2" t="n">
        <v>3.3</v>
      </c>
      <c r="L1073" s="2" t="inlineStr">
        <is>
          <t>Active</t>
        </is>
      </c>
    </row>
    <row r="1074">
      <c r="A1074" s="2" t="inlineStr">
        <is>
          <t>EMP00248</t>
        </is>
      </c>
      <c r="B1074" s="2" t="inlineStr">
        <is>
          <t>Engineering</t>
        </is>
      </c>
      <c r="C1074" s="2" t="inlineStr">
        <is>
          <t>Engineering Manager</t>
        </is>
      </c>
      <c r="D1074" s="2" t="n">
        <v>34</v>
      </c>
      <c r="E1074" s="2" t="n">
        <v>4.3</v>
      </c>
      <c r="F1074" s="2" t="n">
        <v>1193000</v>
      </c>
      <c r="G1074" s="2" t="inlineStr">
        <is>
          <t>No</t>
        </is>
      </c>
      <c r="H1074" s="2" t="n">
        <v>20</v>
      </c>
      <c r="I1074" s="2" t="n">
        <v>4.6</v>
      </c>
      <c r="J1074" s="2" t="n">
        <v>2.2</v>
      </c>
      <c r="K1074" s="2" t="n">
        <v>2.8</v>
      </c>
      <c r="L1074" s="2" t="inlineStr">
        <is>
          <t>Active</t>
        </is>
      </c>
    </row>
    <row r="1075">
      <c r="A1075" s="2" t="inlineStr">
        <is>
          <t>EMP00477</t>
        </is>
      </c>
      <c r="B1075" s="2" t="inlineStr">
        <is>
          <t>Operations</t>
        </is>
      </c>
      <c r="C1075" s="2" t="inlineStr">
        <is>
          <t>Ops Manager</t>
        </is>
      </c>
      <c r="D1075" s="2" t="n">
        <v>35</v>
      </c>
      <c r="E1075" s="2" t="n">
        <v>2.2</v>
      </c>
      <c r="F1075" s="2" t="n">
        <v>586000</v>
      </c>
      <c r="G1075" s="2" t="inlineStr">
        <is>
          <t>Yes</t>
        </is>
      </c>
      <c r="H1075" s="2" t="n">
        <v>9</v>
      </c>
      <c r="I1075" s="2" t="n">
        <v>1</v>
      </c>
      <c r="J1075" s="2" t="n">
        <v>2.7</v>
      </c>
      <c r="K1075" s="2" t="n">
        <v>3</v>
      </c>
      <c r="L1075" s="2" t="inlineStr">
        <is>
          <t>Resigned</t>
        </is>
      </c>
    </row>
    <row r="1076">
      <c r="A1076" s="2" t="inlineStr">
        <is>
          <t>EMP00086</t>
        </is>
      </c>
      <c r="B1076" s="2" t="inlineStr">
        <is>
          <t>Sales</t>
        </is>
      </c>
      <c r="C1076" s="2" t="inlineStr">
        <is>
          <t>Account Manager</t>
        </is>
      </c>
      <c r="D1076" s="2" t="n">
        <v>31</v>
      </c>
      <c r="E1076" s="2" t="n">
        <v>8.5</v>
      </c>
      <c r="F1076" s="2" t="n">
        <v>1021000</v>
      </c>
      <c r="G1076" s="2" t="inlineStr">
        <is>
          <t>No</t>
        </is>
      </c>
      <c r="H1076" s="2" t="n">
        <v>54</v>
      </c>
      <c r="I1076" s="2" t="n">
        <v>3.2</v>
      </c>
      <c r="J1076" s="2" t="n">
        <v>3.7</v>
      </c>
      <c r="K1076" s="2" t="n">
        <v>3.3</v>
      </c>
      <c r="L1076" s="2" t="inlineStr">
        <is>
          <t>Active</t>
        </is>
      </c>
    </row>
    <row r="1077">
      <c r="A1077" s="2" t="inlineStr">
        <is>
          <t>EMP00470</t>
        </is>
      </c>
      <c r="B1077" s="2" t="inlineStr">
        <is>
          <t>Operations</t>
        </is>
      </c>
      <c r="C1077" s="2" t="inlineStr">
        <is>
          <t>Ops Analyst</t>
        </is>
      </c>
      <c r="D1077" s="2" t="n">
        <v>28</v>
      </c>
      <c r="E1077" s="2" t="n">
        <v>5</v>
      </c>
      <c r="F1077" s="2" t="n">
        <v>819000</v>
      </c>
      <c r="G1077" s="2" t="inlineStr">
        <is>
          <t>No</t>
        </is>
      </c>
      <c r="H1077" s="2" t="n">
        <v>37</v>
      </c>
      <c r="I1077" s="2" t="n">
        <v>4</v>
      </c>
      <c r="J1077" s="2" t="n">
        <v>3.2</v>
      </c>
      <c r="K1077" s="2" t="n">
        <v>3.2</v>
      </c>
      <c r="L1077" s="2" t="inlineStr">
        <is>
          <t>Active</t>
        </is>
      </c>
    </row>
    <row r="1078">
      <c r="A1078" s="2" t="inlineStr">
        <is>
          <t>EMP00226</t>
        </is>
      </c>
      <c r="B1078" s="2" t="inlineStr">
        <is>
          <t>Customer Support</t>
        </is>
      </c>
      <c r="C1078" s="2" t="inlineStr">
        <is>
          <t>Support Lead</t>
        </is>
      </c>
      <c r="D1078" s="2" t="n">
        <v>31</v>
      </c>
      <c r="E1078" s="2" t="n">
        <v>3.2</v>
      </c>
      <c r="F1078" s="2" t="n">
        <v>650000</v>
      </c>
      <c r="G1078" s="2" t="inlineStr">
        <is>
          <t>No</t>
        </is>
      </c>
      <c r="H1078" s="2" t="n">
        <v>57</v>
      </c>
      <c r="I1078" s="2" t="n">
        <v>3.7</v>
      </c>
      <c r="J1078" s="2" t="n">
        <v>2.2</v>
      </c>
      <c r="K1078" s="2" t="n">
        <v>2.7</v>
      </c>
      <c r="L1078" s="2" t="inlineStr">
        <is>
          <t>Active</t>
        </is>
      </c>
    </row>
    <row r="1079">
      <c r="A1079" s="2" t="inlineStr">
        <is>
          <t>EMP00775</t>
        </is>
      </c>
      <c r="B1079" s="2" t="inlineStr">
        <is>
          <t>Sales</t>
        </is>
      </c>
      <c r="C1079" s="2" t="inlineStr">
        <is>
          <t>Sales Manager</t>
        </is>
      </c>
      <c r="D1079" s="2" t="n">
        <v>52</v>
      </c>
      <c r="E1079" s="2" t="n">
        <v>5.2</v>
      </c>
      <c r="F1079" s="2" t="n">
        <v>939000</v>
      </c>
      <c r="G1079" s="2" t="inlineStr">
        <is>
          <t>Yes</t>
        </is>
      </c>
      <c r="H1079" s="2" t="n">
        <v>3</v>
      </c>
      <c r="I1079" s="2" t="n">
        <v>3.2</v>
      </c>
      <c r="J1079" s="2" t="n">
        <v>1.9</v>
      </c>
      <c r="K1079" s="2" t="n">
        <v>2.4</v>
      </c>
      <c r="L1079" s="2" t="inlineStr">
        <is>
          <t>Active</t>
        </is>
      </c>
    </row>
    <row r="1080">
      <c r="A1080" s="2" t="inlineStr">
        <is>
          <t>EMP00332</t>
        </is>
      </c>
      <c r="B1080" s="2" t="inlineStr">
        <is>
          <t>Sales</t>
        </is>
      </c>
      <c r="C1080" s="2" t="inlineStr">
        <is>
          <t>Account Manager</t>
        </is>
      </c>
      <c r="D1080" s="2" t="n">
        <v>46</v>
      </c>
      <c r="E1080" s="2" t="n">
        <v>6</v>
      </c>
      <c r="F1080" s="2" t="n">
        <v>840000</v>
      </c>
      <c r="G1080" s="2" t="inlineStr">
        <is>
          <t>Yes</t>
        </is>
      </c>
      <c r="H1080" s="2" t="n">
        <v>30</v>
      </c>
      <c r="I1080" s="2" t="n">
        <v>3.6</v>
      </c>
      <c r="J1080" s="2" t="n">
        <v>2.8</v>
      </c>
      <c r="K1080" s="2" t="n">
        <v>3.1</v>
      </c>
      <c r="L1080" s="2" t="inlineStr">
        <is>
          <t>Active</t>
        </is>
      </c>
    </row>
    <row r="1081">
      <c r="A1081" s="2" t="inlineStr">
        <is>
          <t>EMP00234</t>
        </is>
      </c>
      <c r="B1081" s="2" t="inlineStr">
        <is>
          <t>Operations</t>
        </is>
      </c>
      <c r="C1081" s="2" t="inlineStr">
        <is>
          <t>Ops Manager</t>
        </is>
      </c>
      <c r="D1081" s="2" t="n">
        <v>33</v>
      </c>
      <c r="E1081" s="2" t="n">
        <v>2.9</v>
      </c>
      <c r="F1081" s="2" t="n">
        <v>788000</v>
      </c>
      <c r="G1081" s="2" t="inlineStr">
        <is>
          <t>No</t>
        </is>
      </c>
      <c r="H1081" s="2" t="n">
        <v>24</v>
      </c>
      <c r="I1081" s="2" t="n">
        <v>4.2</v>
      </c>
      <c r="J1081" s="2" t="n">
        <v>4.9</v>
      </c>
      <c r="K1081" s="2" t="n">
        <v>1.8</v>
      </c>
      <c r="L1081" s="2" t="inlineStr">
        <is>
          <t>Active</t>
        </is>
      </c>
    </row>
    <row r="1082">
      <c r="A1082" s="2" t="inlineStr">
        <is>
          <t>EMP00589</t>
        </is>
      </c>
      <c r="B1082" s="2" t="inlineStr">
        <is>
          <t>Sales</t>
        </is>
      </c>
      <c r="C1082" s="2" t="inlineStr">
        <is>
          <t>Sales Manager</t>
        </is>
      </c>
      <c r="D1082" s="2" t="n">
        <v>48</v>
      </c>
      <c r="E1082" s="2" t="n">
        <v>5.1</v>
      </c>
      <c r="F1082" s="2" t="n">
        <v>884000</v>
      </c>
      <c r="G1082" s="2" t="inlineStr">
        <is>
          <t>No</t>
        </is>
      </c>
      <c r="H1082" s="2" t="n">
        <v>55</v>
      </c>
      <c r="I1082" s="2" t="n">
        <v>4.5</v>
      </c>
      <c r="J1082" s="2" t="n">
        <v>3.4</v>
      </c>
      <c r="K1082" s="2" t="n">
        <v>3.4</v>
      </c>
      <c r="L1082" s="2" t="inlineStr">
        <is>
          <t>Active</t>
        </is>
      </c>
    </row>
    <row r="1083">
      <c r="A1083" s="2" t="inlineStr">
        <is>
          <t>EMP00476</t>
        </is>
      </c>
      <c r="B1083" s="2" t="inlineStr">
        <is>
          <t>Engineering</t>
        </is>
      </c>
      <c r="C1083" s="2" t="inlineStr">
        <is>
          <t>Senior Engineer</t>
        </is>
      </c>
      <c r="D1083" s="2" t="n">
        <v>28</v>
      </c>
      <c r="E1083" s="2" t="n">
        <v>3.4</v>
      </c>
      <c r="F1083" s="2" t="n">
        <v>1098000</v>
      </c>
      <c r="G1083" s="2" t="inlineStr">
        <is>
          <t>No</t>
        </is>
      </c>
      <c r="H1083" s="2" t="n">
        <v>13</v>
      </c>
      <c r="I1083" s="2" t="n">
        <v>3.5</v>
      </c>
      <c r="J1083" s="2" t="n">
        <v>2.4</v>
      </c>
      <c r="K1083" s="2" t="n">
        <v>3.4</v>
      </c>
      <c r="L1083" s="2" t="inlineStr">
        <is>
          <t>Active</t>
        </is>
      </c>
    </row>
    <row r="1084">
      <c r="A1084" s="2" t="inlineStr">
        <is>
          <t>EMP00600</t>
        </is>
      </c>
      <c r="B1084" s="2" t="inlineStr">
        <is>
          <t>Finance</t>
        </is>
      </c>
      <c r="C1084" s="2" t="inlineStr">
        <is>
          <t>Accountant</t>
        </is>
      </c>
      <c r="D1084" s="2" t="n">
        <v>32</v>
      </c>
      <c r="E1084" s="2" t="n">
        <v>2.9</v>
      </c>
      <c r="F1084" s="2" t="n">
        <v>907000</v>
      </c>
      <c r="G1084" s="2" t="inlineStr">
        <is>
          <t>No</t>
        </is>
      </c>
      <c r="H1084" s="2" t="n">
        <v>58</v>
      </c>
      <c r="I1084" s="2" t="n">
        <v>4.3</v>
      </c>
      <c r="J1084" s="2" t="n">
        <v>3.4</v>
      </c>
      <c r="K1084" s="2" t="n">
        <v>2.9</v>
      </c>
      <c r="L1084" s="2" t="inlineStr">
        <is>
          <t>Active</t>
        </is>
      </c>
    </row>
    <row r="1085">
      <c r="A1085" s="2" t="inlineStr">
        <is>
          <t>EMP00422</t>
        </is>
      </c>
      <c r="B1085" s="2" t="inlineStr">
        <is>
          <t>Sales</t>
        </is>
      </c>
      <c r="C1085" s="2" t="inlineStr">
        <is>
          <t>Sales Manager</t>
        </is>
      </c>
      <c r="D1085" s="2" t="n">
        <v>34</v>
      </c>
      <c r="E1085" s="2" t="n">
        <v>1.7</v>
      </c>
      <c r="F1085" s="2" t="n">
        <v>662000</v>
      </c>
      <c r="G1085" s="2" t="inlineStr">
        <is>
          <t>No</t>
        </is>
      </c>
      <c r="H1085" s="2" t="n">
        <v>23</v>
      </c>
      <c r="I1085" s="2" t="n">
        <v>3.7</v>
      </c>
      <c r="J1085" s="2" t="n">
        <v>3.3</v>
      </c>
      <c r="K1085" s="2" t="n">
        <v>3.5</v>
      </c>
      <c r="L1085" s="2" t="inlineStr">
        <is>
          <t>Resigned</t>
        </is>
      </c>
    </row>
    <row r="1086">
      <c r="A1086" s="2" t="inlineStr">
        <is>
          <t>EMP00183</t>
        </is>
      </c>
      <c r="B1086" s="2" t="inlineStr">
        <is>
          <t>Operations</t>
        </is>
      </c>
      <c r="C1086" s="2" t="inlineStr">
        <is>
          <t>Ops Analyst</t>
        </is>
      </c>
      <c r="D1086" s="2" t="n">
        <v>30</v>
      </c>
      <c r="E1086" s="2" t="n">
        <v>3.2</v>
      </c>
      <c r="F1086" s="2" t="n">
        <v>723000</v>
      </c>
      <c r="G1086" s="2" t="inlineStr">
        <is>
          <t>Yes</t>
        </is>
      </c>
      <c r="H1086" s="2" t="n">
        <v>3</v>
      </c>
      <c r="I1086" s="2" t="n">
        <v>1.8</v>
      </c>
      <c r="J1086" s="2" t="n">
        <v>3.8</v>
      </c>
      <c r="K1086" s="2" t="n">
        <v>4.2</v>
      </c>
      <c r="L1086" s="2" t="inlineStr">
        <is>
          <t>Resigned</t>
        </is>
      </c>
    </row>
    <row r="1087">
      <c r="A1087" s="2" t="inlineStr">
        <is>
          <t>EMP00989</t>
        </is>
      </c>
      <c r="B1087" s="2" t="inlineStr">
        <is>
          <t>Engineering</t>
        </is>
      </c>
      <c r="C1087" s="2" t="inlineStr">
        <is>
          <t>Software Engineer</t>
        </is>
      </c>
      <c r="D1087" s="2" t="n">
        <v>53</v>
      </c>
      <c r="E1087" s="2" t="n">
        <v>5.1</v>
      </c>
      <c r="F1087" s="2" t="n">
        <v>1194000</v>
      </c>
      <c r="G1087" s="2" t="inlineStr">
        <is>
          <t>Yes</t>
        </is>
      </c>
      <c r="H1087" s="2" t="n">
        <v>42</v>
      </c>
      <c r="I1087" s="2" t="n">
        <v>3.7</v>
      </c>
      <c r="J1087" s="2" t="n">
        <v>2.3</v>
      </c>
      <c r="K1087" s="2" t="n">
        <v>2.6</v>
      </c>
      <c r="L1087" s="2" t="inlineStr">
        <is>
          <t>Resigned</t>
        </is>
      </c>
    </row>
    <row r="1088">
      <c r="A1088" s="2" t="inlineStr">
        <is>
          <t>EMP01001</t>
        </is>
      </c>
      <c r="B1088" s="2" t="inlineStr">
        <is>
          <t>Sales</t>
        </is>
      </c>
      <c r="C1088" s="2" t="inlineStr">
        <is>
          <t>Sales Manager</t>
        </is>
      </c>
      <c r="D1088" s="2" t="n">
        <v>33</v>
      </c>
      <c r="E1088" s="2" t="n">
        <v>1.3</v>
      </c>
      <c r="F1088" s="2" t="n">
        <v>761000</v>
      </c>
      <c r="G1088" s="2" t="inlineStr">
        <is>
          <t>No</t>
        </is>
      </c>
      <c r="H1088" s="2" t="n">
        <v>58</v>
      </c>
      <c r="I1088" s="2" t="n">
        <v>3.3</v>
      </c>
      <c r="J1088" s="2" t="n">
        <v>4.3</v>
      </c>
      <c r="K1088" s="2" t="n">
        <v>2.7</v>
      </c>
      <c r="L1088" s="2" t="inlineStr">
        <is>
          <t>Active</t>
        </is>
      </c>
    </row>
    <row r="1089">
      <c r="A1089" s="2" t="inlineStr">
        <is>
          <t>EMP00050</t>
        </is>
      </c>
      <c r="B1089" s="2" t="inlineStr">
        <is>
          <t>Sales</t>
        </is>
      </c>
      <c r="C1089" s="2" t="inlineStr">
        <is>
          <t>Sales Executive</t>
        </is>
      </c>
      <c r="D1089" s="2" t="n">
        <v>43</v>
      </c>
      <c r="E1089" s="2" t="n">
        <v>0.8</v>
      </c>
      <c r="F1089" s="2" t="n">
        <v>610000</v>
      </c>
      <c r="G1089" s="2" t="inlineStr">
        <is>
          <t>Yes</t>
        </is>
      </c>
      <c r="H1089" s="2" t="n">
        <v>38</v>
      </c>
      <c r="I1089" s="2" t="n">
        <v>1.4</v>
      </c>
      <c r="J1089" s="2" t="n">
        <v>2.1</v>
      </c>
      <c r="K1089" s="2" t="n">
        <v>3.7</v>
      </c>
      <c r="L1089" s="2" t="inlineStr">
        <is>
          <t>Resigned</t>
        </is>
      </c>
    </row>
    <row r="1090">
      <c r="A1090" s="2" t="inlineStr">
        <is>
          <t>EMP01139</t>
        </is>
      </c>
      <c r="B1090" s="2" t="inlineStr">
        <is>
          <t>Sales</t>
        </is>
      </c>
      <c r="C1090" s="2" t="inlineStr">
        <is>
          <t>Account Manager</t>
        </is>
      </c>
      <c r="D1090" s="2" t="n">
        <v>37</v>
      </c>
      <c r="E1090" s="2" t="n">
        <v>4.6</v>
      </c>
      <c r="F1090" s="2" t="n">
        <v>933000</v>
      </c>
      <c r="G1090" s="2" t="inlineStr">
        <is>
          <t>No</t>
        </is>
      </c>
      <c r="H1090" s="2" t="n">
        <v>49</v>
      </c>
      <c r="I1090" s="2" t="n">
        <v>3.9</v>
      </c>
      <c r="J1090" s="2" t="n">
        <v>3.9</v>
      </c>
      <c r="K1090" s="2" t="n">
        <v>2.9</v>
      </c>
      <c r="L1090" s="2" t="inlineStr">
        <is>
          <t>Active</t>
        </is>
      </c>
    </row>
    <row r="1091">
      <c r="A1091" s="2" t="inlineStr">
        <is>
          <t>EMP01030</t>
        </is>
      </c>
      <c r="B1091" s="2" t="inlineStr">
        <is>
          <t>Engineering</t>
        </is>
      </c>
      <c r="C1091" s="2" t="inlineStr">
        <is>
          <t>Software Engineer</t>
        </is>
      </c>
      <c r="D1091" s="2" t="n">
        <v>38</v>
      </c>
      <c r="E1091" s="2" t="n">
        <v>4.6</v>
      </c>
      <c r="F1091" s="2" t="n">
        <v>1301000</v>
      </c>
      <c r="G1091" s="2" t="inlineStr">
        <is>
          <t>No</t>
        </is>
      </c>
      <c r="H1091" s="2" t="n">
        <v>21</v>
      </c>
      <c r="I1091" s="2" t="n">
        <v>3.5</v>
      </c>
      <c r="J1091" s="2" t="n">
        <v>2.5</v>
      </c>
      <c r="K1091" s="2" t="n">
        <v>3.7</v>
      </c>
      <c r="L1091" s="2" t="inlineStr">
        <is>
          <t>Active</t>
        </is>
      </c>
    </row>
    <row r="1092">
      <c r="A1092" s="2" t="inlineStr">
        <is>
          <t>EMP00530</t>
        </is>
      </c>
      <c r="B1092" s="2" t="inlineStr">
        <is>
          <t>Engineering</t>
        </is>
      </c>
      <c r="C1092" s="2" t="inlineStr">
        <is>
          <t>Senior Engineer</t>
        </is>
      </c>
      <c r="D1092" s="2" t="n">
        <v>39</v>
      </c>
      <c r="E1092" s="2" t="n">
        <v>5.9</v>
      </c>
      <c r="F1092" s="2" t="n">
        <v>1258000</v>
      </c>
      <c r="G1092" s="2" t="inlineStr">
        <is>
          <t>No</t>
        </is>
      </c>
      <c r="H1092" s="2" t="n">
        <v>5</v>
      </c>
      <c r="I1092" s="2" t="n">
        <v>3.4</v>
      </c>
      <c r="J1092" s="2" t="n">
        <v>2.4</v>
      </c>
      <c r="K1092" s="2" t="n">
        <v>2.8</v>
      </c>
      <c r="L1092" s="2" t="inlineStr">
        <is>
          <t>Active</t>
        </is>
      </c>
    </row>
    <row r="1093">
      <c r="A1093" s="2" t="inlineStr">
        <is>
          <t>EMP00487</t>
        </is>
      </c>
      <c r="B1093" s="2" t="inlineStr">
        <is>
          <t>Operations</t>
        </is>
      </c>
      <c r="C1093" s="2" t="inlineStr">
        <is>
          <t>Process Lead</t>
        </is>
      </c>
      <c r="D1093" s="2" t="n">
        <v>43</v>
      </c>
      <c r="E1093" s="2" t="n">
        <v>6.6</v>
      </c>
      <c r="F1093" s="2" t="n">
        <v>858000</v>
      </c>
      <c r="G1093" s="2" t="inlineStr">
        <is>
          <t>Yes</t>
        </is>
      </c>
      <c r="H1093" s="2" t="n">
        <v>32</v>
      </c>
      <c r="I1093" s="2" t="n">
        <v>3.7</v>
      </c>
      <c r="J1093" s="2" t="n">
        <v>3.3</v>
      </c>
      <c r="K1093" s="2" t="n">
        <v>4</v>
      </c>
      <c r="L1093" s="2" t="inlineStr">
        <is>
          <t>Active</t>
        </is>
      </c>
    </row>
    <row r="1094">
      <c r="A1094" s="2" t="inlineStr">
        <is>
          <t>EMP00498</t>
        </is>
      </c>
      <c r="B1094" s="2" t="inlineStr">
        <is>
          <t>Finance</t>
        </is>
      </c>
      <c r="C1094" s="2" t="inlineStr">
        <is>
          <t>Accountant</t>
        </is>
      </c>
      <c r="D1094" s="2" t="n">
        <v>30</v>
      </c>
      <c r="E1094" s="2" t="n">
        <v>9.199999999999999</v>
      </c>
      <c r="F1094" s="2" t="n">
        <v>1288000</v>
      </c>
      <c r="G1094" s="2" t="inlineStr">
        <is>
          <t>Yes</t>
        </is>
      </c>
      <c r="H1094" s="2" t="n">
        <v>15</v>
      </c>
      <c r="I1094" s="2" t="n">
        <v>4.4</v>
      </c>
      <c r="J1094" s="2" t="n">
        <v>3.4</v>
      </c>
      <c r="K1094" s="2" t="n">
        <v>3.2</v>
      </c>
      <c r="L1094" s="2" t="inlineStr">
        <is>
          <t>Active</t>
        </is>
      </c>
    </row>
    <row r="1095">
      <c r="A1095" s="2" t="inlineStr">
        <is>
          <t>EMP00107</t>
        </is>
      </c>
      <c r="B1095" s="2" t="inlineStr">
        <is>
          <t>Operations</t>
        </is>
      </c>
      <c r="C1095" s="2" t="inlineStr">
        <is>
          <t>Ops Manager</t>
        </is>
      </c>
      <c r="D1095" s="2" t="n">
        <v>29</v>
      </c>
      <c r="E1095" s="2" t="n">
        <v>3.5</v>
      </c>
      <c r="F1095" s="2" t="n">
        <v>713000</v>
      </c>
      <c r="G1095" s="2" t="inlineStr">
        <is>
          <t>No</t>
        </is>
      </c>
      <c r="H1095" s="2" t="n">
        <v>54</v>
      </c>
      <c r="I1095" s="2" t="n">
        <v>2.6</v>
      </c>
      <c r="J1095" s="2" t="n">
        <v>4.7</v>
      </c>
      <c r="K1095" s="2" t="n">
        <v>4.7</v>
      </c>
      <c r="L1095" s="2" t="inlineStr">
        <is>
          <t>Active</t>
        </is>
      </c>
    </row>
    <row r="1096">
      <c r="A1096" s="2" t="inlineStr">
        <is>
          <t>EMP00444</t>
        </is>
      </c>
      <c r="B1096" s="2" t="inlineStr">
        <is>
          <t>Sales</t>
        </is>
      </c>
      <c r="C1096" s="2" t="inlineStr">
        <is>
          <t>Account Manager</t>
        </is>
      </c>
      <c r="D1096" s="2" t="n">
        <v>50</v>
      </c>
      <c r="E1096" s="2" t="n">
        <v>4.2</v>
      </c>
      <c r="F1096" s="2" t="n">
        <v>703000</v>
      </c>
      <c r="G1096" s="2" t="inlineStr">
        <is>
          <t>No</t>
        </is>
      </c>
      <c r="H1096" s="2" t="n">
        <v>55</v>
      </c>
      <c r="I1096" s="2" t="n">
        <v>1.8</v>
      </c>
      <c r="J1096" s="2" t="n">
        <v>3.2</v>
      </c>
      <c r="K1096" s="2" t="n">
        <v>2.6</v>
      </c>
      <c r="L1096" s="2" t="inlineStr">
        <is>
          <t>Active</t>
        </is>
      </c>
    </row>
    <row r="1097">
      <c r="A1097" s="2" t="inlineStr">
        <is>
          <t>EMP00647</t>
        </is>
      </c>
      <c r="B1097" s="2" t="inlineStr">
        <is>
          <t>Sales</t>
        </is>
      </c>
      <c r="C1097" s="2" t="inlineStr">
        <is>
          <t>Sales Manager</t>
        </is>
      </c>
      <c r="D1097" s="2" t="n">
        <v>33</v>
      </c>
      <c r="E1097" s="2" t="n">
        <v>4.1</v>
      </c>
      <c r="F1097" s="2" t="n">
        <v>798000</v>
      </c>
      <c r="G1097" s="2" t="inlineStr">
        <is>
          <t>No</t>
        </is>
      </c>
      <c r="H1097" s="2" t="n">
        <v>19</v>
      </c>
      <c r="I1097" s="2" t="n">
        <v>4.2</v>
      </c>
      <c r="J1097" s="2" t="n">
        <v>4</v>
      </c>
      <c r="K1097" s="2" t="n">
        <v>4</v>
      </c>
      <c r="L1097" s="2" t="inlineStr">
        <is>
          <t>Active</t>
        </is>
      </c>
    </row>
    <row r="1098">
      <c r="A1098" s="2" t="inlineStr">
        <is>
          <t>EMP01037</t>
        </is>
      </c>
      <c r="B1098" s="2" t="inlineStr">
        <is>
          <t>Engineering</t>
        </is>
      </c>
      <c r="C1098" s="2" t="inlineStr">
        <is>
          <t>Software Engineer</t>
        </is>
      </c>
      <c r="D1098" s="2" t="n">
        <v>45</v>
      </c>
      <c r="E1098" s="2" t="n">
        <v>4.6</v>
      </c>
      <c r="F1098" s="2" t="n">
        <v>1043000</v>
      </c>
      <c r="G1098" s="2" t="inlineStr">
        <is>
          <t>No</t>
        </is>
      </c>
      <c r="H1098" s="2" t="n">
        <v>34</v>
      </c>
      <c r="I1098" s="2" t="n">
        <v>2.8</v>
      </c>
      <c r="J1098" s="2" t="n">
        <v>3.8</v>
      </c>
      <c r="K1098" s="2" t="n">
        <v>3.4</v>
      </c>
      <c r="L1098" s="2" t="inlineStr">
        <is>
          <t>Active</t>
        </is>
      </c>
    </row>
    <row r="1099">
      <c r="A1099" s="2" t="inlineStr">
        <is>
          <t>EMP00727</t>
        </is>
      </c>
      <c r="B1099" s="2" t="inlineStr">
        <is>
          <t>Engineering</t>
        </is>
      </c>
      <c r="C1099" s="2" t="inlineStr">
        <is>
          <t>Engineering Manager</t>
        </is>
      </c>
      <c r="D1099" s="2" t="n">
        <v>27</v>
      </c>
      <c r="E1099" s="2" t="n">
        <v>2.9</v>
      </c>
      <c r="F1099" s="2" t="n">
        <v>1089000</v>
      </c>
      <c r="G1099" s="2" t="inlineStr">
        <is>
          <t>Yes</t>
        </is>
      </c>
      <c r="H1099" s="2" t="n">
        <v>43</v>
      </c>
      <c r="I1099" s="2" t="n">
        <v>4.5</v>
      </c>
      <c r="J1099" s="2" t="n">
        <v>3.6</v>
      </c>
      <c r="K1099" s="2" t="n">
        <v>4</v>
      </c>
      <c r="L1099" s="2" t="inlineStr">
        <is>
          <t>Resigned</t>
        </is>
      </c>
    </row>
    <row r="1100">
      <c r="A1100" s="2" t="inlineStr">
        <is>
          <t>EMP00191</t>
        </is>
      </c>
      <c r="B1100" s="2" t="inlineStr">
        <is>
          <t>Customer Support</t>
        </is>
      </c>
      <c r="C1100" s="2" t="inlineStr">
        <is>
          <t>Support Associate</t>
        </is>
      </c>
      <c r="D1100" s="2" t="n">
        <v>29</v>
      </c>
      <c r="E1100" s="2" t="n">
        <v>1.3</v>
      </c>
      <c r="F1100" s="2" t="n">
        <v>568000</v>
      </c>
      <c r="G1100" s="2" t="inlineStr">
        <is>
          <t>No</t>
        </is>
      </c>
      <c r="H1100" s="2" t="n">
        <v>2</v>
      </c>
      <c r="I1100" s="2" t="n">
        <v>5</v>
      </c>
      <c r="J1100" s="2" t="n">
        <v>4.2</v>
      </c>
      <c r="K1100" s="2" t="n">
        <v>3</v>
      </c>
      <c r="L1100" s="2" t="inlineStr">
        <is>
          <t>Active</t>
        </is>
      </c>
    </row>
    <row r="1101">
      <c r="A1101" s="2" t="inlineStr">
        <is>
          <t>EMP00283</t>
        </is>
      </c>
      <c r="B1101" s="2" t="inlineStr">
        <is>
          <t>Engineering</t>
        </is>
      </c>
      <c r="C1101" s="2" t="inlineStr">
        <is>
          <t>Senior Engineer</t>
        </is>
      </c>
      <c r="D1101" s="2" t="n">
        <v>31</v>
      </c>
      <c r="E1101" s="2" t="n">
        <v>6.2</v>
      </c>
      <c r="F1101" s="2" t="n">
        <v>1160000</v>
      </c>
      <c r="G1101" s="2" t="inlineStr">
        <is>
          <t>No</t>
        </is>
      </c>
      <c r="H1101" s="2" t="n">
        <v>24</v>
      </c>
      <c r="I1101" s="2" t="n">
        <v>1.4</v>
      </c>
      <c r="J1101" s="2" t="n">
        <v>3.8</v>
      </c>
      <c r="K1101" s="2" t="n">
        <v>2.5</v>
      </c>
      <c r="L1101" s="2" t="inlineStr">
        <is>
          <t>Resigned</t>
        </is>
      </c>
    </row>
    <row r="1102">
      <c r="A1102" s="2" t="inlineStr">
        <is>
          <t>EMP00030</t>
        </is>
      </c>
      <c r="B1102" s="2" t="inlineStr">
        <is>
          <t>Finance</t>
        </is>
      </c>
      <c r="C1102" s="2" t="inlineStr">
        <is>
          <t>Financial Analyst</t>
        </is>
      </c>
      <c r="D1102" s="2" t="n">
        <v>36</v>
      </c>
      <c r="E1102" s="2" t="n">
        <v>5.7</v>
      </c>
      <c r="F1102" s="2" t="n">
        <v>856000</v>
      </c>
      <c r="G1102" s="2" t="inlineStr">
        <is>
          <t>No</t>
        </is>
      </c>
      <c r="H1102" s="2" t="n">
        <v>51</v>
      </c>
      <c r="I1102" s="2" t="n">
        <v>4.4</v>
      </c>
      <c r="J1102" s="2" t="n">
        <v>3.2</v>
      </c>
      <c r="K1102" s="2" t="n">
        <v>3.3</v>
      </c>
      <c r="L1102" s="2" t="inlineStr">
        <is>
          <t>Active</t>
        </is>
      </c>
    </row>
    <row r="1103">
      <c r="A1103" s="2" t="inlineStr">
        <is>
          <t>EMP00170</t>
        </is>
      </c>
      <c r="B1103" s="2" t="inlineStr">
        <is>
          <t>Customer Support</t>
        </is>
      </c>
      <c r="C1103" s="2" t="inlineStr">
        <is>
          <t>Support Manager</t>
        </is>
      </c>
      <c r="D1103" s="2" t="n">
        <v>33</v>
      </c>
      <c r="E1103" s="2" t="n">
        <v>2.4</v>
      </c>
      <c r="F1103" s="2" t="n">
        <v>528000</v>
      </c>
      <c r="G1103" s="2" t="inlineStr">
        <is>
          <t>Yes</t>
        </is>
      </c>
      <c r="H1103" s="2" t="n">
        <v>4</v>
      </c>
      <c r="I1103" s="2" t="n">
        <v>3.6</v>
      </c>
      <c r="J1103" s="2" t="n">
        <v>3.1</v>
      </c>
      <c r="K1103" s="2" t="n">
        <v>2.8</v>
      </c>
      <c r="L1103" s="2" t="inlineStr">
        <is>
          <t>Resigned</t>
        </is>
      </c>
    </row>
    <row r="1104">
      <c r="A1104" s="2" t="inlineStr">
        <is>
          <t>EMP01002</t>
        </is>
      </c>
      <c r="B1104" s="2" t="inlineStr">
        <is>
          <t>Operations</t>
        </is>
      </c>
      <c r="C1104" s="2" t="inlineStr">
        <is>
          <t>Process Lead</t>
        </is>
      </c>
      <c r="D1104" s="2" t="n">
        <v>34</v>
      </c>
      <c r="E1104" s="2" t="n">
        <v>2.8</v>
      </c>
      <c r="F1104" s="2" t="n">
        <v>627000</v>
      </c>
      <c r="G1104" s="2" t="inlineStr">
        <is>
          <t>No</t>
        </is>
      </c>
      <c r="H1104" s="2" t="n">
        <v>42</v>
      </c>
      <c r="I1104" s="2" t="n">
        <v>3</v>
      </c>
      <c r="J1104" s="2" t="n">
        <v>4.4</v>
      </c>
      <c r="K1104" s="2" t="n">
        <v>3.6</v>
      </c>
      <c r="L1104" s="2" t="inlineStr">
        <is>
          <t>Active</t>
        </is>
      </c>
    </row>
    <row r="1105">
      <c r="A1105" s="2" t="inlineStr">
        <is>
          <t>EMP00101</t>
        </is>
      </c>
      <c r="B1105" s="2" t="inlineStr">
        <is>
          <t>Customer Support</t>
        </is>
      </c>
      <c r="C1105" s="2" t="inlineStr">
        <is>
          <t>Support Manager</t>
        </is>
      </c>
      <c r="D1105" s="2" t="n">
        <v>21</v>
      </c>
      <c r="E1105" s="2" t="n">
        <v>4.3</v>
      </c>
      <c r="F1105" s="2" t="n">
        <v>522000</v>
      </c>
      <c r="G1105" s="2" t="inlineStr">
        <is>
          <t>Yes</t>
        </is>
      </c>
      <c r="H1105" s="2" t="n">
        <v>43</v>
      </c>
      <c r="I1105" s="2" t="n">
        <v>1.9</v>
      </c>
      <c r="J1105" s="2" t="n">
        <v>3.6</v>
      </c>
      <c r="K1105" s="2" t="n">
        <v>2.9</v>
      </c>
      <c r="L1105" s="2" t="inlineStr">
        <is>
          <t>Resigned</t>
        </is>
      </c>
    </row>
    <row r="1106">
      <c r="A1106" s="2" t="inlineStr">
        <is>
          <t>EMP00198</t>
        </is>
      </c>
      <c r="B1106" s="2" t="inlineStr">
        <is>
          <t>Customer Support</t>
        </is>
      </c>
      <c r="C1106" s="2" t="inlineStr">
        <is>
          <t>Support Manager</t>
        </is>
      </c>
      <c r="D1106" s="2" t="n">
        <v>30</v>
      </c>
      <c r="E1106" s="2" t="n">
        <v>1.9</v>
      </c>
      <c r="F1106" s="2" t="n">
        <v>589000</v>
      </c>
      <c r="G1106" s="2" t="inlineStr">
        <is>
          <t>No</t>
        </is>
      </c>
      <c r="H1106" s="2" t="n">
        <v>51</v>
      </c>
      <c r="I1106" s="2" t="n">
        <v>2.4</v>
      </c>
      <c r="J1106" s="2" t="n">
        <v>3.8</v>
      </c>
      <c r="K1106" s="2" t="n">
        <v>3.7</v>
      </c>
      <c r="L1106" s="2" t="inlineStr">
        <is>
          <t>Active</t>
        </is>
      </c>
    </row>
    <row r="1107">
      <c r="A1107" s="2" t="inlineStr">
        <is>
          <t>EMP00496</t>
        </is>
      </c>
      <c r="B1107" s="2" t="inlineStr">
        <is>
          <t>Operations</t>
        </is>
      </c>
      <c r="C1107" s="2" t="inlineStr">
        <is>
          <t>Ops Manager</t>
        </is>
      </c>
      <c r="D1107" s="2" t="n">
        <v>39</v>
      </c>
      <c r="E1107" s="2" t="n">
        <v>5.6</v>
      </c>
      <c r="F1107" s="2" t="n">
        <v>801000</v>
      </c>
      <c r="G1107" s="2" t="inlineStr">
        <is>
          <t>No</t>
        </is>
      </c>
      <c r="H1107" s="2" t="n">
        <v>13</v>
      </c>
      <c r="I1107" s="2" t="n">
        <v>3.2</v>
      </c>
      <c r="J1107" s="2" t="n">
        <v>2</v>
      </c>
      <c r="K1107" s="2" t="n">
        <v>2.5</v>
      </c>
      <c r="L1107" s="2" t="inlineStr">
        <is>
          <t>Active</t>
        </is>
      </c>
    </row>
    <row r="1108">
      <c r="A1108" s="2" t="inlineStr">
        <is>
          <t>EMP00648</t>
        </is>
      </c>
      <c r="B1108" s="2" t="inlineStr">
        <is>
          <t>Operations</t>
        </is>
      </c>
      <c r="C1108" s="2" t="inlineStr">
        <is>
          <t>Process Lead</t>
        </is>
      </c>
      <c r="D1108" s="2" t="n">
        <v>44</v>
      </c>
      <c r="E1108" s="2" t="n">
        <v>1.4</v>
      </c>
      <c r="F1108" s="2" t="n">
        <v>561000</v>
      </c>
      <c r="G1108" s="2" t="inlineStr">
        <is>
          <t>Yes</t>
        </is>
      </c>
      <c r="H1108" s="2" t="n">
        <v>37</v>
      </c>
      <c r="I1108" s="2" t="n">
        <v>3.9</v>
      </c>
      <c r="J1108" s="2" t="n">
        <v>2.9</v>
      </c>
      <c r="K1108" s="2" t="n">
        <v>2.4</v>
      </c>
      <c r="L1108" s="2" t="inlineStr">
        <is>
          <t>Active</t>
        </is>
      </c>
    </row>
    <row r="1109">
      <c r="A1109" s="2" t="inlineStr">
        <is>
          <t>EMP00988</t>
        </is>
      </c>
      <c r="B1109" s="2" t="inlineStr">
        <is>
          <t>Sales</t>
        </is>
      </c>
      <c r="C1109" s="2" t="inlineStr">
        <is>
          <t>Sales Manager</t>
        </is>
      </c>
      <c r="D1109" s="2" t="n">
        <v>42</v>
      </c>
      <c r="E1109" s="2" t="n">
        <v>1.8</v>
      </c>
      <c r="F1109" s="2" t="n">
        <v>714000</v>
      </c>
      <c r="G1109" s="2" t="inlineStr">
        <is>
          <t>No</t>
        </is>
      </c>
      <c r="H1109" s="2" t="n">
        <v>51</v>
      </c>
      <c r="I1109" s="2" t="n">
        <v>2.4</v>
      </c>
      <c r="J1109" s="2" t="n">
        <v>3.8</v>
      </c>
      <c r="K1109" s="2" t="n">
        <v>2.7</v>
      </c>
      <c r="L1109" s="2" t="inlineStr">
        <is>
          <t>Resigned</t>
        </is>
      </c>
    </row>
    <row r="1110">
      <c r="A1110" s="2" t="inlineStr">
        <is>
          <t>EMP00045</t>
        </is>
      </c>
      <c r="B1110" s="2" t="inlineStr">
        <is>
          <t>HR</t>
        </is>
      </c>
      <c r="C1110" s="2" t="inlineStr">
        <is>
          <t>Recruiter</t>
        </is>
      </c>
      <c r="D1110" s="2" t="n">
        <v>39</v>
      </c>
      <c r="E1110" s="2" t="n">
        <v>4.8</v>
      </c>
      <c r="F1110" s="2" t="n">
        <v>743000</v>
      </c>
      <c r="G1110" s="2" t="inlineStr">
        <is>
          <t>No</t>
        </is>
      </c>
      <c r="H1110" s="2" t="n">
        <v>47</v>
      </c>
      <c r="I1110" s="2" t="n">
        <v>3.1</v>
      </c>
      <c r="J1110" s="2" t="n">
        <v>4.3</v>
      </c>
      <c r="K1110" s="2" t="n">
        <v>1.9</v>
      </c>
      <c r="L1110" s="2" t="inlineStr">
        <is>
          <t>Active</t>
        </is>
      </c>
    </row>
    <row r="1111">
      <c r="A1111" s="2" t="inlineStr">
        <is>
          <t>EMP00711</t>
        </is>
      </c>
      <c r="B1111" s="2" t="inlineStr">
        <is>
          <t>Customer Support</t>
        </is>
      </c>
      <c r="C1111" s="2" t="inlineStr">
        <is>
          <t>Support Lead</t>
        </is>
      </c>
      <c r="D1111" s="2" t="n">
        <v>24</v>
      </c>
      <c r="E1111" s="2" t="n">
        <v>6.2</v>
      </c>
      <c r="F1111" s="2" t="n">
        <v>648000</v>
      </c>
      <c r="G1111" s="2" t="inlineStr">
        <is>
          <t>Yes</t>
        </is>
      </c>
      <c r="H1111" s="2" t="n">
        <v>35</v>
      </c>
      <c r="I1111" s="2" t="n">
        <v>3.5</v>
      </c>
      <c r="J1111" s="2" t="n">
        <v>1</v>
      </c>
      <c r="K1111" s="2" t="n">
        <v>2.6</v>
      </c>
      <c r="L1111" s="2" t="inlineStr">
        <is>
          <t>Active</t>
        </is>
      </c>
    </row>
    <row r="1112">
      <c r="A1112" s="2" t="inlineStr">
        <is>
          <t>EMP00374</t>
        </is>
      </c>
      <c r="B1112" s="2" t="inlineStr">
        <is>
          <t>Engineering</t>
        </is>
      </c>
      <c r="C1112" s="2" t="inlineStr">
        <is>
          <t>Engineering Manager</t>
        </is>
      </c>
      <c r="D1112" s="2" t="n">
        <v>49</v>
      </c>
      <c r="E1112" s="2" t="n">
        <v>2.5</v>
      </c>
      <c r="F1112" s="2" t="n">
        <v>1243000</v>
      </c>
      <c r="G1112" s="2" t="inlineStr">
        <is>
          <t>Yes</t>
        </is>
      </c>
      <c r="H1112" s="2" t="n">
        <v>5</v>
      </c>
      <c r="I1112" s="2" t="n">
        <v>3.5</v>
      </c>
      <c r="J1112" s="2" t="n">
        <v>4.6</v>
      </c>
      <c r="K1112" s="2" t="n">
        <v>3.5</v>
      </c>
      <c r="L1112" s="2" t="inlineStr">
        <is>
          <t>Active</t>
        </is>
      </c>
    </row>
    <row r="1113">
      <c r="A1113" s="2" t="inlineStr">
        <is>
          <t>EMP00679</t>
        </is>
      </c>
      <c r="B1113" s="2" t="inlineStr">
        <is>
          <t>Sales</t>
        </is>
      </c>
      <c r="C1113" s="2" t="inlineStr">
        <is>
          <t>Sales Executive</t>
        </is>
      </c>
      <c r="D1113" s="2" t="n">
        <v>32</v>
      </c>
      <c r="E1113" s="2" t="n">
        <v>1.7</v>
      </c>
      <c r="F1113" s="2" t="n">
        <v>743000</v>
      </c>
      <c r="G1113" s="2" t="inlineStr">
        <is>
          <t>Yes</t>
        </is>
      </c>
      <c r="H1113" s="2" t="n">
        <v>3</v>
      </c>
      <c r="I1113" s="2" t="n">
        <v>4.6</v>
      </c>
      <c r="J1113" s="2" t="n">
        <v>2.3</v>
      </c>
      <c r="K1113" s="2" t="n">
        <v>2.5</v>
      </c>
      <c r="L1113" s="2" t="inlineStr">
        <is>
          <t>Active</t>
        </is>
      </c>
    </row>
    <row r="1114">
      <c r="A1114" s="2" t="inlineStr">
        <is>
          <t>EMP00567</t>
        </is>
      </c>
      <c r="B1114" s="2" t="inlineStr">
        <is>
          <t>HR</t>
        </is>
      </c>
      <c r="C1114" s="2" t="inlineStr">
        <is>
          <t>HR Generalist</t>
        </is>
      </c>
      <c r="D1114" s="2" t="n">
        <v>25</v>
      </c>
      <c r="E1114" s="2" t="n">
        <v>3.1</v>
      </c>
      <c r="F1114" s="2" t="n">
        <v>677000</v>
      </c>
      <c r="G1114" s="2" t="inlineStr">
        <is>
          <t>No</t>
        </is>
      </c>
      <c r="H1114" s="2" t="n">
        <v>38</v>
      </c>
      <c r="I1114" s="2" t="n">
        <v>3.9</v>
      </c>
      <c r="J1114" s="2" t="n">
        <v>1.7</v>
      </c>
      <c r="K1114" s="2" t="n">
        <v>2.8</v>
      </c>
      <c r="L1114" s="2" t="inlineStr">
        <is>
          <t>Active</t>
        </is>
      </c>
    </row>
    <row r="1115">
      <c r="A1115" s="2" t="inlineStr">
        <is>
          <t>EMP00848</t>
        </is>
      </c>
      <c r="B1115" s="2" t="inlineStr">
        <is>
          <t>Finance</t>
        </is>
      </c>
      <c r="C1115" s="2" t="inlineStr">
        <is>
          <t>Financial Analyst</t>
        </is>
      </c>
      <c r="D1115" s="2" t="n">
        <v>40</v>
      </c>
      <c r="E1115" s="2" t="n">
        <v>0.7</v>
      </c>
      <c r="F1115" s="2" t="n">
        <v>885000</v>
      </c>
      <c r="G1115" s="2" t="inlineStr">
        <is>
          <t>No</t>
        </is>
      </c>
      <c r="H1115" s="2" t="n">
        <v>36</v>
      </c>
      <c r="I1115" s="2" t="n">
        <v>3.8</v>
      </c>
      <c r="J1115" s="2" t="n">
        <v>2.7</v>
      </c>
      <c r="K1115" s="2" t="n">
        <v>2.7</v>
      </c>
      <c r="L1115" s="2" t="inlineStr">
        <is>
          <t>Active</t>
        </is>
      </c>
    </row>
    <row r="1116">
      <c r="A1116" s="2" t="inlineStr">
        <is>
          <t>EMP00461</t>
        </is>
      </c>
      <c r="B1116" s="2" t="inlineStr">
        <is>
          <t>Operations</t>
        </is>
      </c>
      <c r="C1116" s="2" t="inlineStr">
        <is>
          <t>Ops Analyst</t>
        </is>
      </c>
      <c r="D1116" s="2" t="n">
        <v>29</v>
      </c>
      <c r="E1116" s="2" t="n">
        <v>2.2</v>
      </c>
      <c r="F1116" s="2" t="n">
        <v>656000</v>
      </c>
      <c r="G1116" s="2" t="inlineStr">
        <is>
          <t>No</t>
        </is>
      </c>
      <c r="H1116" s="2" t="n">
        <v>10</v>
      </c>
      <c r="I1116" s="2" t="n">
        <v>3.5</v>
      </c>
      <c r="J1116" s="2" t="n">
        <v>3.1</v>
      </c>
      <c r="K1116" s="2" t="n">
        <v>3.4</v>
      </c>
      <c r="L1116" s="2" t="inlineStr">
        <is>
          <t>Active</t>
        </is>
      </c>
    </row>
    <row r="1117">
      <c r="A1117" s="2" t="inlineStr">
        <is>
          <t>EMP00040</t>
        </is>
      </c>
      <c r="B1117" s="2" t="inlineStr">
        <is>
          <t>Finance</t>
        </is>
      </c>
      <c r="C1117" s="2" t="inlineStr">
        <is>
          <t>Financial Analyst</t>
        </is>
      </c>
      <c r="D1117" s="2" t="n">
        <v>47</v>
      </c>
      <c r="E1117" s="2" t="n">
        <v>1.4</v>
      </c>
      <c r="F1117" s="2" t="n">
        <v>802000</v>
      </c>
      <c r="G1117" s="2" t="inlineStr">
        <is>
          <t>No</t>
        </is>
      </c>
      <c r="H1117" s="2" t="n">
        <v>42</v>
      </c>
      <c r="I1117" s="2" t="n">
        <v>2</v>
      </c>
      <c r="J1117" s="2" t="n">
        <v>4.2</v>
      </c>
      <c r="K1117" s="2" t="n">
        <v>2.4</v>
      </c>
      <c r="L1117" s="2" t="inlineStr">
        <is>
          <t>Resigned</t>
        </is>
      </c>
    </row>
    <row r="1118">
      <c r="A1118" s="2" t="inlineStr">
        <is>
          <t>EMP00435</t>
        </is>
      </c>
      <c r="B1118" s="2" t="inlineStr">
        <is>
          <t>Sales</t>
        </is>
      </c>
      <c r="C1118" s="2" t="inlineStr">
        <is>
          <t>Account Manager</t>
        </is>
      </c>
      <c r="D1118" s="2" t="n">
        <v>48</v>
      </c>
      <c r="E1118" s="2" t="n">
        <v>2.8</v>
      </c>
      <c r="F1118" s="2" t="n">
        <v>654000</v>
      </c>
      <c r="G1118" s="2" t="inlineStr">
        <is>
          <t>No</t>
        </is>
      </c>
      <c r="H1118" s="2" t="n">
        <v>47</v>
      </c>
      <c r="I1118" s="2" t="n">
        <v>3.4</v>
      </c>
      <c r="J1118" s="2" t="n">
        <v>2.6</v>
      </c>
      <c r="K1118" s="2" t="n">
        <v>3.1</v>
      </c>
      <c r="L1118" s="2" t="inlineStr">
        <is>
          <t>Active</t>
        </is>
      </c>
    </row>
    <row r="1119">
      <c r="A1119" s="2" t="inlineStr">
        <is>
          <t>EMP00974</t>
        </is>
      </c>
      <c r="B1119" s="2" t="inlineStr">
        <is>
          <t>Customer Support</t>
        </is>
      </c>
      <c r="C1119" s="2" t="inlineStr">
        <is>
          <t>Support Lead</t>
        </is>
      </c>
      <c r="D1119" s="2" t="n">
        <v>41</v>
      </c>
      <c r="E1119" s="2" t="n">
        <v>5.7</v>
      </c>
      <c r="F1119" s="2" t="n">
        <v>690000</v>
      </c>
      <c r="G1119" s="2" t="inlineStr">
        <is>
          <t>No</t>
        </is>
      </c>
      <c r="H1119" s="2" t="n">
        <v>33</v>
      </c>
      <c r="I1119" s="2" t="n">
        <v>2.3</v>
      </c>
      <c r="J1119" s="2" t="n">
        <v>3.5</v>
      </c>
      <c r="K1119" s="2" t="n">
        <v>3.3</v>
      </c>
      <c r="L1119" s="2" t="inlineStr">
        <is>
          <t>Active</t>
        </is>
      </c>
    </row>
    <row r="1120">
      <c r="A1120" s="2" t="inlineStr">
        <is>
          <t>EMP01008</t>
        </is>
      </c>
      <c r="B1120" s="2" t="inlineStr">
        <is>
          <t>Engineering</t>
        </is>
      </c>
      <c r="C1120" s="2" t="inlineStr">
        <is>
          <t>Senior Engineer</t>
        </is>
      </c>
      <c r="D1120" s="2" t="n">
        <v>35</v>
      </c>
      <c r="E1120" s="2" t="n">
        <v>2.2</v>
      </c>
      <c r="F1120" s="2" t="n">
        <v>1124000</v>
      </c>
      <c r="G1120" s="2" t="inlineStr">
        <is>
          <t>No</t>
        </is>
      </c>
      <c r="H1120" s="2" t="n">
        <v>18</v>
      </c>
      <c r="I1120" s="2" t="n">
        <v>4.1</v>
      </c>
      <c r="J1120" s="2" t="n">
        <v>1.9</v>
      </c>
      <c r="K1120" s="2" t="n">
        <v>3.5</v>
      </c>
      <c r="L1120" s="2" t="inlineStr">
        <is>
          <t>Active</t>
        </is>
      </c>
    </row>
    <row r="1121">
      <c r="A1121" s="2" t="inlineStr">
        <is>
          <t>EMP00457</t>
        </is>
      </c>
      <c r="B1121" s="2" t="inlineStr">
        <is>
          <t>Customer Support</t>
        </is>
      </c>
      <c r="C1121" s="2" t="inlineStr">
        <is>
          <t>Support Lead</t>
        </is>
      </c>
      <c r="D1121" s="2" t="n">
        <v>26</v>
      </c>
      <c r="E1121" s="2" t="n">
        <v>3.3</v>
      </c>
      <c r="F1121" s="2" t="n">
        <v>622000</v>
      </c>
      <c r="G1121" s="2" t="inlineStr">
        <is>
          <t>No</t>
        </is>
      </c>
      <c r="H1121" s="2" t="n">
        <v>27</v>
      </c>
      <c r="I1121" s="2" t="n">
        <v>3.3</v>
      </c>
      <c r="J1121" s="2" t="n">
        <v>4.3</v>
      </c>
      <c r="K1121" s="2" t="n">
        <v>4</v>
      </c>
      <c r="L1121" s="2" t="inlineStr">
        <is>
          <t>Active</t>
        </is>
      </c>
    </row>
    <row r="1122">
      <c r="A1122" s="2" t="inlineStr">
        <is>
          <t>EMP00261</t>
        </is>
      </c>
      <c r="B1122" s="2" t="inlineStr">
        <is>
          <t>Sales</t>
        </is>
      </c>
      <c r="C1122" s="2" t="inlineStr">
        <is>
          <t>Account Manager</t>
        </is>
      </c>
      <c r="D1122" s="2" t="n">
        <v>21</v>
      </c>
      <c r="E1122" s="2" t="n">
        <v>6.8</v>
      </c>
      <c r="F1122" s="2" t="n">
        <v>998000</v>
      </c>
      <c r="G1122" s="2" t="inlineStr">
        <is>
          <t>No</t>
        </is>
      </c>
      <c r="H1122" s="2" t="n">
        <v>35</v>
      </c>
      <c r="I1122" s="2" t="n">
        <v>3.4</v>
      </c>
      <c r="J1122" s="2" t="n">
        <v>1</v>
      </c>
      <c r="K1122" s="2" t="n">
        <v>2.5</v>
      </c>
      <c r="L1122" s="2" t="inlineStr">
        <is>
          <t>Active</t>
        </is>
      </c>
    </row>
    <row r="1123">
      <c r="A1123" s="2" t="inlineStr">
        <is>
          <t>EMP00036</t>
        </is>
      </c>
      <c r="B1123" s="2" t="inlineStr">
        <is>
          <t>Sales</t>
        </is>
      </c>
      <c r="C1123" s="2" t="inlineStr">
        <is>
          <t>Account Manager</t>
        </is>
      </c>
      <c r="D1123" s="2" t="n">
        <v>44</v>
      </c>
      <c r="E1123" s="2" t="n">
        <v>3.1</v>
      </c>
      <c r="F1123" s="2" t="n">
        <v>722000</v>
      </c>
      <c r="G1123" s="2" t="inlineStr">
        <is>
          <t>Yes</t>
        </is>
      </c>
      <c r="H1123" s="2" t="n">
        <v>27</v>
      </c>
      <c r="I1123" s="2" t="n">
        <v>2.3</v>
      </c>
      <c r="J1123" s="2" t="n">
        <v>2.7</v>
      </c>
      <c r="K1123" s="2" t="n">
        <v>3.4</v>
      </c>
      <c r="L1123" s="2" t="inlineStr">
        <is>
          <t>Resigned</t>
        </is>
      </c>
    </row>
    <row r="1124">
      <c r="A1124" s="2" t="inlineStr">
        <is>
          <t>EMP00310</t>
        </is>
      </c>
      <c r="B1124" s="2" t="inlineStr">
        <is>
          <t>Sales</t>
        </is>
      </c>
      <c r="C1124" s="2" t="inlineStr">
        <is>
          <t>Sales Manager</t>
        </is>
      </c>
      <c r="D1124" s="2" t="n">
        <v>48</v>
      </c>
      <c r="E1124" s="2" t="n">
        <v>0.6</v>
      </c>
      <c r="F1124" s="2" t="n">
        <v>655000</v>
      </c>
      <c r="G1124" s="2" t="inlineStr">
        <is>
          <t>No</t>
        </is>
      </c>
      <c r="H1124" s="2" t="n">
        <v>57</v>
      </c>
      <c r="I1124" s="2" t="n">
        <v>3.3</v>
      </c>
      <c r="J1124" s="2" t="n">
        <v>3.8</v>
      </c>
      <c r="K1124" s="2" t="n">
        <v>3.2</v>
      </c>
      <c r="L1124" s="2" t="inlineStr">
        <is>
          <t>Active</t>
        </is>
      </c>
    </row>
    <row r="1125">
      <c r="A1125" s="2" t="inlineStr">
        <is>
          <t>EMP00277</t>
        </is>
      </c>
      <c r="B1125" s="2" t="inlineStr">
        <is>
          <t>Engineering</t>
        </is>
      </c>
      <c r="C1125" s="2" t="inlineStr">
        <is>
          <t>Engineering Manager</t>
        </is>
      </c>
      <c r="D1125" s="2" t="n">
        <v>31</v>
      </c>
      <c r="E1125" s="2" t="n">
        <v>0.2</v>
      </c>
      <c r="F1125" s="2" t="n">
        <v>1071000</v>
      </c>
      <c r="G1125" s="2" t="inlineStr">
        <is>
          <t>No</t>
        </is>
      </c>
      <c r="H1125" s="2" t="n">
        <v>18</v>
      </c>
      <c r="I1125" s="2" t="n">
        <v>2.3</v>
      </c>
      <c r="J1125" s="2" t="n">
        <v>2.7</v>
      </c>
      <c r="K1125" s="2" t="n">
        <v>2.5</v>
      </c>
      <c r="L1125" s="2" t="inlineStr">
        <is>
          <t>Active</t>
        </is>
      </c>
    </row>
    <row r="1126">
      <c r="A1126" s="2" t="inlineStr">
        <is>
          <t>EMP00637</t>
        </is>
      </c>
      <c r="B1126" s="2" t="inlineStr">
        <is>
          <t>Finance</t>
        </is>
      </c>
      <c r="C1126" s="2" t="inlineStr">
        <is>
          <t>Finance Manager</t>
        </is>
      </c>
      <c r="D1126" s="2" t="n">
        <v>34</v>
      </c>
      <c r="E1126" s="2" t="n">
        <v>4.4</v>
      </c>
      <c r="F1126" s="2" t="n">
        <v>1026000</v>
      </c>
      <c r="G1126" s="2" t="inlineStr">
        <is>
          <t>No</t>
        </is>
      </c>
      <c r="H1126" s="2" t="n">
        <v>2</v>
      </c>
      <c r="I1126" s="2" t="n">
        <v>4.8</v>
      </c>
      <c r="J1126" s="2" t="n">
        <v>2.9</v>
      </c>
      <c r="K1126" s="2" t="n">
        <v>3.3</v>
      </c>
      <c r="L1126" s="2" t="inlineStr">
        <is>
          <t>Active</t>
        </is>
      </c>
    </row>
    <row r="1127">
      <c r="A1127" s="2" t="inlineStr">
        <is>
          <t>EMP00655</t>
        </is>
      </c>
      <c r="B1127" s="2" t="inlineStr">
        <is>
          <t>Customer Support</t>
        </is>
      </c>
      <c r="C1127" s="2" t="inlineStr">
        <is>
          <t>Support Manager</t>
        </is>
      </c>
      <c r="D1127" s="2" t="n">
        <v>28</v>
      </c>
      <c r="E1127" s="2" t="n">
        <v>1.9</v>
      </c>
      <c r="F1127" s="2" t="n">
        <v>598000</v>
      </c>
      <c r="G1127" s="2" t="inlineStr">
        <is>
          <t>Yes</t>
        </is>
      </c>
      <c r="H1127" s="2" t="n">
        <v>20</v>
      </c>
      <c r="I1127" s="2" t="n">
        <v>3.7</v>
      </c>
      <c r="J1127" s="2" t="n">
        <v>2.1</v>
      </c>
      <c r="K1127" s="2" t="n">
        <v>3.6</v>
      </c>
      <c r="L1127" s="2" t="inlineStr">
        <is>
          <t>Active</t>
        </is>
      </c>
    </row>
    <row r="1128">
      <c r="A1128" s="2" t="inlineStr">
        <is>
          <t>EMP00623</t>
        </is>
      </c>
      <c r="B1128" s="2" t="inlineStr">
        <is>
          <t>Customer Support</t>
        </is>
      </c>
      <c r="C1128" s="2" t="inlineStr">
        <is>
          <t>Support Lead</t>
        </is>
      </c>
      <c r="D1128" s="2" t="n">
        <v>44</v>
      </c>
      <c r="E1128" s="2" t="n">
        <v>6.2</v>
      </c>
      <c r="F1128" s="2" t="n">
        <v>703000</v>
      </c>
      <c r="G1128" s="2" t="inlineStr">
        <is>
          <t>No</t>
        </is>
      </c>
      <c r="H1128" s="2" t="n">
        <v>57</v>
      </c>
      <c r="I1128" s="2" t="n">
        <v>2.8</v>
      </c>
      <c r="J1128" s="2" t="n">
        <v>4.5</v>
      </c>
      <c r="K1128" s="2" t="n">
        <v>2.7</v>
      </c>
      <c r="L1128" s="2" t="inlineStr">
        <is>
          <t>Active</t>
        </is>
      </c>
    </row>
    <row r="1129">
      <c r="A1129" s="2" t="inlineStr">
        <is>
          <t>EMP00845</t>
        </is>
      </c>
      <c r="B1129" s="2" t="inlineStr">
        <is>
          <t>Sales</t>
        </is>
      </c>
      <c r="C1129" s="2" t="inlineStr">
        <is>
          <t>Sales Manager</t>
        </is>
      </c>
      <c r="D1129" s="2" t="n">
        <v>21</v>
      </c>
      <c r="E1129" s="2" t="n">
        <v>4.3</v>
      </c>
      <c r="F1129" s="2" t="n">
        <v>762000</v>
      </c>
      <c r="G1129" s="2" t="inlineStr">
        <is>
          <t>No</t>
        </is>
      </c>
      <c r="H1129" s="2" t="n">
        <v>58</v>
      </c>
      <c r="I1129" s="2" t="n">
        <v>3.2</v>
      </c>
      <c r="J1129" s="2" t="n">
        <v>1.7</v>
      </c>
      <c r="K1129" s="2" t="n">
        <v>3.1</v>
      </c>
      <c r="L1129" s="2" t="inlineStr">
        <is>
          <t>Active</t>
        </is>
      </c>
    </row>
    <row r="1130">
      <c r="A1130" s="2" t="inlineStr">
        <is>
          <t>EMP00394</t>
        </is>
      </c>
      <c r="B1130" s="2" t="inlineStr">
        <is>
          <t>Finance</t>
        </is>
      </c>
      <c r="C1130" s="2" t="inlineStr">
        <is>
          <t>Accountant</t>
        </is>
      </c>
      <c r="D1130" s="2" t="n">
        <v>45</v>
      </c>
      <c r="E1130" s="2" t="n">
        <v>8</v>
      </c>
      <c r="F1130" s="2" t="n">
        <v>1209000</v>
      </c>
      <c r="G1130" s="2" t="inlineStr">
        <is>
          <t>Yes</t>
        </is>
      </c>
      <c r="H1130" s="2" t="n">
        <v>16</v>
      </c>
      <c r="I1130" s="2" t="n">
        <v>2.2</v>
      </c>
      <c r="J1130" s="2" t="n">
        <v>1.5</v>
      </c>
      <c r="K1130" s="2" t="n">
        <v>3.8</v>
      </c>
      <c r="L1130" s="2" t="inlineStr">
        <is>
          <t>Active</t>
        </is>
      </c>
    </row>
    <row r="1131">
      <c r="A1131" s="2" t="inlineStr">
        <is>
          <t>EMP00350</t>
        </is>
      </c>
      <c r="B1131" s="2" t="inlineStr">
        <is>
          <t>Sales</t>
        </is>
      </c>
      <c r="C1131" s="2" t="inlineStr">
        <is>
          <t>Sales Manager</t>
        </is>
      </c>
      <c r="D1131" s="2" t="n">
        <v>41</v>
      </c>
      <c r="E1131" s="2" t="n">
        <v>1.3</v>
      </c>
      <c r="F1131" s="2" t="n">
        <v>649000</v>
      </c>
      <c r="G1131" s="2" t="inlineStr">
        <is>
          <t>No</t>
        </is>
      </c>
      <c r="H1131" s="2" t="n">
        <v>8</v>
      </c>
      <c r="I1131" s="2" t="n">
        <v>2.4</v>
      </c>
      <c r="J1131" s="2" t="n">
        <v>1.8</v>
      </c>
      <c r="K1131" s="2" t="n">
        <v>3.3</v>
      </c>
      <c r="L1131" s="2" t="inlineStr">
        <is>
          <t>Active</t>
        </is>
      </c>
    </row>
    <row r="1132">
      <c r="A1132" s="2" t="inlineStr">
        <is>
          <t>EMP00525</t>
        </is>
      </c>
      <c r="B1132" s="2" t="inlineStr">
        <is>
          <t>Sales</t>
        </is>
      </c>
      <c r="C1132" s="2" t="inlineStr">
        <is>
          <t>Account Manager</t>
        </is>
      </c>
      <c r="D1132" s="2" t="n">
        <v>40</v>
      </c>
      <c r="E1132" s="2" t="n">
        <v>3.7</v>
      </c>
      <c r="F1132" s="2" t="n">
        <v>912000</v>
      </c>
      <c r="G1132" s="2" t="inlineStr">
        <is>
          <t>No</t>
        </is>
      </c>
      <c r="H1132" s="2" t="n">
        <v>15</v>
      </c>
      <c r="I1132" s="2" t="n">
        <v>3.3</v>
      </c>
      <c r="J1132" s="2" t="n">
        <v>3.8</v>
      </c>
      <c r="K1132" s="2" t="n">
        <v>3.3</v>
      </c>
      <c r="L1132" s="2" t="inlineStr">
        <is>
          <t>Active</t>
        </is>
      </c>
    </row>
    <row r="1133">
      <c r="A1133" s="2" t="inlineStr">
        <is>
          <t>EMP00785</t>
        </is>
      </c>
      <c r="B1133" s="2" t="inlineStr">
        <is>
          <t>Customer Support</t>
        </is>
      </c>
      <c r="C1133" s="2" t="inlineStr">
        <is>
          <t>Support Lead</t>
        </is>
      </c>
      <c r="D1133" s="2" t="n">
        <v>37</v>
      </c>
      <c r="E1133" s="2" t="n">
        <v>5.2</v>
      </c>
      <c r="F1133" s="2" t="n">
        <v>560000</v>
      </c>
      <c r="G1133" s="2" t="inlineStr">
        <is>
          <t>No</t>
        </is>
      </c>
      <c r="H1133" s="2" t="n">
        <v>57</v>
      </c>
      <c r="I1133" s="2" t="n">
        <v>3.6</v>
      </c>
      <c r="J1133" s="2" t="n">
        <v>4</v>
      </c>
      <c r="K1133" s="2" t="n">
        <v>3.5</v>
      </c>
      <c r="L1133" s="2" t="inlineStr">
        <is>
          <t>Resigned</t>
        </is>
      </c>
    </row>
    <row r="1134">
      <c r="A1134" s="2" t="inlineStr">
        <is>
          <t>EMP00048</t>
        </is>
      </c>
      <c r="B1134" s="2" t="inlineStr">
        <is>
          <t>Engineering</t>
        </is>
      </c>
      <c r="C1134" s="2" t="inlineStr">
        <is>
          <t>Senior Engineer</t>
        </is>
      </c>
      <c r="D1134" s="2" t="n">
        <v>29</v>
      </c>
      <c r="E1134" s="2" t="n">
        <v>1.7</v>
      </c>
      <c r="F1134" s="2" t="n">
        <v>994000</v>
      </c>
      <c r="G1134" s="2" t="inlineStr">
        <is>
          <t>No</t>
        </is>
      </c>
      <c r="H1134" s="2" t="n">
        <v>11</v>
      </c>
      <c r="I1134" s="2" t="n">
        <v>2.7</v>
      </c>
      <c r="J1134" s="2" t="n">
        <v>2.9</v>
      </c>
      <c r="K1134" s="2" t="n">
        <v>4.4</v>
      </c>
      <c r="L1134" s="2" t="inlineStr">
        <is>
          <t>Active</t>
        </is>
      </c>
    </row>
    <row r="1135">
      <c r="A1135" s="2" t="inlineStr">
        <is>
          <t>EMP00204</t>
        </is>
      </c>
      <c r="B1135" s="2" t="inlineStr">
        <is>
          <t>Sales</t>
        </is>
      </c>
      <c r="C1135" s="2" t="inlineStr">
        <is>
          <t>Account Manager</t>
        </is>
      </c>
      <c r="D1135" s="2" t="n">
        <v>41</v>
      </c>
      <c r="E1135" s="2" t="n">
        <v>3.8</v>
      </c>
      <c r="F1135" s="2" t="n">
        <v>843000</v>
      </c>
      <c r="G1135" s="2" t="inlineStr">
        <is>
          <t>No</t>
        </is>
      </c>
      <c r="H1135" s="2" t="n">
        <v>44</v>
      </c>
      <c r="I1135" s="2" t="n">
        <v>2.3</v>
      </c>
      <c r="J1135" s="2" t="n">
        <v>1.8</v>
      </c>
      <c r="K1135" s="2" t="n">
        <v>2.9</v>
      </c>
      <c r="L1135" s="2" t="inlineStr">
        <is>
          <t>Active</t>
        </is>
      </c>
    </row>
    <row r="1136">
      <c r="A1136" s="2" t="inlineStr">
        <is>
          <t>EMP00022</t>
        </is>
      </c>
      <c r="B1136" s="2" t="inlineStr">
        <is>
          <t>Engineering</t>
        </is>
      </c>
      <c r="C1136" s="2" t="inlineStr">
        <is>
          <t>Engineering Manager</t>
        </is>
      </c>
      <c r="D1136" s="2" t="n">
        <v>39</v>
      </c>
      <c r="E1136" s="2" t="n">
        <v>2.7</v>
      </c>
      <c r="F1136" s="2" t="n">
        <v>1217000</v>
      </c>
      <c r="G1136" s="2" t="inlineStr">
        <is>
          <t>No</t>
        </is>
      </c>
      <c r="H1136" s="2" t="n">
        <v>40</v>
      </c>
      <c r="I1136" s="2" t="n">
        <v>2.7</v>
      </c>
      <c r="J1136" s="2" t="n">
        <v>3.5</v>
      </c>
      <c r="K1136" s="2" t="n">
        <v>2.4</v>
      </c>
      <c r="L1136" s="2" t="inlineStr">
        <is>
          <t>Active</t>
        </is>
      </c>
    </row>
    <row r="1137">
      <c r="A1137" s="2" t="inlineStr">
        <is>
          <t>EMP00403</t>
        </is>
      </c>
      <c r="B1137" s="2" t="inlineStr">
        <is>
          <t>HR</t>
        </is>
      </c>
      <c r="C1137" s="2" t="inlineStr">
        <is>
          <t>HR Manager</t>
        </is>
      </c>
      <c r="D1137" s="2" t="n">
        <v>44</v>
      </c>
      <c r="E1137" s="2" t="n">
        <v>1.3</v>
      </c>
      <c r="F1137" s="2" t="n">
        <v>598000</v>
      </c>
      <c r="G1137" s="2" t="inlineStr">
        <is>
          <t>No</t>
        </is>
      </c>
      <c r="H1137" s="2" t="n">
        <v>40</v>
      </c>
      <c r="I1137" s="2" t="n">
        <v>2.9</v>
      </c>
      <c r="J1137" s="2" t="n">
        <v>3.1</v>
      </c>
      <c r="K1137" s="2" t="n">
        <v>4.1</v>
      </c>
      <c r="L1137" s="2" t="inlineStr">
        <is>
          <t>Active</t>
        </is>
      </c>
    </row>
    <row r="1138">
      <c r="A1138" s="2" t="inlineStr">
        <is>
          <t>EMP01108</t>
        </is>
      </c>
      <c r="B1138" s="2" t="inlineStr">
        <is>
          <t>Engineering</t>
        </is>
      </c>
      <c r="C1138" s="2" t="inlineStr">
        <is>
          <t>Engineering Manager</t>
        </is>
      </c>
      <c r="D1138" s="2" t="n">
        <v>43</v>
      </c>
      <c r="E1138" s="2" t="n">
        <v>6</v>
      </c>
      <c r="F1138" s="2" t="n">
        <v>1428000</v>
      </c>
      <c r="G1138" s="2" t="inlineStr">
        <is>
          <t>No</t>
        </is>
      </c>
      <c r="H1138" s="2" t="n">
        <v>51</v>
      </c>
      <c r="I1138" s="2" t="n">
        <v>5</v>
      </c>
      <c r="J1138" s="2" t="n">
        <v>3.8</v>
      </c>
      <c r="K1138" s="2" t="n">
        <v>3.3</v>
      </c>
      <c r="L1138" s="2" t="inlineStr">
        <is>
          <t>Active</t>
        </is>
      </c>
    </row>
    <row r="1139">
      <c r="A1139" s="2" t="inlineStr">
        <is>
          <t>EMP01155</t>
        </is>
      </c>
      <c r="B1139" s="2" t="inlineStr">
        <is>
          <t>Operations</t>
        </is>
      </c>
      <c r="C1139" s="2" t="inlineStr">
        <is>
          <t>Ops Manager</t>
        </is>
      </c>
      <c r="D1139" s="2" t="n">
        <v>30</v>
      </c>
      <c r="E1139" s="2" t="n">
        <v>12</v>
      </c>
      <c r="F1139" s="2" t="n">
        <v>889000</v>
      </c>
      <c r="G1139" s="2" t="inlineStr">
        <is>
          <t>No</t>
        </is>
      </c>
      <c r="H1139" s="2" t="n">
        <v>47</v>
      </c>
      <c r="I1139" s="2" t="n">
        <v>3.6</v>
      </c>
      <c r="J1139" s="2" t="n">
        <v>2.1</v>
      </c>
      <c r="K1139" s="2" t="n">
        <v>3.5</v>
      </c>
      <c r="L1139" s="2" t="inlineStr">
        <is>
          <t>Active</t>
        </is>
      </c>
    </row>
    <row r="1140">
      <c r="A1140" s="2" t="inlineStr">
        <is>
          <t>EMP00990</t>
        </is>
      </c>
      <c r="B1140" s="2" t="inlineStr">
        <is>
          <t>HR</t>
        </is>
      </c>
      <c r="C1140" s="2" t="inlineStr">
        <is>
          <t>HR Manager</t>
        </is>
      </c>
      <c r="D1140" s="2" t="n">
        <v>40</v>
      </c>
      <c r="E1140" s="2" t="n">
        <v>2</v>
      </c>
      <c r="F1140" s="2" t="n">
        <v>632000</v>
      </c>
      <c r="G1140" s="2" t="inlineStr">
        <is>
          <t>No</t>
        </is>
      </c>
      <c r="H1140" s="2" t="n">
        <v>56</v>
      </c>
      <c r="I1140" s="2" t="n">
        <v>3.4</v>
      </c>
      <c r="J1140" s="2" t="n">
        <v>3</v>
      </c>
      <c r="K1140" s="2" t="n">
        <v>3.7</v>
      </c>
      <c r="L1140" s="2" t="inlineStr">
        <is>
          <t>Active</t>
        </is>
      </c>
    </row>
    <row r="1141">
      <c r="A1141" s="2" t="inlineStr">
        <is>
          <t>EMP00742</t>
        </is>
      </c>
      <c r="B1141" s="2" t="inlineStr">
        <is>
          <t>Sales</t>
        </is>
      </c>
      <c r="C1141" s="2" t="inlineStr">
        <is>
          <t>Account Manager</t>
        </is>
      </c>
      <c r="D1141" s="2" t="n">
        <v>37</v>
      </c>
      <c r="E1141" s="2" t="n">
        <v>3.9</v>
      </c>
      <c r="F1141" s="2" t="n">
        <v>731000</v>
      </c>
      <c r="G1141" s="2" t="inlineStr">
        <is>
          <t>Yes</t>
        </is>
      </c>
      <c r="H1141" s="2" t="n">
        <v>29</v>
      </c>
      <c r="I1141" s="2" t="n">
        <v>3.8</v>
      </c>
      <c r="J1141" s="2" t="n">
        <v>1.5</v>
      </c>
      <c r="K1141" s="2" t="n">
        <v>1.8</v>
      </c>
      <c r="L1141" s="2" t="inlineStr">
        <is>
          <t>Active</t>
        </is>
      </c>
    </row>
    <row r="1142">
      <c r="A1142" s="2" t="inlineStr">
        <is>
          <t>EMP01148</t>
        </is>
      </c>
      <c r="B1142" s="2" t="inlineStr">
        <is>
          <t>HR</t>
        </is>
      </c>
      <c r="C1142" s="2" t="inlineStr">
        <is>
          <t>HR Manager</t>
        </is>
      </c>
      <c r="D1142" s="2" t="n">
        <v>38</v>
      </c>
      <c r="E1142" s="2" t="n">
        <v>0.1</v>
      </c>
      <c r="F1142" s="2" t="n">
        <v>629000</v>
      </c>
      <c r="G1142" s="2" t="inlineStr">
        <is>
          <t>Yes</t>
        </is>
      </c>
      <c r="H1142" s="2" t="n">
        <v>34</v>
      </c>
      <c r="I1142" s="2" t="n">
        <v>4.6</v>
      </c>
      <c r="J1142" s="2" t="n">
        <v>3.4</v>
      </c>
      <c r="K1142" s="2" t="n">
        <v>2.7</v>
      </c>
      <c r="L1142" s="2" t="inlineStr">
        <is>
          <t>Resigned</t>
        </is>
      </c>
    </row>
    <row r="1143">
      <c r="A1143" s="2" t="inlineStr">
        <is>
          <t>EMP00034</t>
        </is>
      </c>
      <c r="B1143" s="2" t="inlineStr">
        <is>
          <t>Engineering</t>
        </is>
      </c>
      <c r="C1143" s="2" t="inlineStr">
        <is>
          <t>Software Engineer</t>
        </is>
      </c>
      <c r="D1143" s="2" t="n">
        <v>34</v>
      </c>
      <c r="E1143" s="2" t="n">
        <v>4.9</v>
      </c>
      <c r="F1143" s="2" t="n">
        <v>1266000</v>
      </c>
      <c r="G1143" s="2" t="inlineStr">
        <is>
          <t>Yes</t>
        </is>
      </c>
      <c r="H1143" s="2" t="n">
        <v>12</v>
      </c>
      <c r="I1143" s="2" t="n">
        <v>4.4</v>
      </c>
      <c r="J1143" s="2" t="n">
        <v>2</v>
      </c>
      <c r="K1143" s="2" t="n">
        <v>3</v>
      </c>
      <c r="L1143" s="2" t="inlineStr">
        <is>
          <t>Active</t>
        </is>
      </c>
    </row>
    <row r="1144">
      <c r="A1144" s="2" t="inlineStr">
        <is>
          <t>EMP00788</t>
        </is>
      </c>
      <c r="B1144" s="2" t="inlineStr">
        <is>
          <t>Engineering</t>
        </is>
      </c>
      <c r="C1144" s="2" t="inlineStr">
        <is>
          <t>Senior Engineer</t>
        </is>
      </c>
      <c r="D1144" s="2" t="n">
        <v>31</v>
      </c>
      <c r="E1144" s="2" t="n">
        <v>1.3</v>
      </c>
      <c r="F1144" s="2" t="n">
        <v>1068000</v>
      </c>
      <c r="G1144" s="2" t="inlineStr">
        <is>
          <t>No</t>
        </is>
      </c>
      <c r="H1144" s="2" t="n">
        <v>28</v>
      </c>
      <c r="I1144" s="2" t="n">
        <v>2.9</v>
      </c>
      <c r="J1144" s="2" t="n">
        <v>3.5</v>
      </c>
      <c r="K1144" s="2" t="n">
        <v>3.8</v>
      </c>
      <c r="L1144" s="2" t="inlineStr">
        <is>
          <t>Active</t>
        </is>
      </c>
    </row>
    <row r="1145">
      <c r="A1145" s="2" t="inlineStr">
        <is>
          <t>EMP00924</t>
        </is>
      </c>
      <c r="B1145" s="2" t="inlineStr">
        <is>
          <t>Operations</t>
        </is>
      </c>
      <c r="C1145" s="2" t="inlineStr">
        <is>
          <t>Ops Manager</t>
        </is>
      </c>
      <c r="D1145" s="2" t="n">
        <v>36</v>
      </c>
      <c r="E1145" s="2" t="n">
        <v>6.2</v>
      </c>
      <c r="F1145" s="2" t="n">
        <v>926000</v>
      </c>
      <c r="G1145" s="2" t="inlineStr">
        <is>
          <t>No</t>
        </is>
      </c>
      <c r="H1145" s="2" t="n">
        <v>33</v>
      </c>
      <c r="I1145" s="2" t="n">
        <v>3.8</v>
      </c>
      <c r="J1145" s="2" t="n">
        <v>4.2</v>
      </c>
      <c r="K1145" s="2" t="n">
        <v>2.7</v>
      </c>
      <c r="L1145" s="2" t="inlineStr">
        <is>
          <t>Active</t>
        </is>
      </c>
    </row>
    <row r="1146">
      <c r="A1146" s="2" t="inlineStr">
        <is>
          <t>EMP01044</t>
        </is>
      </c>
      <c r="B1146" s="2" t="inlineStr">
        <is>
          <t>Finance</t>
        </is>
      </c>
      <c r="C1146" s="2" t="inlineStr">
        <is>
          <t>Financial Analyst</t>
        </is>
      </c>
      <c r="D1146" s="2" t="n">
        <v>43</v>
      </c>
      <c r="E1146" s="2" t="n">
        <v>4.1</v>
      </c>
      <c r="F1146" s="2" t="n">
        <v>816000</v>
      </c>
      <c r="G1146" s="2" t="inlineStr">
        <is>
          <t>No</t>
        </is>
      </c>
      <c r="H1146" s="2" t="n">
        <v>2</v>
      </c>
      <c r="I1146" s="2" t="n">
        <v>4.8</v>
      </c>
      <c r="J1146" s="2" t="n">
        <v>2.4</v>
      </c>
      <c r="K1146" s="2" t="n">
        <v>3.2</v>
      </c>
      <c r="L1146" s="2" t="inlineStr">
        <is>
          <t>Active</t>
        </is>
      </c>
    </row>
    <row r="1147">
      <c r="A1147" s="2" t="inlineStr">
        <is>
          <t>EMP01175</t>
        </is>
      </c>
      <c r="B1147" s="2" t="inlineStr">
        <is>
          <t>Operations</t>
        </is>
      </c>
      <c r="C1147" s="2" t="inlineStr">
        <is>
          <t>Process Lead</t>
        </is>
      </c>
      <c r="D1147" s="2" t="n">
        <v>43</v>
      </c>
      <c r="E1147" s="2" t="n">
        <v>6</v>
      </c>
      <c r="F1147" s="2" t="n">
        <v>748000</v>
      </c>
      <c r="G1147" s="2" t="inlineStr">
        <is>
          <t>Yes</t>
        </is>
      </c>
      <c r="H1147" s="2" t="n">
        <v>9</v>
      </c>
      <c r="I1147" s="2" t="n">
        <v>2.8</v>
      </c>
      <c r="J1147" s="2" t="n">
        <v>4.5</v>
      </c>
      <c r="K1147" s="2" t="n">
        <v>2.1</v>
      </c>
      <c r="L1147" s="2" t="inlineStr">
        <is>
          <t>Active</t>
        </is>
      </c>
    </row>
    <row r="1148">
      <c r="A1148" s="2" t="inlineStr">
        <is>
          <t>EMP00580</t>
        </is>
      </c>
      <c r="B1148" s="2" t="inlineStr">
        <is>
          <t>Engineering</t>
        </is>
      </c>
      <c r="C1148" s="2" t="inlineStr">
        <is>
          <t>Senior Engineer</t>
        </is>
      </c>
      <c r="D1148" s="2" t="n">
        <v>37</v>
      </c>
      <c r="E1148" s="2" t="n">
        <v>5.5</v>
      </c>
      <c r="F1148" s="2" t="n">
        <v>1350000</v>
      </c>
      <c r="G1148" s="2" t="inlineStr">
        <is>
          <t>Yes</t>
        </is>
      </c>
      <c r="H1148" s="2" t="n">
        <v>13</v>
      </c>
      <c r="I1148" s="2" t="n">
        <v>3.3</v>
      </c>
      <c r="J1148" s="2" t="n">
        <v>3.9</v>
      </c>
      <c r="K1148" s="2" t="n">
        <v>3.9</v>
      </c>
      <c r="L1148" s="2" t="inlineStr">
        <is>
          <t>Active</t>
        </is>
      </c>
    </row>
    <row r="1149">
      <c r="A1149" s="2" t="inlineStr">
        <is>
          <t>EMP00482</t>
        </is>
      </c>
      <c r="B1149" s="2" t="inlineStr">
        <is>
          <t>Sales</t>
        </is>
      </c>
      <c r="C1149" s="2" t="inlineStr">
        <is>
          <t>Sales Executive</t>
        </is>
      </c>
      <c r="D1149" s="2" t="n">
        <v>39</v>
      </c>
      <c r="E1149" s="2" t="n">
        <v>2.2</v>
      </c>
      <c r="F1149" s="2" t="n">
        <v>777000</v>
      </c>
      <c r="G1149" s="2" t="inlineStr">
        <is>
          <t>Yes</t>
        </is>
      </c>
      <c r="H1149" s="2" t="n">
        <v>31</v>
      </c>
      <c r="I1149" s="2" t="n">
        <v>2.2</v>
      </c>
      <c r="J1149" s="2" t="n">
        <v>3.4</v>
      </c>
      <c r="K1149" s="2" t="n">
        <v>2.7</v>
      </c>
      <c r="L1149" s="2" t="inlineStr">
        <is>
          <t>Active</t>
        </is>
      </c>
    </row>
    <row r="1150">
      <c r="A1150" s="2" t="inlineStr">
        <is>
          <t>EMP00932</t>
        </is>
      </c>
      <c r="B1150" s="2" t="inlineStr">
        <is>
          <t>Engineering</t>
        </is>
      </c>
      <c r="C1150" s="2" t="inlineStr">
        <is>
          <t>Engineering Manager</t>
        </is>
      </c>
      <c r="D1150" s="2" t="n">
        <v>34</v>
      </c>
      <c r="E1150" s="2" t="n">
        <v>0.8</v>
      </c>
      <c r="F1150" s="2" t="n">
        <v>1118000</v>
      </c>
      <c r="G1150" s="2" t="inlineStr">
        <is>
          <t>No</t>
        </is>
      </c>
      <c r="H1150" s="2" t="n">
        <v>35</v>
      </c>
      <c r="I1150" s="2" t="n">
        <v>3.3</v>
      </c>
      <c r="J1150" s="2" t="n">
        <v>2.4</v>
      </c>
      <c r="K1150" s="2" t="n">
        <v>3.7</v>
      </c>
      <c r="L1150" s="2" t="inlineStr">
        <is>
          <t>Active</t>
        </is>
      </c>
    </row>
    <row r="1151">
      <c r="A1151" s="2" t="inlineStr">
        <is>
          <t>EMP00357</t>
        </is>
      </c>
      <c r="B1151" s="2" t="inlineStr">
        <is>
          <t>HR</t>
        </is>
      </c>
      <c r="C1151" s="2" t="inlineStr">
        <is>
          <t>HR Manager</t>
        </is>
      </c>
      <c r="D1151" s="2" t="n">
        <v>39</v>
      </c>
      <c r="E1151" s="2" t="n">
        <v>7.5</v>
      </c>
      <c r="F1151" s="2" t="n">
        <v>876000</v>
      </c>
      <c r="G1151" s="2" t="inlineStr">
        <is>
          <t>No</t>
        </is>
      </c>
      <c r="H1151" s="2" t="n">
        <v>35</v>
      </c>
      <c r="I1151" s="2" t="n">
        <v>3.9</v>
      </c>
      <c r="J1151" s="2" t="n">
        <v>3.8</v>
      </c>
      <c r="K1151" s="2" t="n">
        <v>3.4</v>
      </c>
      <c r="L1151" s="2" t="inlineStr">
        <is>
          <t>Active</t>
        </is>
      </c>
    </row>
    <row r="1152">
      <c r="A1152" s="2" t="inlineStr">
        <is>
          <t>EMP00760</t>
        </is>
      </c>
      <c r="B1152" s="2" t="inlineStr">
        <is>
          <t>Operations</t>
        </is>
      </c>
      <c r="C1152" s="2" t="inlineStr">
        <is>
          <t>Process Lead</t>
        </is>
      </c>
      <c r="D1152" s="2" t="n">
        <v>38</v>
      </c>
      <c r="E1152" s="2" t="n">
        <v>3.7</v>
      </c>
      <c r="F1152" s="2" t="n">
        <v>629000</v>
      </c>
      <c r="G1152" s="2" t="inlineStr">
        <is>
          <t>No</t>
        </is>
      </c>
      <c r="H1152" s="2" t="n">
        <v>15</v>
      </c>
      <c r="I1152" s="2" t="n">
        <v>4.2</v>
      </c>
      <c r="J1152" s="2" t="n">
        <v>3.8</v>
      </c>
      <c r="K1152" s="2" t="n">
        <v>2.3</v>
      </c>
      <c r="L1152" s="2" t="inlineStr">
        <is>
          <t>Active</t>
        </is>
      </c>
    </row>
    <row r="1153">
      <c r="A1153" s="2" t="inlineStr">
        <is>
          <t>EMP00093</t>
        </is>
      </c>
      <c r="B1153" s="2" t="inlineStr">
        <is>
          <t>Operations</t>
        </is>
      </c>
      <c r="C1153" s="2" t="inlineStr">
        <is>
          <t>Process Lead</t>
        </is>
      </c>
      <c r="D1153" s="2" t="n">
        <v>52</v>
      </c>
      <c r="E1153" s="2" t="n">
        <v>10.5</v>
      </c>
      <c r="F1153" s="2" t="n">
        <v>1074000</v>
      </c>
      <c r="G1153" s="2" t="inlineStr">
        <is>
          <t>No</t>
        </is>
      </c>
      <c r="H1153" s="2" t="n">
        <v>23</v>
      </c>
      <c r="I1153" s="2" t="n">
        <v>4.1</v>
      </c>
      <c r="J1153" s="2" t="n">
        <v>1.8</v>
      </c>
      <c r="K1153" s="2" t="n">
        <v>4</v>
      </c>
      <c r="L1153" s="2" t="inlineStr">
        <is>
          <t>Active</t>
        </is>
      </c>
    </row>
    <row r="1154">
      <c r="A1154" s="2" t="inlineStr">
        <is>
          <t>EMP01176</t>
        </is>
      </c>
      <c r="B1154" s="2" t="inlineStr">
        <is>
          <t>HR</t>
        </is>
      </c>
      <c r="C1154" s="2" t="inlineStr">
        <is>
          <t>HR Manager</t>
        </is>
      </c>
      <c r="D1154" s="2" t="n">
        <v>21</v>
      </c>
      <c r="E1154" s="2" t="n">
        <v>3.9</v>
      </c>
      <c r="F1154" s="2" t="n">
        <v>649000</v>
      </c>
      <c r="G1154" s="2" t="inlineStr">
        <is>
          <t>No</t>
        </is>
      </c>
      <c r="H1154" s="2" t="n">
        <v>55</v>
      </c>
      <c r="I1154" s="2" t="n">
        <v>3.4</v>
      </c>
      <c r="J1154" s="2" t="n">
        <v>3.3</v>
      </c>
      <c r="K1154" s="2" t="n">
        <v>4</v>
      </c>
      <c r="L1154" s="2" t="inlineStr">
        <is>
          <t>Active</t>
        </is>
      </c>
    </row>
    <row r="1155">
      <c r="A1155" s="2" t="inlineStr">
        <is>
          <t>EMP00804</t>
        </is>
      </c>
      <c r="B1155" s="2" t="inlineStr">
        <is>
          <t>Operations</t>
        </is>
      </c>
      <c r="C1155" s="2" t="inlineStr">
        <is>
          <t>Ops Analyst</t>
        </is>
      </c>
      <c r="D1155" s="2" t="n">
        <v>23</v>
      </c>
      <c r="E1155" s="2" t="n">
        <v>3.6</v>
      </c>
      <c r="F1155" s="2" t="n">
        <v>654000</v>
      </c>
      <c r="G1155" s="2" t="inlineStr">
        <is>
          <t>No</t>
        </is>
      </c>
      <c r="H1155" s="2" t="n">
        <v>19</v>
      </c>
      <c r="I1155" s="2" t="n">
        <v>3.9</v>
      </c>
      <c r="J1155" s="2" t="n">
        <v>3.2</v>
      </c>
      <c r="K1155" s="2" t="n">
        <v>3.4</v>
      </c>
      <c r="L1155" s="2" t="inlineStr">
        <is>
          <t>Active</t>
        </is>
      </c>
    </row>
    <row r="1156">
      <c r="A1156" s="2" t="inlineStr">
        <is>
          <t>EMP00746</t>
        </is>
      </c>
      <c r="B1156" s="2" t="inlineStr">
        <is>
          <t>Operations</t>
        </is>
      </c>
      <c r="C1156" s="2" t="inlineStr">
        <is>
          <t>Ops Manager</t>
        </is>
      </c>
      <c r="D1156" s="2" t="n">
        <v>46</v>
      </c>
      <c r="E1156" s="2" t="n">
        <v>8.5</v>
      </c>
      <c r="F1156" s="2" t="n">
        <v>1020000</v>
      </c>
      <c r="G1156" s="2" t="inlineStr">
        <is>
          <t>No</t>
        </is>
      </c>
      <c r="H1156" s="2" t="n">
        <v>24</v>
      </c>
      <c r="I1156" s="2" t="n">
        <v>2.6</v>
      </c>
      <c r="J1156" s="2" t="n">
        <v>5</v>
      </c>
      <c r="K1156" s="2" t="n">
        <v>2.6</v>
      </c>
      <c r="L1156" s="2" t="inlineStr">
        <is>
          <t>Active</t>
        </is>
      </c>
    </row>
    <row r="1157">
      <c r="A1157" s="2" t="inlineStr">
        <is>
          <t>EMP00280</t>
        </is>
      </c>
      <c r="B1157" s="2" t="inlineStr">
        <is>
          <t>Customer Support</t>
        </is>
      </c>
      <c r="C1157" s="2" t="inlineStr">
        <is>
          <t>Support Lead</t>
        </is>
      </c>
      <c r="D1157" s="2" t="n">
        <v>38</v>
      </c>
      <c r="E1157" s="2" t="n">
        <v>3.6</v>
      </c>
      <c r="F1157" s="2" t="n">
        <v>577000</v>
      </c>
      <c r="G1157" s="2" t="inlineStr">
        <is>
          <t>Yes</t>
        </is>
      </c>
      <c r="H1157" s="2" t="n">
        <v>42</v>
      </c>
      <c r="I1157" s="2" t="n">
        <v>3.9</v>
      </c>
      <c r="J1157" s="2" t="n">
        <v>2.9</v>
      </c>
      <c r="K1157" s="2" t="n">
        <v>4.5</v>
      </c>
      <c r="L1157" s="2" t="inlineStr">
        <is>
          <t>Active</t>
        </is>
      </c>
    </row>
    <row r="1158">
      <c r="A1158" s="2" t="inlineStr">
        <is>
          <t>EMP00765</t>
        </is>
      </c>
      <c r="B1158" s="2" t="inlineStr">
        <is>
          <t>Customer Support</t>
        </is>
      </c>
      <c r="C1158" s="2" t="inlineStr">
        <is>
          <t>Support Associate</t>
        </is>
      </c>
      <c r="D1158" s="2" t="n">
        <v>51</v>
      </c>
      <c r="E1158" s="2" t="n">
        <v>5.9</v>
      </c>
      <c r="F1158" s="2" t="n">
        <v>559000</v>
      </c>
      <c r="G1158" s="2" t="inlineStr">
        <is>
          <t>No</t>
        </is>
      </c>
      <c r="H1158" s="2" t="n">
        <v>7</v>
      </c>
      <c r="I1158" s="2" t="n">
        <v>1</v>
      </c>
      <c r="J1158" s="2" t="n">
        <v>2.9</v>
      </c>
      <c r="K1158" s="2" t="n">
        <v>4.4</v>
      </c>
      <c r="L1158" s="2" t="inlineStr">
        <is>
          <t>Active</t>
        </is>
      </c>
    </row>
    <row r="1159">
      <c r="A1159" s="2" t="inlineStr">
        <is>
          <t>EMP00605</t>
        </is>
      </c>
      <c r="B1159" s="2" t="inlineStr">
        <is>
          <t>Customer Support</t>
        </is>
      </c>
      <c r="C1159" s="2" t="inlineStr">
        <is>
          <t>Support Manager</t>
        </is>
      </c>
      <c r="D1159" s="2" t="n">
        <v>22</v>
      </c>
      <c r="E1159" s="2" t="n">
        <v>2.6</v>
      </c>
      <c r="F1159" s="2" t="n">
        <v>540000</v>
      </c>
      <c r="G1159" s="2" t="inlineStr">
        <is>
          <t>Yes</t>
        </is>
      </c>
      <c r="H1159" s="2" t="n">
        <v>46</v>
      </c>
      <c r="I1159" s="2" t="n">
        <v>2</v>
      </c>
      <c r="J1159" s="2" t="n">
        <v>1.7</v>
      </c>
      <c r="K1159" s="2" t="n">
        <v>3.6</v>
      </c>
      <c r="L1159" s="2" t="inlineStr">
        <is>
          <t>Active</t>
        </is>
      </c>
    </row>
    <row r="1160">
      <c r="A1160" s="2" t="inlineStr">
        <is>
          <t>EMP00401</t>
        </is>
      </c>
      <c r="B1160" s="2" t="inlineStr">
        <is>
          <t>Engineering</t>
        </is>
      </c>
      <c r="C1160" s="2" t="inlineStr">
        <is>
          <t>Engineering Manager</t>
        </is>
      </c>
      <c r="D1160" s="2" t="n">
        <v>41</v>
      </c>
      <c r="E1160" s="2" t="n">
        <v>3.4</v>
      </c>
      <c r="F1160" s="2" t="n">
        <v>1302000</v>
      </c>
      <c r="G1160" s="2" t="inlineStr">
        <is>
          <t>No</t>
        </is>
      </c>
      <c r="H1160" s="2" t="n">
        <v>34</v>
      </c>
      <c r="I1160" s="2" t="n">
        <v>3.9</v>
      </c>
      <c r="J1160" s="2" t="n">
        <v>4.4</v>
      </c>
      <c r="K1160" s="2" t="n">
        <v>3.1</v>
      </c>
      <c r="L1160" s="2" t="inlineStr">
        <is>
          <t>Active</t>
        </is>
      </c>
    </row>
    <row r="1161">
      <c r="A1161" s="2" t="inlineStr">
        <is>
          <t>EMP00258</t>
        </is>
      </c>
      <c r="B1161" s="2" t="inlineStr">
        <is>
          <t>Sales</t>
        </is>
      </c>
      <c r="C1161" s="2" t="inlineStr">
        <is>
          <t>Sales Executive</t>
        </is>
      </c>
      <c r="D1161" s="2" t="n">
        <v>24</v>
      </c>
      <c r="E1161" s="2" t="n">
        <v>4.9</v>
      </c>
      <c r="F1161" s="2" t="n">
        <v>870000</v>
      </c>
      <c r="G1161" s="2" t="inlineStr">
        <is>
          <t>No</t>
        </is>
      </c>
      <c r="H1161" s="2" t="n">
        <v>6</v>
      </c>
      <c r="I1161" s="2" t="n">
        <v>2.3</v>
      </c>
      <c r="J1161" s="2" t="n">
        <v>3.5</v>
      </c>
      <c r="K1161" s="2" t="n">
        <v>4.3</v>
      </c>
      <c r="L1161" s="2" t="inlineStr">
        <is>
          <t>Active</t>
        </is>
      </c>
    </row>
    <row r="1162">
      <c r="A1162" s="2" t="inlineStr">
        <is>
          <t>EMP00945</t>
        </is>
      </c>
      <c r="B1162" s="2" t="inlineStr">
        <is>
          <t>Operations</t>
        </is>
      </c>
      <c r="C1162" s="2" t="inlineStr">
        <is>
          <t>Ops Manager</t>
        </is>
      </c>
      <c r="D1162" s="2" t="n">
        <v>46</v>
      </c>
      <c r="E1162" s="2" t="n">
        <v>0.6</v>
      </c>
      <c r="F1162" s="2" t="n">
        <v>653000</v>
      </c>
      <c r="G1162" s="2" t="inlineStr">
        <is>
          <t>Yes</t>
        </is>
      </c>
      <c r="H1162" s="2" t="n">
        <v>17</v>
      </c>
      <c r="I1162" s="2" t="n">
        <v>2.9</v>
      </c>
      <c r="J1162" s="2" t="n">
        <v>2</v>
      </c>
      <c r="K1162" s="2" t="n">
        <v>3.6</v>
      </c>
      <c r="L1162" s="2" t="inlineStr">
        <is>
          <t>Active</t>
        </is>
      </c>
    </row>
    <row r="1163">
      <c r="A1163" s="2" t="inlineStr">
        <is>
          <t>EMP01097</t>
        </is>
      </c>
      <c r="B1163" s="2" t="inlineStr">
        <is>
          <t>Sales</t>
        </is>
      </c>
      <c r="C1163" s="2" t="inlineStr">
        <is>
          <t>Sales Executive</t>
        </is>
      </c>
      <c r="D1163" s="2" t="n">
        <v>30</v>
      </c>
      <c r="E1163" s="2" t="n">
        <v>1.7</v>
      </c>
      <c r="F1163" s="2" t="n">
        <v>795000</v>
      </c>
      <c r="G1163" s="2" t="inlineStr">
        <is>
          <t>No</t>
        </is>
      </c>
      <c r="H1163" s="2" t="n">
        <v>33</v>
      </c>
      <c r="I1163" s="2" t="n">
        <v>4</v>
      </c>
      <c r="J1163" s="2" t="n">
        <v>3</v>
      </c>
      <c r="K1163" s="2" t="n">
        <v>3</v>
      </c>
      <c r="L1163" s="2" t="inlineStr">
        <is>
          <t>Active</t>
        </is>
      </c>
    </row>
    <row r="1164">
      <c r="A1164" s="2" t="inlineStr">
        <is>
          <t>EMP01162</t>
        </is>
      </c>
      <c r="B1164" s="2" t="inlineStr">
        <is>
          <t>Finance</t>
        </is>
      </c>
      <c r="C1164" s="2" t="inlineStr">
        <is>
          <t>Financial Analyst</t>
        </is>
      </c>
      <c r="D1164" s="2" t="n">
        <v>35</v>
      </c>
      <c r="E1164" s="2" t="n">
        <v>2.3</v>
      </c>
      <c r="F1164" s="2" t="n">
        <v>808000</v>
      </c>
      <c r="G1164" s="2" t="inlineStr">
        <is>
          <t>Yes</t>
        </is>
      </c>
      <c r="H1164" s="2" t="n">
        <v>13</v>
      </c>
      <c r="I1164" s="2" t="n">
        <v>2.7</v>
      </c>
      <c r="J1164" s="2" t="n">
        <v>4.4</v>
      </c>
      <c r="K1164" s="2" t="n">
        <v>3.4</v>
      </c>
      <c r="L1164" s="2" t="inlineStr">
        <is>
          <t>Active</t>
        </is>
      </c>
    </row>
    <row r="1165">
      <c r="A1165" s="2" t="inlineStr">
        <is>
          <t>EMP00495</t>
        </is>
      </c>
      <c r="B1165" s="2" t="inlineStr">
        <is>
          <t>HR</t>
        </is>
      </c>
      <c r="C1165" s="2" t="inlineStr">
        <is>
          <t>HR Generalist</t>
        </is>
      </c>
      <c r="D1165" s="2" t="n">
        <v>44</v>
      </c>
      <c r="E1165" s="2" t="n">
        <v>0.6</v>
      </c>
      <c r="F1165" s="2" t="n">
        <v>495000</v>
      </c>
      <c r="G1165" s="2" t="inlineStr">
        <is>
          <t>No</t>
        </is>
      </c>
      <c r="H1165" s="2" t="n">
        <v>38</v>
      </c>
      <c r="I1165" s="2" t="n">
        <v>4.1</v>
      </c>
      <c r="J1165" s="2" t="n">
        <v>4.1</v>
      </c>
      <c r="K1165" s="2" t="n">
        <v>2.9</v>
      </c>
      <c r="L1165" s="2" t="inlineStr">
        <is>
          <t>Active</t>
        </is>
      </c>
    </row>
    <row r="1166">
      <c r="A1166" s="2" t="inlineStr">
        <is>
          <t>EMP00773</t>
        </is>
      </c>
      <c r="B1166" s="2" t="inlineStr">
        <is>
          <t>Operations</t>
        </is>
      </c>
      <c r="C1166" s="2" t="inlineStr">
        <is>
          <t>Ops Manager</t>
        </is>
      </c>
      <c r="D1166" s="2" t="n">
        <v>21</v>
      </c>
      <c r="E1166" s="2" t="n">
        <v>5.2</v>
      </c>
      <c r="F1166" s="2" t="n">
        <v>761000</v>
      </c>
      <c r="G1166" s="2" t="inlineStr">
        <is>
          <t>No</t>
        </is>
      </c>
      <c r="H1166" s="2" t="n">
        <v>52</v>
      </c>
      <c r="I1166" s="2" t="n">
        <v>2.8</v>
      </c>
      <c r="J1166" s="2" t="n">
        <v>4.2</v>
      </c>
      <c r="K1166" s="2" t="n">
        <v>5</v>
      </c>
      <c r="L1166" s="2" t="inlineStr">
        <is>
          <t>Active</t>
        </is>
      </c>
    </row>
    <row r="1167">
      <c r="A1167" s="2" t="inlineStr">
        <is>
          <t>EMP00551</t>
        </is>
      </c>
      <c r="B1167" s="2" t="inlineStr">
        <is>
          <t>Operations</t>
        </is>
      </c>
      <c r="C1167" s="2" t="inlineStr">
        <is>
          <t>Ops Analyst</t>
        </is>
      </c>
      <c r="D1167" s="2" t="n">
        <v>31</v>
      </c>
      <c r="E1167" s="2" t="n">
        <v>0.4</v>
      </c>
      <c r="F1167" s="2" t="n">
        <v>639000</v>
      </c>
      <c r="G1167" s="2" t="inlineStr">
        <is>
          <t>No</t>
        </is>
      </c>
      <c r="H1167" s="2" t="n">
        <v>7</v>
      </c>
      <c r="I1167" s="2" t="n">
        <v>4.2</v>
      </c>
      <c r="J1167" s="2" t="n">
        <v>2.2</v>
      </c>
      <c r="K1167" s="2" t="n">
        <v>3</v>
      </c>
      <c r="L1167" s="2" t="inlineStr">
        <is>
          <t>Active</t>
        </is>
      </c>
    </row>
    <row r="1168">
      <c r="A1168" s="2" t="inlineStr">
        <is>
          <t>EMP00202</t>
        </is>
      </c>
      <c r="B1168" s="2" t="inlineStr">
        <is>
          <t>Customer Support</t>
        </is>
      </c>
      <c r="C1168" s="2" t="inlineStr">
        <is>
          <t>Support Associate</t>
        </is>
      </c>
      <c r="D1168" s="2" t="n">
        <v>38</v>
      </c>
      <c r="E1168" s="2" t="n">
        <v>1.4</v>
      </c>
      <c r="F1168" s="2" t="n">
        <v>528000</v>
      </c>
      <c r="G1168" s="2" t="inlineStr">
        <is>
          <t>No</t>
        </is>
      </c>
      <c r="H1168" s="2" t="n">
        <v>58</v>
      </c>
      <c r="I1168" s="2" t="n">
        <v>3.4</v>
      </c>
      <c r="J1168" s="2" t="n">
        <v>2.7</v>
      </c>
      <c r="K1168" s="2" t="n">
        <v>3.1</v>
      </c>
      <c r="L1168" s="2" t="inlineStr">
        <is>
          <t>Active</t>
        </is>
      </c>
    </row>
    <row r="1169">
      <c r="A1169" s="2" t="inlineStr">
        <is>
          <t>EMP00313</t>
        </is>
      </c>
      <c r="B1169" s="2" t="inlineStr">
        <is>
          <t>Engineering</t>
        </is>
      </c>
      <c r="C1169" s="2" t="inlineStr">
        <is>
          <t>Engineering Manager</t>
        </is>
      </c>
      <c r="D1169" s="2" t="n">
        <v>26</v>
      </c>
      <c r="E1169" s="2" t="n">
        <v>1.7</v>
      </c>
      <c r="F1169" s="2" t="n">
        <v>1116000</v>
      </c>
      <c r="G1169" s="2" t="inlineStr">
        <is>
          <t>No</t>
        </is>
      </c>
      <c r="H1169" s="2" t="n">
        <v>3</v>
      </c>
      <c r="I1169" s="2" t="n">
        <v>3.4</v>
      </c>
      <c r="J1169" s="2" t="n">
        <v>2.3</v>
      </c>
      <c r="K1169" s="2" t="n">
        <v>4</v>
      </c>
      <c r="L1169" s="2" t="inlineStr">
        <is>
          <t>Active</t>
        </is>
      </c>
    </row>
    <row r="1170">
      <c r="A1170" s="2" t="inlineStr">
        <is>
          <t>EMP00291</t>
        </is>
      </c>
      <c r="B1170" s="2" t="inlineStr">
        <is>
          <t>HR</t>
        </is>
      </c>
      <c r="C1170" s="2" t="inlineStr">
        <is>
          <t>HR Manager</t>
        </is>
      </c>
      <c r="D1170" s="2" t="n">
        <v>28</v>
      </c>
      <c r="E1170" s="2" t="n">
        <v>1</v>
      </c>
      <c r="F1170" s="2" t="n">
        <v>568000</v>
      </c>
      <c r="G1170" s="2" t="inlineStr">
        <is>
          <t>No</t>
        </is>
      </c>
      <c r="H1170" s="2" t="n">
        <v>1</v>
      </c>
      <c r="I1170" s="2" t="n">
        <v>3.9</v>
      </c>
      <c r="J1170" s="2" t="n">
        <v>3.3</v>
      </c>
      <c r="K1170" s="2" t="n">
        <v>4.6</v>
      </c>
      <c r="L1170" s="2" t="inlineStr">
        <is>
          <t>Active</t>
        </is>
      </c>
    </row>
    <row r="1171">
      <c r="A1171" s="2" t="inlineStr">
        <is>
          <t>EMP00764</t>
        </is>
      </c>
      <c r="B1171" s="2" t="inlineStr">
        <is>
          <t>Sales</t>
        </is>
      </c>
      <c r="C1171" s="2" t="inlineStr">
        <is>
          <t>Sales Executive</t>
        </is>
      </c>
      <c r="D1171" s="2" t="n">
        <v>34</v>
      </c>
      <c r="E1171" s="2" t="n">
        <v>3.4</v>
      </c>
      <c r="F1171" s="2" t="n">
        <v>671000</v>
      </c>
      <c r="G1171" s="2" t="inlineStr">
        <is>
          <t>No</t>
        </is>
      </c>
      <c r="H1171" s="2" t="n">
        <v>57</v>
      </c>
      <c r="I1171" s="2" t="n">
        <v>4.1</v>
      </c>
      <c r="J1171" s="2" t="n">
        <v>2.9</v>
      </c>
      <c r="K1171" s="2" t="n">
        <v>2.9</v>
      </c>
      <c r="L1171" s="2" t="inlineStr">
        <is>
          <t>Active</t>
        </is>
      </c>
    </row>
    <row r="1172">
      <c r="A1172" s="2" t="inlineStr">
        <is>
          <t>EMP01137</t>
        </is>
      </c>
      <c r="B1172" s="2" t="inlineStr">
        <is>
          <t>Operations</t>
        </is>
      </c>
      <c r="C1172" s="2" t="inlineStr">
        <is>
          <t>Ops Analyst</t>
        </is>
      </c>
      <c r="D1172" s="2" t="n">
        <v>46</v>
      </c>
      <c r="E1172" s="2" t="n">
        <v>4.5</v>
      </c>
      <c r="F1172" s="2" t="n">
        <v>664000</v>
      </c>
      <c r="G1172" s="2" t="inlineStr">
        <is>
          <t>No</t>
        </is>
      </c>
      <c r="H1172" s="2" t="n">
        <v>4</v>
      </c>
      <c r="I1172" s="2" t="n">
        <v>2.2</v>
      </c>
      <c r="J1172" s="2" t="n">
        <v>3.4</v>
      </c>
      <c r="K1172" s="2" t="n">
        <v>4.2</v>
      </c>
      <c r="L1172" s="2" t="inlineStr">
        <is>
          <t>Active</t>
        </is>
      </c>
    </row>
    <row r="1173">
      <c r="A1173" s="2" t="inlineStr">
        <is>
          <t>EMP00950</t>
        </is>
      </c>
      <c r="B1173" s="2" t="inlineStr">
        <is>
          <t>Engineering</t>
        </is>
      </c>
      <c r="C1173" s="2" t="inlineStr">
        <is>
          <t>Engineering Manager</t>
        </is>
      </c>
      <c r="D1173" s="2" t="n">
        <v>30</v>
      </c>
      <c r="E1173" s="2" t="n">
        <v>10.3</v>
      </c>
      <c r="F1173" s="2" t="n">
        <v>1617000</v>
      </c>
      <c r="G1173" s="2" t="inlineStr">
        <is>
          <t>No</t>
        </is>
      </c>
      <c r="H1173" s="2" t="n">
        <v>11</v>
      </c>
      <c r="I1173" s="2" t="n">
        <v>3.3</v>
      </c>
      <c r="J1173" s="2" t="n">
        <v>4.1</v>
      </c>
      <c r="K1173" s="2" t="n">
        <v>3.2</v>
      </c>
      <c r="L1173" s="2" t="inlineStr">
        <is>
          <t>Active</t>
        </is>
      </c>
    </row>
    <row r="1174">
      <c r="A1174" s="2" t="inlineStr">
        <is>
          <t>EMP00184</t>
        </is>
      </c>
      <c r="B1174" s="2" t="inlineStr">
        <is>
          <t>Engineering</t>
        </is>
      </c>
      <c r="C1174" s="2" t="inlineStr">
        <is>
          <t>Senior Engineer</t>
        </is>
      </c>
      <c r="D1174" s="2" t="n">
        <v>21</v>
      </c>
      <c r="E1174" s="2" t="n">
        <v>2.2</v>
      </c>
      <c r="F1174" s="2" t="n">
        <v>1190000</v>
      </c>
      <c r="G1174" s="2" t="inlineStr">
        <is>
          <t>Yes</t>
        </is>
      </c>
      <c r="H1174" s="2" t="n">
        <v>54</v>
      </c>
      <c r="I1174" s="2" t="n">
        <v>3.6</v>
      </c>
      <c r="J1174" s="2" t="n">
        <v>3.2</v>
      </c>
      <c r="K1174" s="2" t="n">
        <v>2.9</v>
      </c>
      <c r="L1174" s="2" t="inlineStr">
        <is>
          <t>Active</t>
        </is>
      </c>
    </row>
    <row r="1175">
      <c r="A1175" s="2" t="inlineStr">
        <is>
          <t>EMP01177</t>
        </is>
      </c>
      <c r="B1175" s="2" t="inlineStr">
        <is>
          <t>Operations</t>
        </is>
      </c>
      <c r="C1175" s="2" t="inlineStr">
        <is>
          <t>Ops Manager</t>
        </is>
      </c>
      <c r="D1175" s="2" t="n">
        <v>34</v>
      </c>
      <c r="E1175" s="2" t="n">
        <v>1.2</v>
      </c>
      <c r="F1175" s="2" t="n">
        <v>729000</v>
      </c>
      <c r="G1175" s="2" t="inlineStr">
        <is>
          <t>Yes</t>
        </is>
      </c>
      <c r="H1175" s="2" t="n">
        <v>3</v>
      </c>
      <c r="I1175" s="2" t="n">
        <v>3.5</v>
      </c>
      <c r="J1175" s="2" t="n">
        <v>3.3</v>
      </c>
      <c r="K1175" s="2" t="n">
        <v>4.7</v>
      </c>
      <c r="L1175" s="2" t="inlineStr">
        <is>
          <t>Active</t>
        </is>
      </c>
    </row>
    <row r="1176">
      <c r="A1176" s="2" t="inlineStr">
        <is>
          <t>EMP01069</t>
        </is>
      </c>
      <c r="B1176" s="2" t="inlineStr">
        <is>
          <t>Sales</t>
        </is>
      </c>
      <c r="C1176" s="2" t="inlineStr">
        <is>
          <t>Account Manager</t>
        </is>
      </c>
      <c r="D1176" s="2" t="n">
        <v>28</v>
      </c>
      <c r="E1176" s="2" t="n">
        <v>4</v>
      </c>
      <c r="F1176" s="2" t="n">
        <v>919000</v>
      </c>
      <c r="G1176" s="2" t="inlineStr">
        <is>
          <t>Yes</t>
        </is>
      </c>
      <c r="H1176" s="2" t="n">
        <v>56</v>
      </c>
      <c r="I1176" s="2" t="n">
        <v>3.4</v>
      </c>
      <c r="J1176" s="2" t="n">
        <v>2.3</v>
      </c>
      <c r="K1176" s="2" t="n">
        <v>2.4</v>
      </c>
      <c r="L1176" s="2" t="inlineStr">
        <is>
          <t>Active</t>
        </is>
      </c>
    </row>
    <row r="1177">
      <c r="A1177" s="2" t="inlineStr">
        <is>
          <t>EMP01031</t>
        </is>
      </c>
      <c r="B1177" s="2" t="inlineStr">
        <is>
          <t>Operations</t>
        </is>
      </c>
      <c r="C1177" s="2" t="inlineStr">
        <is>
          <t>Ops Analyst</t>
        </is>
      </c>
      <c r="D1177" s="2" t="n">
        <v>40</v>
      </c>
      <c r="E1177" s="2" t="n">
        <v>2.3</v>
      </c>
      <c r="F1177" s="2" t="n">
        <v>763000</v>
      </c>
      <c r="G1177" s="2" t="inlineStr">
        <is>
          <t>No</t>
        </is>
      </c>
      <c r="H1177" s="2" t="n">
        <v>19</v>
      </c>
      <c r="I1177" s="2" t="n">
        <v>2.6</v>
      </c>
      <c r="J1177" s="2" t="n">
        <v>3.2</v>
      </c>
      <c r="K1177" s="2" t="n">
        <v>4</v>
      </c>
      <c r="L1177" s="2" t="inlineStr">
        <is>
          <t>Active</t>
        </is>
      </c>
    </row>
    <row r="1178">
      <c r="A1178" s="2" t="inlineStr">
        <is>
          <t>EMP00251</t>
        </is>
      </c>
      <c r="B1178" s="2" t="inlineStr">
        <is>
          <t>Finance</t>
        </is>
      </c>
      <c r="C1178" s="2" t="inlineStr">
        <is>
          <t>Finance Manager</t>
        </is>
      </c>
      <c r="D1178" s="2" t="n">
        <v>22</v>
      </c>
      <c r="E1178" s="2" t="n">
        <v>4.7</v>
      </c>
      <c r="F1178" s="2" t="n">
        <v>840000</v>
      </c>
      <c r="G1178" s="2" t="inlineStr">
        <is>
          <t>No</t>
        </is>
      </c>
      <c r="H1178" s="2" t="n">
        <v>43</v>
      </c>
      <c r="I1178" s="2" t="n">
        <v>4.2</v>
      </c>
      <c r="J1178" s="2" t="n">
        <v>4.9</v>
      </c>
      <c r="K1178" s="2" t="n">
        <v>3.2</v>
      </c>
      <c r="L1178" s="2" t="inlineStr">
        <is>
          <t>Active</t>
        </is>
      </c>
    </row>
    <row r="1179">
      <c r="A1179" s="2" t="inlineStr">
        <is>
          <t>EMP00824</t>
        </is>
      </c>
      <c r="B1179" s="2" t="inlineStr">
        <is>
          <t>Finance</t>
        </is>
      </c>
      <c r="C1179" s="2" t="inlineStr">
        <is>
          <t>Finance Manager</t>
        </is>
      </c>
      <c r="D1179" s="2" t="n">
        <v>37</v>
      </c>
      <c r="E1179" s="2" t="n">
        <v>3.3</v>
      </c>
      <c r="F1179" s="2" t="n">
        <v>890000</v>
      </c>
      <c r="G1179" s="2" t="inlineStr">
        <is>
          <t>Yes</t>
        </is>
      </c>
      <c r="H1179" s="2" t="n">
        <v>33</v>
      </c>
      <c r="I1179" s="2" t="n">
        <v>3.5</v>
      </c>
      <c r="J1179" s="2" t="n">
        <v>3.4</v>
      </c>
      <c r="K1179" s="2" t="n">
        <v>3.5</v>
      </c>
      <c r="L1179" s="2" t="inlineStr">
        <is>
          <t>Active</t>
        </is>
      </c>
    </row>
    <row r="1180">
      <c r="A1180" s="2" t="inlineStr">
        <is>
          <t>EMP01100</t>
        </is>
      </c>
      <c r="B1180" s="2" t="inlineStr">
        <is>
          <t>Sales</t>
        </is>
      </c>
      <c r="C1180" s="2" t="inlineStr">
        <is>
          <t>Account Manager</t>
        </is>
      </c>
      <c r="D1180" s="2" t="n">
        <v>23</v>
      </c>
      <c r="E1180" s="2" t="n">
        <v>3.8</v>
      </c>
      <c r="F1180" s="2" t="n">
        <v>681000</v>
      </c>
      <c r="G1180" s="2" t="inlineStr">
        <is>
          <t>Yes</t>
        </is>
      </c>
      <c r="H1180" s="2" t="n">
        <v>34</v>
      </c>
      <c r="I1180" s="2" t="n">
        <v>3.2</v>
      </c>
      <c r="J1180" s="2" t="n">
        <v>3.6</v>
      </c>
      <c r="K1180" s="2" t="n">
        <v>3.3</v>
      </c>
      <c r="L1180" s="2" t="inlineStr">
        <is>
          <t>Active</t>
        </is>
      </c>
    </row>
    <row r="1181">
      <c r="A1181" s="2" t="inlineStr">
        <is>
          <t>EMP00941</t>
        </is>
      </c>
      <c r="B1181" s="2" t="inlineStr">
        <is>
          <t>Engineering</t>
        </is>
      </c>
      <c r="C1181" s="2" t="inlineStr">
        <is>
          <t>Senior Engineer</t>
        </is>
      </c>
      <c r="D1181" s="2" t="n">
        <v>26</v>
      </c>
      <c r="E1181" s="2" t="n">
        <v>10</v>
      </c>
      <c r="F1181" s="2" t="n">
        <v>1427000</v>
      </c>
      <c r="G1181" s="2" t="inlineStr">
        <is>
          <t>No</t>
        </is>
      </c>
      <c r="H1181" s="2" t="n">
        <v>40</v>
      </c>
      <c r="I1181" s="2" t="n">
        <v>3.3</v>
      </c>
      <c r="J1181" s="2" t="n">
        <v>2.6</v>
      </c>
      <c r="K1181" s="2" t="n">
        <v>2.3</v>
      </c>
      <c r="L1181" s="2" t="inlineStr">
        <is>
          <t>Active</t>
        </is>
      </c>
    </row>
    <row r="1182">
      <c r="A1182" s="2" t="inlineStr">
        <is>
          <t>EMP00392</t>
        </is>
      </c>
      <c r="B1182" s="2" t="inlineStr">
        <is>
          <t>Sales</t>
        </is>
      </c>
      <c r="C1182" s="2" t="inlineStr">
        <is>
          <t>Sales Executive</t>
        </is>
      </c>
      <c r="D1182" s="2" t="n">
        <v>37</v>
      </c>
      <c r="E1182" s="2" t="n">
        <v>2.2</v>
      </c>
      <c r="F1182" s="2" t="n">
        <v>631000</v>
      </c>
      <c r="G1182" s="2" t="inlineStr">
        <is>
          <t>Yes</t>
        </is>
      </c>
      <c r="H1182" s="2" t="n">
        <v>2</v>
      </c>
      <c r="I1182" s="2" t="n">
        <v>4.5</v>
      </c>
      <c r="J1182" s="2" t="n">
        <v>4.1</v>
      </c>
      <c r="K1182" s="2" t="n">
        <v>4.5</v>
      </c>
      <c r="L1182" s="2" t="inlineStr">
        <is>
          <t>Active</t>
        </is>
      </c>
    </row>
    <row r="1183">
      <c r="A1183" s="2" t="inlineStr">
        <is>
          <t>EMP01093</t>
        </is>
      </c>
      <c r="B1183" s="2" t="inlineStr">
        <is>
          <t>Engineering</t>
        </is>
      </c>
      <c r="C1183" s="2" t="inlineStr">
        <is>
          <t>Senior Engineer</t>
        </is>
      </c>
      <c r="D1183" s="2" t="n">
        <v>39</v>
      </c>
      <c r="E1183" s="2" t="n">
        <v>1.2</v>
      </c>
      <c r="F1183" s="2" t="n">
        <v>949000</v>
      </c>
      <c r="G1183" s="2" t="inlineStr">
        <is>
          <t>No</t>
        </is>
      </c>
      <c r="H1183" s="2" t="n">
        <v>19</v>
      </c>
      <c r="I1183" s="2" t="n">
        <v>3.4</v>
      </c>
      <c r="J1183" s="2" t="n">
        <v>3.8</v>
      </c>
      <c r="K1183" s="2" t="n">
        <v>3.5</v>
      </c>
      <c r="L1183" s="2" t="inlineStr">
        <is>
          <t>Active</t>
        </is>
      </c>
    </row>
    <row r="1184">
      <c r="A1184" s="2" t="inlineStr">
        <is>
          <t>EMP01192</t>
        </is>
      </c>
      <c r="B1184" s="2" t="inlineStr">
        <is>
          <t>Engineering</t>
        </is>
      </c>
      <c r="C1184" s="2" t="inlineStr">
        <is>
          <t>Software Engineer</t>
        </is>
      </c>
      <c r="D1184" s="2" t="n">
        <v>33</v>
      </c>
      <c r="E1184" s="2" t="n">
        <v>0.8</v>
      </c>
      <c r="F1184" s="2" t="n">
        <v>1032000</v>
      </c>
      <c r="G1184" s="2" t="inlineStr">
        <is>
          <t>No</t>
        </is>
      </c>
      <c r="H1184" s="2" t="n">
        <v>17</v>
      </c>
      <c r="I1184" s="2" t="n">
        <v>4.4</v>
      </c>
      <c r="J1184" s="2" t="n">
        <v>4</v>
      </c>
      <c r="K1184" s="2" t="n">
        <v>4</v>
      </c>
      <c r="L1184" s="2" t="inlineStr">
        <is>
          <t>Resigned</t>
        </is>
      </c>
    </row>
    <row r="1185">
      <c r="A1185" s="2" t="inlineStr">
        <is>
          <t>EMP00905</t>
        </is>
      </c>
      <c r="B1185" s="2" t="inlineStr">
        <is>
          <t>Customer Support</t>
        </is>
      </c>
      <c r="C1185" s="2" t="inlineStr">
        <is>
          <t>Support Associate</t>
        </is>
      </c>
      <c r="D1185" s="2" t="n">
        <v>48</v>
      </c>
      <c r="E1185" s="2" t="n">
        <v>10.6</v>
      </c>
      <c r="F1185" s="2" t="n">
        <v>776000</v>
      </c>
      <c r="G1185" s="2" t="inlineStr">
        <is>
          <t>No</t>
        </is>
      </c>
      <c r="H1185" s="2" t="n">
        <v>30</v>
      </c>
      <c r="I1185" s="2" t="n">
        <v>2.8</v>
      </c>
      <c r="J1185" s="2" t="n">
        <v>3.4</v>
      </c>
      <c r="K1185" s="2" t="n">
        <v>3</v>
      </c>
      <c r="L1185" s="2" t="inlineStr">
        <is>
          <t>Active</t>
        </is>
      </c>
    </row>
    <row r="1186">
      <c r="A1186" s="2" t="inlineStr">
        <is>
          <t>EMP00731</t>
        </is>
      </c>
      <c r="B1186" s="2" t="inlineStr">
        <is>
          <t>Engineering</t>
        </is>
      </c>
      <c r="C1186" s="2" t="inlineStr">
        <is>
          <t>Senior Engineer</t>
        </is>
      </c>
      <c r="D1186" s="2" t="n">
        <v>40</v>
      </c>
      <c r="E1186" s="2" t="n">
        <v>5.5</v>
      </c>
      <c r="F1186" s="2" t="n">
        <v>1317000</v>
      </c>
      <c r="G1186" s="2" t="inlineStr">
        <is>
          <t>No</t>
        </is>
      </c>
      <c r="H1186" s="2" t="n">
        <v>40</v>
      </c>
      <c r="I1186" s="2" t="n">
        <v>4.6</v>
      </c>
      <c r="J1186" s="2" t="n">
        <v>4.4</v>
      </c>
      <c r="K1186" s="2" t="n">
        <v>3.1</v>
      </c>
      <c r="L1186" s="2" t="inlineStr">
        <is>
          <t>Active</t>
        </is>
      </c>
    </row>
    <row r="1187">
      <c r="A1187" s="2" t="inlineStr">
        <is>
          <t>EMP00555</t>
        </is>
      </c>
      <c r="B1187" s="2" t="inlineStr">
        <is>
          <t>Sales</t>
        </is>
      </c>
      <c r="C1187" s="2" t="inlineStr">
        <is>
          <t>Sales Executive</t>
        </is>
      </c>
      <c r="D1187" s="2" t="n">
        <v>36</v>
      </c>
      <c r="E1187" s="2" t="n">
        <v>5.6</v>
      </c>
      <c r="F1187" s="2" t="n">
        <v>825000</v>
      </c>
      <c r="G1187" s="2" t="inlineStr">
        <is>
          <t>No</t>
        </is>
      </c>
      <c r="H1187" s="2" t="n">
        <v>41</v>
      </c>
      <c r="I1187" s="2" t="n">
        <v>3.8</v>
      </c>
      <c r="J1187" s="2" t="n">
        <v>2.6</v>
      </c>
      <c r="K1187" s="2" t="n">
        <v>3.4</v>
      </c>
      <c r="L1187" s="2" t="inlineStr">
        <is>
          <t>Active</t>
        </is>
      </c>
    </row>
    <row r="1188">
      <c r="A1188" s="2" t="inlineStr">
        <is>
          <t>EMP00367</t>
        </is>
      </c>
      <c r="B1188" s="2" t="inlineStr">
        <is>
          <t>HR</t>
        </is>
      </c>
      <c r="C1188" s="2" t="inlineStr">
        <is>
          <t>Recruiter</t>
        </is>
      </c>
      <c r="D1188" s="2" t="n">
        <v>47</v>
      </c>
      <c r="E1188" s="2" t="n">
        <v>8.1</v>
      </c>
      <c r="F1188" s="2" t="n">
        <v>844000</v>
      </c>
      <c r="G1188" s="2" t="inlineStr">
        <is>
          <t>Yes</t>
        </is>
      </c>
      <c r="H1188" s="2" t="n">
        <v>53</v>
      </c>
      <c r="I1188" s="2" t="n">
        <v>4.4</v>
      </c>
      <c r="J1188" s="2" t="n">
        <v>2.3</v>
      </c>
      <c r="K1188" s="2" t="n">
        <v>4.3</v>
      </c>
      <c r="L1188" s="2" t="inlineStr">
        <is>
          <t>Active</t>
        </is>
      </c>
    </row>
    <row r="1189">
      <c r="A1189" s="2" t="inlineStr">
        <is>
          <t>EMP00346</t>
        </is>
      </c>
      <c r="B1189" s="2" t="inlineStr">
        <is>
          <t>HR</t>
        </is>
      </c>
      <c r="C1189" s="2" t="inlineStr">
        <is>
          <t>Recruiter</t>
        </is>
      </c>
      <c r="D1189" s="2" t="n">
        <v>32</v>
      </c>
      <c r="E1189" s="2" t="n">
        <v>2.1</v>
      </c>
      <c r="F1189" s="2" t="n">
        <v>679000</v>
      </c>
      <c r="G1189" s="2" t="inlineStr">
        <is>
          <t>No</t>
        </is>
      </c>
      <c r="H1189" s="2" t="n">
        <v>5</v>
      </c>
      <c r="I1189" s="2" t="n">
        <v>3.4</v>
      </c>
      <c r="J1189" s="2" t="n">
        <v>2.8</v>
      </c>
      <c r="K1189" s="2" t="n">
        <v>3.3</v>
      </c>
      <c r="L1189" s="2" t="inlineStr">
        <is>
          <t>Active</t>
        </is>
      </c>
    </row>
    <row r="1190">
      <c r="A1190" s="2" t="inlineStr">
        <is>
          <t>EMP00536</t>
        </is>
      </c>
      <c r="B1190" s="2" t="inlineStr">
        <is>
          <t>Sales</t>
        </is>
      </c>
      <c r="C1190" s="2" t="inlineStr">
        <is>
          <t>Sales Executive</t>
        </is>
      </c>
      <c r="D1190" s="2" t="n">
        <v>42</v>
      </c>
      <c r="E1190" s="2" t="n">
        <v>5</v>
      </c>
      <c r="F1190" s="2" t="n">
        <v>817000</v>
      </c>
      <c r="G1190" s="2" t="inlineStr">
        <is>
          <t>No</t>
        </is>
      </c>
      <c r="H1190" s="2" t="n">
        <v>35</v>
      </c>
      <c r="I1190" s="2" t="n">
        <v>2.9</v>
      </c>
      <c r="J1190" s="2" t="n">
        <v>3.8</v>
      </c>
      <c r="K1190" s="2" t="n">
        <v>3.2</v>
      </c>
      <c r="L1190" s="2" t="inlineStr">
        <is>
          <t>Active</t>
        </is>
      </c>
    </row>
    <row r="1191">
      <c r="A1191" s="2" t="inlineStr">
        <is>
          <t>EMP01059</t>
        </is>
      </c>
      <c r="B1191" s="2" t="inlineStr">
        <is>
          <t>Operations</t>
        </is>
      </c>
      <c r="C1191" s="2" t="inlineStr">
        <is>
          <t>Process Lead</t>
        </is>
      </c>
      <c r="D1191" s="2" t="n">
        <v>34</v>
      </c>
      <c r="E1191" s="2" t="n">
        <v>3.8</v>
      </c>
      <c r="F1191" s="2" t="n">
        <v>763000</v>
      </c>
      <c r="G1191" s="2" t="inlineStr">
        <is>
          <t>Yes</t>
        </is>
      </c>
      <c r="H1191" s="2" t="n">
        <v>12</v>
      </c>
      <c r="I1191" s="2" t="n">
        <v>2</v>
      </c>
      <c r="J1191" s="2" t="n">
        <v>2.8</v>
      </c>
      <c r="K1191" s="2" t="n">
        <v>2.2</v>
      </c>
      <c r="L1191" s="2" t="inlineStr">
        <is>
          <t>Active</t>
        </is>
      </c>
    </row>
    <row r="1192">
      <c r="A1192" s="2" t="inlineStr">
        <is>
          <t>EMP00920</t>
        </is>
      </c>
      <c r="B1192" s="2" t="inlineStr">
        <is>
          <t>Operations</t>
        </is>
      </c>
      <c r="C1192" s="2" t="inlineStr">
        <is>
          <t>Ops Analyst</t>
        </is>
      </c>
      <c r="D1192" s="2" t="n">
        <v>29</v>
      </c>
      <c r="E1192" s="2" t="n">
        <v>5.5</v>
      </c>
      <c r="F1192" s="2" t="n">
        <v>711000</v>
      </c>
      <c r="G1192" s="2" t="inlineStr">
        <is>
          <t>No</t>
        </is>
      </c>
      <c r="H1192" s="2" t="n">
        <v>8</v>
      </c>
      <c r="I1192" s="2" t="n">
        <v>2.3</v>
      </c>
      <c r="J1192" s="2" t="n">
        <v>2.6</v>
      </c>
      <c r="K1192" s="2" t="n">
        <v>3</v>
      </c>
      <c r="L1192" s="2" t="inlineStr">
        <is>
          <t>Active</t>
        </is>
      </c>
    </row>
    <row r="1193">
      <c r="A1193" s="2" t="inlineStr">
        <is>
          <t>EMP00212</t>
        </is>
      </c>
      <c r="B1193" s="2" t="inlineStr">
        <is>
          <t>Operations</t>
        </is>
      </c>
      <c r="C1193" s="2" t="inlineStr">
        <is>
          <t>Process Lead</t>
        </is>
      </c>
      <c r="D1193" s="2" t="n">
        <v>25</v>
      </c>
      <c r="E1193" s="2" t="n">
        <v>1.2</v>
      </c>
      <c r="F1193" s="2" t="n">
        <v>559000</v>
      </c>
      <c r="G1193" s="2" t="inlineStr">
        <is>
          <t>No</t>
        </is>
      </c>
      <c r="H1193" s="2" t="n">
        <v>15</v>
      </c>
      <c r="I1193" s="2" t="n">
        <v>3.5</v>
      </c>
      <c r="J1193" s="2" t="n">
        <v>3.7</v>
      </c>
      <c r="K1193" s="2" t="n">
        <v>2.6</v>
      </c>
      <c r="L1193" s="2" t="inlineStr">
        <is>
          <t>Active</t>
        </is>
      </c>
    </row>
    <row r="1194">
      <c r="A1194" s="2" t="inlineStr">
        <is>
          <t>EMP00503</t>
        </is>
      </c>
      <c r="B1194" s="2" t="inlineStr">
        <is>
          <t>Customer Support</t>
        </is>
      </c>
      <c r="C1194" s="2" t="inlineStr">
        <is>
          <t>Support Manager</t>
        </is>
      </c>
      <c r="D1194" s="2" t="n">
        <v>29</v>
      </c>
      <c r="E1194" s="2" t="n">
        <v>2</v>
      </c>
      <c r="F1194" s="2" t="n">
        <v>459000</v>
      </c>
      <c r="G1194" s="2" t="inlineStr">
        <is>
          <t>No</t>
        </is>
      </c>
      <c r="H1194" s="2" t="n">
        <v>35</v>
      </c>
      <c r="I1194" s="2" t="n">
        <v>3.8</v>
      </c>
      <c r="J1194" s="2" t="n">
        <v>4</v>
      </c>
      <c r="K1194" s="2" t="n">
        <v>3.9</v>
      </c>
      <c r="L1194" s="2" t="inlineStr">
        <is>
          <t>Active</t>
        </is>
      </c>
    </row>
    <row r="1195">
      <c r="A1195" s="2" t="inlineStr">
        <is>
          <t>EMP00538</t>
        </is>
      </c>
      <c r="B1195" s="2" t="inlineStr">
        <is>
          <t>Sales</t>
        </is>
      </c>
      <c r="C1195" s="2" t="inlineStr">
        <is>
          <t>Sales Manager</t>
        </is>
      </c>
      <c r="D1195" s="2" t="n">
        <v>37</v>
      </c>
      <c r="E1195" s="2" t="n">
        <v>1.8</v>
      </c>
      <c r="F1195" s="2" t="n">
        <v>633000</v>
      </c>
      <c r="G1195" s="2" t="inlineStr">
        <is>
          <t>Yes</t>
        </is>
      </c>
      <c r="H1195" s="2" t="n">
        <v>33</v>
      </c>
      <c r="I1195" s="2" t="n">
        <v>4.6</v>
      </c>
      <c r="J1195" s="2" t="n">
        <v>2.4</v>
      </c>
      <c r="K1195" s="2" t="n">
        <v>2.9</v>
      </c>
      <c r="L1195" s="2" t="inlineStr">
        <is>
          <t>Resigned</t>
        </is>
      </c>
    </row>
    <row r="1196">
      <c r="A1196" s="2" t="inlineStr">
        <is>
          <t>EMP00176</t>
        </is>
      </c>
      <c r="B1196" s="2" t="inlineStr">
        <is>
          <t>Sales</t>
        </is>
      </c>
      <c r="C1196" s="2" t="inlineStr">
        <is>
          <t>Sales Executive</t>
        </is>
      </c>
      <c r="D1196" s="2" t="n">
        <v>41</v>
      </c>
      <c r="E1196" s="2" t="n">
        <v>3.1</v>
      </c>
      <c r="F1196" s="2" t="n">
        <v>659000</v>
      </c>
      <c r="G1196" s="2" t="inlineStr">
        <is>
          <t>No</t>
        </is>
      </c>
      <c r="H1196" s="2" t="n">
        <v>29</v>
      </c>
      <c r="I1196" s="2" t="n">
        <v>3.6</v>
      </c>
      <c r="J1196" s="2" t="n">
        <v>3.3</v>
      </c>
      <c r="K1196" s="2" t="n">
        <v>3.7</v>
      </c>
      <c r="L1196" s="2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  <col width="32" customWidth="1" min="7" max="7"/>
    <col width="21" customWidth="1" min="8" max="8"/>
    <col width="21" customWidth="1" min="9" max="9"/>
    <col width="22" customWidth="1" min="10" max="10"/>
    <col width="30" customWidth="1" min="11" max="11"/>
    <col width="18" customWidth="1" min="12" max="12"/>
    <col width="24" customWidth="1" min="13" max="13"/>
    <col width="30" customWidth="1" min="14" max="14"/>
    <col width="19" customWidth="1" min="15" max="15"/>
    <col width="32" customWidth="1" min="16" max="16"/>
    <col width="32" customWidth="1" min="17" max="17"/>
    <col width="21" customWidth="1" min="18" max="18"/>
  </cols>
  <sheetData>
    <row r="1">
      <c r="A1" s="3" t="inlineStr">
        <is>
          <t>EmployeeID</t>
        </is>
      </c>
      <c r="B1" s="3" t="inlineStr">
        <is>
          <t>Department</t>
        </is>
      </c>
      <c r="C1" s="3" t="inlineStr">
        <is>
          <t>OverTime</t>
        </is>
      </c>
      <c r="D1" s="3" t="inlineStr">
        <is>
          <t>SatisfactionScore</t>
        </is>
      </c>
      <c r="E1" s="3" t="inlineStr">
        <is>
          <t>MonthsSincePromotion</t>
        </is>
      </c>
      <c r="F1" s="3" t="inlineStr">
        <is>
          <t>AnnualSalary</t>
        </is>
      </c>
      <c r="G1" s="3" t="inlineStr">
        <is>
          <t>DeptSalaryPercentile</t>
        </is>
      </c>
      <c r="H1" s="3" t="inlineStr">
        <is>
          <t>WorkLifeBalance</t>
        </is>
      </c>
      <c r="I1" s="3" t="inlineStr">
        <is>
          <t>TenureYears</t>
        </is>
      </c>
      <c r="J1" s="3" t="inlineStr">
        <is>
          <t>OT_risk</t>
        </is>
      </c>
      <c r="K1" s="3" t="inlineStr">
        <is>
          <t>Satisfaction_risk</t>
        </is>
      </c>
      <c r="L1" s="3" t="inlineStr">
        <is>
          <t>Promotion_risk</t>
        </is>
      </c>
      <c r="M1" s="3" t="inlineStr">
        <is>
          <t>Pay_risk</t>
        </is>
      </c>
      <c r="N1" s="3" t="inlineStr">
        <is>
          <t>WLB_risk</t>
        </is>
      </c>
      <c r="O1" s="3" t="inlineStr">
        <is>
          <t>Tenure_risk</t>
        </is>
      </c>
      <c r="P1" s="3" t="inlineStr">
        <is>
          <t>RiskScore</t>
        </is>
      </c>
      <c r="Q1" s="3" t="inlineStr">
        <is>
          <t>RiskBand</t>
        </is>
      </c>
      <c r="R1" s="3" t="inlineStr">
        <is>
          <t>Status</t>
        </is>
      </c>
    </row>
    <row r="2">
      <c r="A2" s="2">
        <f>Cleaned_Data!A2</f>
        <v/>
      </c>
      <c r="B2" s="2">
        <f>Cleaned_Data!B2</f>
        <v/>
      </c>
      <c r="C2" s="2">
        <f>Cleaned_Data!G2</f>
        <v/>
      </c>
      <c r="D2" s="2">
        <f>Cleaned_Data!I2</f>
        <v/>
      </c>
      <c r="E2" s="2">
        <f>Cleaned_Data!H2</f>
        <v/>
      </c>
      <c r="F2" s="2">
        <f>Cleaned_Data!F2</f>
        <v/>
      </c>
      <c r="G2" s="9">
        <f>SUMPRODUCT(($B$2:$B$1196=B2)*($F$2:$F$1196&lt;=F2))/SUMPRODUCT(($B$2:$B$1196=B2)*1)</f>
        <v/>
      </c>
      <c r="H2" s="2">
        <f>Cleaned_Data!J2</f>
        <v/>
      </c>
      <c r="I2" s="2">
        <f>Cleaned_Data!E2</f>
        <v/>
      </c>
      <c r="J2" s="2">
        <f>IF(C2="Yes",1,0)</f>
        <v/>
      </c>
      <c r="K2" s="2">
        <f>MIN(MAX(1-(D2-1)/4,0),1)</f>
        <v/>
      </c>
      <c r="L2" s="2">
        <f>MIN(E2/60,1)</f>
        <v/>
      </c>
      <c r="M2" s="2">
        <f>MIN(MAX(1-G2,0),1)</f>
        <v/>
      </c>
      <c r="N2" s="2">
        <f>MIN(MAX(1-(H2-1)/4,0),1)</f>
        <v/>
      </c>
      <c r="O2" s="2">
        <f>1-MIN(I2/8,1)</f>
        <v/>
      </c>
      <c r="P2" s="10">
        <f>ROUND(100*(J2*Assumptions!$B$6+K2*Assumptions!$B$7+L2*Assumptions!$B$8+M2*Assumptions!$B$9+N2*Assumptions!$B$10+O2*Assumptions!$B$11),1)</f>
        <v/>
      </c>
      <c r="Q2" s="2">
        <f>IF(P2&gt;=Assumptions!$B$14,"High",IF(P2&gt;=Assumptions!$B$15,"Medium","Low"))</f>
        <v/>
      </c>
      <c r="R2" s="2">
        <f>Cleaned_Data!L2</f>
        <v/>
      </c>
    </row>
    <row r="3">
      <c r="A3" s="2">
        <f>Cleaned_Data!A3</f>
        <v/>
      </c>
      <c r="B3" s="2">
        <f>Cleaned_Data!B3</f>
        <v/>
      </c>
      <c r="C3" s="2">
        <f>Cleaned_Data!G3</f>
        <v/>
      </c>
      <c r="D3" s="2">
        <f>Cleaned_Data!I3</f>
        <v/>
      </c>
      <c r="E3" s="2">
        <f>Cleaned_Data!H3</f>
        <v/>
      </c>
      <c r="F3" s="2">
        <f>Cleaned_Data!F3</f>
        <v/>
      </c>
      <c r="G3" s="9">
        <f>SUMPRODUCT(($B$2:$B$1196=B3)*($F$2:$F$1196&lt;=F3))/SUMPRODUCT(($B$2:$B$1196=B3)*1)</f>
        <v/>
      </c>
      <c r="H3" s="2">
        <f>Cleaned_Data!J3</f>
        <v/>
      </c>
      <c r="I3" s="2">
        <f>Cleaned_Data!E3</f>
        <v/>
      </c>
      <c r="J3" s="2">
        <f>IF(C3="Yes",1,0)</f>
        <v/>
      </c>
      <c r="K3" s="2">
        <f>MIN(MAX(1-(D3-1)/4,0),1)</f>
        <v/>
      </c>
      <c r="L3" s="2">
        <f>MIN(E3/60,1)</f>
        <v/>
      </c>
      <c r="M3" s="2">
        <f>MIN(MAX(1-G3,0),1)</f>
        <v/>
      </c>
      <c r="N3" s="2">
        <f>MIN(MAX(1-(H3-1)/4,0),1)</f>
        <v/>
      </c>
      <c r="O3" s="2">
        <f>1-MIN(I3/8,1)</f>
        <v/>
      </c>
      <c r="P3" s="10">
        <f>ROUND(100*(J3*Assumptions!$B$6+K3*Assumptions!$B$7+L3*Assumptions!$B$8+M3*Assumptions!$B$9+N3*Assumptions!$B$10+O3*Assumptions!$B$11),1)</f>
        <v/>
      </c>
      <c r="Q3" s="2">
        <f>IF(P3&gt;=Assumptions!$B$14,"High",IF(P3&gt;=Assumptions!$B$15,"Medium","Low"))</f>
        <v/>
      </c>
      <c r="R3" s="2">
        <f>Cleaned_Data!L3</f>
        <v/>
      </c>
    </row>
    <row r="4">
      <c r="A4" s="2">
        <f>Cleaned_Data!A4</f>
        <v/>
      </c>
      <c r="B4" s="2">
        <f>Cleaned_Data!B4</f>
        <v/>
      </c>
      <c r="C4" s="2">
        <f>Cleaned_Data!G4</f>
        <v/>
      </c>
      <c r="D4" s="2">
        <f>Cleaned_Data!I4</f>
        <v/>
      </c>
      <c r="E4" s="2">
        <f>Cleaned_Data!H4</f>
        <v/>
      </c>
      <c r="F4" s="2">
        <f>Cleaned_Data!F4</f>
        <v/>
      </c>
      <c r="G4" s="9">
        <f>SUMPRODUCT(($B$2:$B$1196=B4)*($F$2:$F$1196&lt;=F4))/SUMPRODUCT(($B$2:$B$1196=B4)*1)</f>
        <v/>
      </c>
      <c r="H4" s="2">
        <f>Cleaned_Data!J4</f>
        <v/>
      </c>
      <c r="I4" s="2">
        <f>Cleaned_Data!E4</f>
        <v/>
      </c>
      <c r="J4" s="2">
        <f>IF(C4="Yes",1,0)</f>
        <v/>
      </c>
      <c r="K4" s="2">
        <f>MIN(MAX(1-(D4-1)/4,0),1)</f>
        <v/>
      </c>
      <c r="L4" s="2">
        <f>MIN(E4/60,1)</f>
        <v/>
      </c>
      <c r="M4" s="2">
        <f>MIN(MAX(1-G4,0),1)</f>
        <v/>
      </c>
      <c r="N4" s="2">
        <f>MIN(MAX(1-(H4-1)/4,0),1)</f>
        <v/>
      </c>
      <c r="O4" s="2">
        <f>1-MIN(I4/8,1)</f>
        <v/>
      </c>
      <c r="P4" s="10">
        <f>ROUND(100*(J4*Assumptions!$B$6+K4*Assumptions!$B$7+L4*Assumptions!$B$8+M4*Assumptions!$B$9+N4*Assumptions!$B$10+O4*Assumptions!$B$11),1)</f>
        <v/>
      </c>
      <c r="Q4" s="2">
        <f>IF(P4&gt;=Assumptions!$B$14,"High",IF(P4&gt;=Assumptions!$B$15,"Medium","Low"))</f>
        <v/>
      </c>
      <c r="R4" s="2">
        <f>Cleaned_Data!L4</f>
        <v/>
      </c>
    </row>
    <row r="5">
      <c r="A5" s="2">
        <f>Cleaned_Data!A5</f>
        <v/>
      </c>
      <c r="B5" s="2">
        <f>Cleaned_Data!B5</f>
        <v/>
      </c>
      <c r="C5" s="2">
        <f>Cleaned_Data!G5</f>
        <v/>
      </c>
      <c r="D5" s="2">
        <f>Cleaned_Data!I5</f>
        <v/>
      </c>
      <c r="E5" s="2">
        <f>Cleaned_Data!H5</f>
        <v/>
      </c>
      <c r="F5" s="2">
        <f>Cleaned_Data!F5</f>
        <v/>
      </c>
      <c r="G5" s="9">
        <f>SUMPRODUCT(($B$2:$B$1196=B5)*($F$2:$F$1196&lt;=F5))/SUMPRODUCT(($B$2:$B$1196=B5)*1)</f>
        <v/>
      </c>
      <c r="H5" s="2">
        <f>Cleaned_Data!J5</f>
        <v/>
      </c>
      <c r="I5" s="2">
        <f>Cleaned_Data!E5</f>
        <v/>
      </c>
      <c r="J5" s="2">
        <f>IF(C5="Yes",1,0)</f>
        <v/>
      </c>
      <c r="K5" s="2">
        <f>MIN(MAX(1-(D5-1)/4,0),1)</f>
        <v/>
      </c>
      <c r="L5" s="2">
        <f>MIN(E5/60,1)</f>
        <v/>
      </c>
      <c r="M5" s="2">
        <f>MIN(MAX(1-G5,0),1)</f>
        <v/>
      </c>
      <c r="N5" s="2">
        <f>MIN(MAX(1-(H5-1)/4,0),1)</f>
        <v/>
      </c>
      <c r="O5" s="2">
        <f>1-MIN(I5/8,1)</f>
        <v/>
      </c>
      <c r="P5" s="10">
        <f>ROUND(100*(J5*Assumptions!$B$6+K5*Assumptions!$B$7+L5*Assumptions!$B$8+M5*Assumptions!$B$9+N5*Assumptions!$B$10+O5*Assumptions!$B$11),1)</f>
        <v/>
      </c>
      <c r="Q5" s="2">
        <f>IF(P5&gt;=Assumptions!$B$14,"High",IF(P5&gt;=Assumptions!$B$15,"Medium","Low"))</f>
        <v/>
      </c>
      <c r="R5" s="2">
        <f>Cleaned_Data!L5</f>
        <v/>
      </c>
    </row>
    <row r="6">
      <c r="A6" s="2">
        <f>Cleaned_Data!A6</f>
        <v/>
      </c>
      <c r="B6" s="2">
        <f>Cleaned_Data!B6</f>
        <v/>
      </c>
      <c r="C6" s="2">
        <f>Cleaned_Data!G6</f>
        <v/>
      </c>
      <c r="D6" s="2">
        <f>Cleaned_Data!I6</f>
        <v/>
      </c>
      <c r="E6" s="2">
        <f>Cleaned_Data!H6</f>
        <v/>
      </c>
      <c r="F6" s="2">
        <f>Cleaned_Data!F6</f>
        <v/>
      </c>
      <c r="G6" s="9">
        <f>SUMPRODUCT(($B$2:$B$1196=B6)*($F$2:$F$1196&lt;=F6))/SUMPRODUCT(($B$2:$B$1196=B6)*1)</f>
        <v/>
      </c>
      <c r="H6" s="2">
        <f>Cleaned_Data!J6</f>
        <v/>
      </c>
      <c r="I6" s="2">
        <f>Cleaned_Data!E6</f>
        <v/>
      </c>
      <c r="J6" s="2">
        <f>IF(C6="Yes",1,0)</f>
        <v/>
      </c>
      <c r="K6" s="2">
        <f>MIN(MAX(1-(D6-1)/4,0),1)</f>
        <v/>
      </c>
      <c r="L6" s="2">
        <f>MIN(E6/60,1)</f>
        <v/>
      </c>
      <c r="M6" s="2">
        <f>MIN(MAX(1-G6,0),1)</f>
        <v/>
      </c>
      <c r="N6" s="2">
        <f>MIN(MAX(1-(H6-1)/4,0),1)</f>
        <v/>
      </c>
      <c r="O6" s="2">
        <f>1-MIN(I6/8,1)</f>
        <v/>
      </c>
      <c r="P6" s="10">
        <f>ROUND(100*(J6*Assumptions!$B$6+K6*Assumptions!$B$7+L6*Assumptions!$B$8+M6*Assumptions!$B$9+N6*Assumptions!$B$10+O6*Assumptions!$B$11),1)</f>
        <v/>
      </c>
      <c r="Q6" s="2">
        <f>IF(P6&gt;=Assumptions!$B$14,"High",IF(P6&gt;=Assumptions!$B$15,"Medium","Low"))</f>
        <v/>
      </c>
      <c r="R6" s="2">
        <f>Cleaned_Data!L6</f>
        <v/>
      </c>
    </row>
    <row r="7">
      <c r="A7" s="2">
        <f>Cleaned_Data!A7</f>
        <v/>
      </c>
      <c r="B7" s="2">
        <f>Cleaned_Data!B7</f>
        <v/>
      </c>
      <c r="C7" s="2">
        <f>Cleaned_Data!G7</f>
        <v/>
      </c>
      <c r="D7" s="2">
        <f>Cleaned_Data!I7</f>
        <v/>
      </c>
      <c r="E7" s="2">
        <f>Cleaned_Data!H7</f>
        <v/>
      </c>
      <c r="F7" s="2">
        <f>Cleaned_Data!F7</f>
        <v/>
      </c>
      <c r="G7" s="9">
        <f>SUMPRODUCT(($B$2:$B$1196=B7)*($F$2:$F$1196&lt;=F7))/SUMPRODUCT(($B$2:$B$1196=B7)*1)</f>
        <v/>
      </c>
      <c r="H7" s="2">
        <f>Cleaned_Data!J7</f>
        <v/>
      </c>
      <c r="I7" s="2">
        <f>Cleaned_Data!E7</f>
        <v/>
      </c>
      <c r="J7" s="2">
        <f>IF(C7="Yes",1,0)</f>
        <v/>
      </c>
      <c r="K7" s="2">
        <f>MIN(MAX(1-(D7-1)/4,0),1)</f>
        <v/>
      </c>
      <c r="L7" s="2">
        <f>MIN(E7/60,1)</f>
        <v/>
      </c>
      <c r="M7" s="2">
        <f>MIN(MAX(1-G7,0),1)</f>
        <v/>
      </c>
      <c r="N7" s="2">
        <f>MIN(MAX(1-(H7-1)/4,0),1)</f>
        <v/>
      </c>
      <c r="O7" s="2">
        <f>1-MIN(I7/8,1)</f>
        <v/>
      </c>
      <c r="P7" s="10">
        <f>ROUND(100*(J7*Assumptions!$B$6+K7*Assumptions!$B$7+L7*Assumptions!$B$8+M7*Assumptions!$B$9+N7*Assumptions!$B$10+O7*Assumptions!$B$11),1)</f>
        <v/>
      </c>
      <c r="Q7" s="2">
        <f>IF(P7&gt;=Assumptions!$B$14,"High",IF(P7&gt;=Assumptions!$B$15,"Medium","Low"))</f>
        <v/>
      </c>
      <c r="R7" s="2">
        <f>Cleaned_Data!L7</f>
        <v/>
      </c>
    </row>
    <row r="8">
      <c r="A8" s="2">
        <f>Cleaned_Data!A8</f>
        <v/>
      </c>
      <c r="B8" s="2">
        <f>Cleaned_Data!B8</f>
        <v/>
      </c>
      <c r="C8" s="2">
        <f>Cleaned_Data!G8</f>
        <v/>
      </c>
      <c r="D8" s="2">
        <f>Cleaned_Data!I8</f>
        <v/>
      </c>
      <c r="E8" s="2">
        <f>Cleaned_Data!H8</f>
        <v/>
      </c>
      <c r="F8" s="2">
        <f>Cleaned_Data!F8</f>
        <v/>
      </c>
      <c r="G8" s="9">
        <f>SUMPRODUCT(($B$2:$B$1196=B8)*($F$2:$F$1196&lt;=F8))/SUMPRODUCT(($B$2:$B$1196=B8)*1)</f>
        <v/>
      </c>
      <c r="H8" s="2">
        <f>Cleaned_Data!J8</f>
        <v/>
      </c>
      <c r="I8" s="2">
        <f>Cleaned_Data!E8</f>
        <v/>
      </c>
      <c r="J8" s="2">
        <f>IF(C8="Yes",1,0)</f>
        <v/>
      </c>
      <c r="K8" s="2">
        <f>MIN(MAX(1-(D8-1)/4,0),1)</f>
        <v/>
      </c>
      <c r="L8" s="2">
        <f>MIN(E8/60,1)</f>
        <v/>
      </c>
      <c r="M8" s="2">
        <f>MIN(MAX(1-G8,0),1)</f>
        <v/>
      </c>
      <c r="N8" s="2">
        <f>MIN(MAX(1-(H8-1)/4,0),1)</f>
        <v/>
      </c>
      <c r="O8" s="2">
        <f>1-MIN(I8/8,1)</f>
        <v/>
      </c>
      <c r="P8" s="10">
        <f>ROUND(100*(J8*Assumptions!$B$6+K8*Assumptions!$B$7+L8*Assumptions!$B$8+M8*Assumptions!$B$9+N8*Assumptions!$B$10+O8*Assumptions!$B$11),1)</f>
        <v/>
      </c>
      <c r="Q8" s="2">
        <f>IF(P8&gt;=Assumptions!$B$14,"High",IF(P8&gt;=Assumptions!$B$15,"Medium","Low"))</f>
        <v/>
      </c>
      <c r="R8" s="2">
        <f>Cleaned_Data!L8</f>
        <v/>
      </c>
    </row>
    <row r="9">
      <c r="A9" s="2">
        <f>Cleaned_Data!A9</f>
        <v/>
      </c>
      <c r="B9" s="2">
        <f>Cleaned_Data!B9</f>
        <v/>
      </c>
      <c r="C9" s="2">
        <f>Cleaned_Data!G9</f>
        <v/>
      </c>
      <c r="D9" s="2">
        <f>Cleaned_Data!I9</f>
        <v/>
      </c>
      <c r="E9" s="2">
        <f>Cleaned_Data!H9</f>
        <v/>
      </c>
      <c r="F9" s="2">
        <f>Cleaned_Data!F9</f>
        <v/>
      </c>
      <c r="G9" s="9">
        <f>SUMPRODUCT(($B$2:$B$1196=B9)*($F$2:$F$1196&lt;=F9))/SUMPRODUCT(($B$2:$B$1196=B9)*1)</f>
        <v/>
      </c>
      <c r="H9" s="2">
        <f>Cleaned_Data!J9</f>
        <v/>
      </c>
      <c r="I9" s="2">
        <f>Cleaned_Data!E9</f>
        <v/>
      </c>
      <c r="J9" s="2">
        <f>IF(C9="Yes",1,0)</f>
        <v/>
      </c>
      <c r="K9" s="2">
        <f>MIN(MAX(1-(D9-1)/4,0),1)</f>
        <v/>
      </c>
      <c r="L9" s="2">
        <f>MIN(E9/60,1)</f>
        <v/>
      </c>
      <c r="M9" s="2">
        <f>MIN(MAX(1-G9,0),1)</f>
        <v/>
      </c>
      <c r="N9" s="2">
        <f>MIN(MAX(1-(H9-1)/4,0),1)</f>
        <v/>
      </c>
      <c r="O9" s="2">
        <f>1-MIN(I9/8,1)</f>
        <v/>
      </c>
      <c r="P9" s="10">
        <f>ROUND(100*(J9*Assumptions!$B$6+K9*Assumptions!$B$7+L9*Assumptions!$B$8+M9*Assumptions!$B$9+N9*Assumptions!$B$10+O9*Assumptions!$B$11),1)</f>
        <v/>
      </c>
      <c r="Q9" s="2">
        <f>IF(P9&gt;=Assumptions!$B$14,"High",IF(P9&gt;=Assumptions!$B$15,"Medium","Low"))</f>
        <v/>
      </c>
      <c r="R9" s="2">
        <f>Cleaned_Data!L9</f>
        <v/>
      </c>
    </row>
    <row r="10">
      <c r="A10" s="2">
        <f>Cleaned_Data!A10</f>
        <v/>
      </c>
      <c r="B10" s="2">
        <f>Cleaned_Data!B10</f>
        <v/>
      </c>
      <c r="C10" s="2">
        <f>Cleaned_Data!G10</f>
        <v/>
      </c>
      <c r="D10" s="2">
        <f>Cleaned_Data!I10</f>
        <v/>
      </c>
      <c r="E10" s="2">
        <f>Cleaned_Data!H10</f>
        <v/>
      </c>
      <c r="F10" s="2">
        <f>Cleaned_Data!F10</f>
        <v/>
      </c>
      <c r="G10" s="9">
        <f>SUMPRODUCT(($B$2:$B$1196=B10)*($F$2:$F$1196&lt;=F10))/SUMPRODUCT(($B$2:$B$1196=B10)*1)</f>
        <v/>
      </c>
      <c r="H10" s="2">
        <f>Cleaned_Data!J10</f>
        <v/>
      </c>
      <c r="I10" s="2">
        <f>Cleaned_Data!E10</f>
        <v/>
      </c>
      <c r="J10" s="2">
        <f>IF(C10="Yes",1,0)</f>
        <v/>
      </c>
      <c r="K10" s="2">
        <f>MIN(MAX(1-(D10-1)/4,0),1)</f>
        <v/>
      </c>
      <c r="L10" s="2">
        <f>MIN(E10/60,1)</f>
        <v/>
      </c>
      <c r="M10" s="2">
        <f>MIN(MAX(1-G10,0),1)</f>
        <v/>
      </c>
      <c r="N10" s="2">
        <f>MIN(MAX(1-(H10-1)/4,0),1)</f>
        <v/>
      </c>
      <c r="O10" s="2">
        <f>1-MIN(I10/8,1)</f>
        <v/>
      </c>
      <c r="P10" s="10">
        <f>ROUND(100*(J10*Assumptions!$B$6+K10*Assumptions!$B$7+L10*Assumptions!$B$8+M10*Assumptions!$B$9+N10*Assumptions!$B$10+O10*Assumptions!$B$11),1)</f>
        <v/>
      </c>
      <c r="Q10" s="2">
        <f>IF(P10&gt;=Assumptions!$B$14,"High",IF(P10&gt;=Assumptions!$B$15,"Medium","Low"))</f>
        <v/>
      </c>
      <c r="R10" s="2">
        <f>Cleaned_Data!L10</f>
        <v/>
      </c>
    </row>
    <row r="11">
      <c r="A11" s="2">
        <f>Cleaned_Data!A11</f>
        <v/>
      </c>
      <c r="B11" s="2">
        <f>Cleaned_Data!B11</f>
        <v/>
      </c>
      <c r="C11" s="2">
        <f>Cleaned_Data!G11</f>
        <v/>
      </c>
      <c r="D11" s="2">
        <f>Cleaned_Data!I11</f>
        <v/>
      </c>
      <c r="E11" s="2">
        <f>Cleaned_Data!H11</f>
        <v/>
      </c>
      <c r="F11" s="2">
        <f>Cleaned_Data!F11</f>
        <v/>
      </c>
      <c r="G11" s="9">
        <f>SUMPRODUCT(($B$2:$B$1196=B11)*($F$2:$F$1196&lt;=F11))/SUMPRODUCT(($B$2:$B$1196=B11)*1)</f>
        <v/>
      </c>
      <c r="H11" s="2">
        <f>Cleaned_Data!J11</f>
        <v/>
      </c>
      <c r="I11" s="2">
        <f>Cleaned_Data!E11</f>
        <v/>
      </c>
      <c r="J11" s="2">
        <f>IF(C11="Yes",1,0)</f>
        <v/>
      </c>
      <c r="K11" s="2">
        <f>MIN(MAX(1-(D11-1)/4,0),1)</f>
        <v/>
      </c>
      <c r="L11" s="2">
        <f>MIN(E11/60,1)</f>
        <v/>
      </c>
      <c r="M11" s="2">
        <f>MIN(MAX(1-G11,0),1)</f>
        <v/>
      </c>
      <c r="N11" s="2">
        <f>MIN(MAX(1-(H11-1)/4,0),1)</f>
        <v/>
      </c>
      <c r="O11" s="2">
        <f>1-MIN(I11/8,1)</f>
        <v/>
      </c>
      <c r="P11" s="10">
        <f>ROUND(100*(J11*Assumptions!$B$6+K11*Assumptions!$B$7+L11*Assumptions!$B$8+M11*Assumptions!$B$9+N11*Assumptions!$B$10+O11*Assumptions!$B$11),1)</f>
        <v/>
      </c>
      <c r="Q11" s="2">
        <f>IF(P11&gt;=Assumptions!$B$14,"High",IF(P11&gt;=Assumptions!$B$15,"Medium","Low"))</f>
        <v/>
      </c>
      <c r="R11" s="2">
        <f>Cleaned_Data!L11</f>
        <v/>
      </c>
    </row>
    <row r="12">
      <c r="A12" s="2">
        <f>Cleaned_Data!A12</f>
        <v/>
      </c>
      <c r="B12" s="2">
        <f>Cleaned_Data!B12</f>
        <v/>
      </c>
      <c r="C12" s="2">
        <f>Cleaned_Data!G12</f>
        <v/>
      </c>
      <c r="D12" s="2">
        <f>Cleaned_Data!I12</f>
        <v/>
      </c>
      <c r="E12" s="2">
        <f>Cleaned_Data!H12</f>
        <v/>
      </c>
      <c r="F12" s="2">
        <f>Cleaned_Data!F12</f>
        <v/>
      </c>
      <c r="G12" s="9">
        <f>SUMPRODUCT(($B$2:$B$1196=B12)*($F$2:$F$1196&lt;=F12))/SUMPRODUCT(($B$2:$B$1196=B12)*1)</f>
        <v/>
      </c>
      <c r="H12" s="2">
        <f>Cleaned_Data!J12</f>
        <v/>
      </c>
      <c r="I12" s="2">
        <f>Cleaned_Data!E12</f>
        <v/>
      </c>
      <c r="J12" s="2">
        <f>IF(C12="Yes",1,0)</f>
        <v/>
      </c>
      <c r="K12" s="2">
        <f>MIN(MAX(1-(D12-1)/4,0),1)</f>
        <v/>
      </c>
      <c r="L12" s="2">
        <f>MIN(E12/60,1)</f>
        <v/>
      </c>
      <c r="M12" s="2">
        <f>MIN(MAX(1-G12,0),1)</f>
        <v/>
      </c>
      <c r="N12" s="2">
        <f>MIN(MAX(1-(H12-1)/4,0),1)</f>
        <v/>
      </c>
      <c r="O12" s="2">
        <f>1-MIN(I12/8,1)</f>
        <v/>
      </c>
      <c r="P12" s="10">
        <f>ROUND(100*(J12*Assumptions!$B$6+K12*Assumptions!$B$7+L12*Assumptions!$B$8+M12*Assumptions!$B$9+N12*Assumptions!$B$10+O12*Assumptions!$B$11),1)</f>
        <v/>
      </c>
      <c r="Q12" s="2">
        <f>IF(P12&gt;=Assumptions!$B$14,"High",IF(P12&gt;=Assumptions!$B$15,"Medium","Low"))</f>
        <v/>
      </c>
      <c r="R12" s="2">
        <f>Cleaned_Data!L12</f>
        <v/>
      </c>
    </row>
    <row r="13">
      <c r="A13" s="2">
        <f>Cleaned_Data!A13</f>
        <v/>
      </c>
      <c r="B13" s="2">
        <f>Cleaned_Data!B13</f>
        <v/>
      </c>
      <c r="C13" s="2">
        <f>Cleaned_Data!G13</f>
        <v/>
      </c>
      <c r="D13" s="2">
        <f>Cleaned_Data!I13</f>
        <v/>
      </c>
      <c r="E13" s="2">
        <f>Cleaned_Data!H13</f>
        <v/>
      </c>
      <c r="F13" s="2">
        <f>Cleaned_Data!F13</f>
        <v/>
      </c>
      <c r="G13" s="9">
        <f>SUMPRODUCT(($B$2:$B$1196=B13)*($F$2:$F$1196&lt;=F13))/SUMPRODUCT(($B$2:$B$1196=B13)*1)</f>
        <v/>
      </c>
      <c r="H13" s="2">
        <f>Cleaned_Data!J13</f>
        <v/>
      </c>
      <c r="I13" s="2">
        <f>Cleaned_Data!E13</f>
        <v/>
      </c>
      <c r="J13" s="2">
        <f>IF(C13="Yes",1,0)</f>
        <v/>
      </c>
      <c r="K13" s="2">
        <f>MIN(MAX(1-(D13-1)/4,0),1)</f>
        <v/>
      </c>
      <c r="L13" s="2">
        <f>MIN(E13/60,1)</f>
        <v/>
      </c>
      <c r="M13" s="2">
        <f>MIN(MAX(1-G13,0),1)</f>
        <v/>
      </c>
      <c r="N13" s="2">
        <f>MIN(MAX(1-(H13-1)/4,0),1)</f>
        <v/>
      </c>
      <c r="O13" s="2">
        <f>1-MIN(I13/8,1)</f>
        <v/>
      </c>
      <c r="P13" s="10">
        <f>ROUND(100*(J13*Assumptions!$B$6+K13*Assumptions!$B$7+L13*Assumptions!$B$8+M13*Assumptions!$B$9+N13*Assumptions!$B$10+O13*Assumptions!$B$11),1)</f>
        <v/>
      </c>
      <c r="Q13" s="2">
        <f>IF(P13&gt;=Assumptions!$B$14,"High",IF(P13&gt;=Assumptions!$B$15,"Medium","Low"))</f>
        <v/>
      </c>
      <c r="R13" s="2">
        <f>Cleaned_Data!L13</f>
        <v/>
      </c>
    </row>
    <row r="14">
      <c r="A14" s="2">
        <f>Cleaned_Data!A14</f>
        <v/>
      </c>
      <c r="B14" s="2">
        <f>Cleaned_Data!B14</f>
        <v/>
      </c>
      <c r="C14" s="2">
        <f>Cleaned_Data!G14</f>
        <v/>
      </c>
      <c r="D14" s="2">
        <f>Cleaned_Data!I14</f>
        <v/>
      </c>
      <c r="E14" s="2">
        <f>Cleaned_Data!H14</f>
        <v/>
      </c>
      <c r="F14" s="2">
        <f>Cleaned_Data!F14</f>
        <v/>
      </c>
      <c r="G14" s="9">
        <f>SUMPRODUCT(($B$2:$B$1196=B14)*($F$2:$F$1196&lt;=F14))/SUMPRODUCT(($B$2:$B$1196=B14)*1)</f>
        <v/>
      </c>
      <c r="H14" s="2">
        <f>Cleaned_Data!J14</f>
        <v/>
      </c>
      <c r="I14" s="2">
        <f>Cleaned_Data!E14</f>
        <v/>
      </c>
      <c r="J14" s="2">
        <f>IF(C14="Yes",1,0)</f>
        <v/>
      </c>
      <c r="K14" s="2">
        <f>MIN(MAX(1-(D14-1)/4,0),1)</f>
        <v/>
      </c>
      <c r="L14" s="2">
        <f>MIN(E14/60,1)</f>
        <v/>
      </c>
      <c r="M14" s="2">
        <f>MIN(MAX(1-G14,0),1)</f>
        <v/>
      </c>
      <c r="N14" s="2">
        <f>MIN(MAX(1-(H14-1)/4,0),1)</f>
        <v/>
      </c>
      <c r="O14" s="2">
        <f>1-MIN(I14/8,1)</f>
        <v/>
      </c>
      <c r="P14" s="10">
        <f>ROUND(100*(J14*Assumptions!$B$6+K14*Assumptions!$B$7+L14*Assumptions!$B$8+M14*Assumptions!$B$9+N14*Assumptions!$B$10+O14*Assumptions!$B$11),1)</f>
        <v/>
      </c>
      <c r="Q14" s="2">
        <f>IF(P14&gt;=Assumptions!$B$14,"High",IF(P14&gt;=Assumptions!$B$15,"Medium","Low"))</f>
        <v/>
      </c>
      <c r="R14" s="2">
        <f>Cleaned_Data!L14</f>
        <v/>
      </c>
    </row>
    <row r="15">
      <c r="A15" s="2">
        <f>Cleaned_Data!A15</f>
        <v/>
      </c>
      <c r="B15" s="2">
        <f>Cleaned_Data!B15</f>
        <v/>
      </c>
      <c r="C15" s="2">
        <f>Cleaned_Data!G15</f>
        <v/>
      </c>
      <c r="D15" s="2">
        <f>Cleaned_Data!I15</f>
        <v/>
      </c>
      <c r="E15" s="2">
        <f>Cleaned_Data!H15</f>
        <v/>
      </c>
      <c r="F15" s="2">
        <f>Cleaned_Data!F15</f>
        <v/>
      </c>
      <c r="G15" s="9">
        <f>SUMPRODUCT(($B$2:$B$1196=B15)*($F$2:$F$1196&lt;=F15))/SUMPRODUCT(($B$2:$B$1196=B15)*1)</f>
        <v/>
      </c>
      <c r="H15" s="2">
        <f>Cleaned_Data!J15</f>
        <v/>
      </c>
      <c r="I15" s="2">
        <f>Cleaned_Data!E15</f>
        <v/>
      </c>
      <c r="J15" s="2">
        <f>IF(C15="Yes",1,0)</f>
        <v/>
      </c>
      <c r="K15" s="2">
        <f>MIN(MAX(1-(D15-1)/4,0),1)</f>
        <v/>
      </c>
      <c r="L15" s="2">
        <f>MIN(E15/60,1)</f>
        <v/>
      </c>
      <c r="M15" s="2">
        <f>MIN(MAX(1-G15,0),1)</f>
        <v/>
      </c>
      <c r="N15" s="2">
        <f>MIN(MAX(1-(H15-1)/4,0),1)</f>
        <v/>
      </c>
      <c r="O15" s="2">
        <f>1-MIN(I15/8,1)</f>
        <v/>
      </c>
      <c r="P15" s="10">
        <f>ROUND(100*(J15*Assumptions!$B$6+K15*Assumptions!$B$7+L15*Assumptions!$B$8+M15*Assumptions!$B$9+N15*Assumptions!$B$10+O15*Assumptions!$B$11),1)</f>
        <v/>
      </c>
      <c r="Q15" s="2">
        <f>IF(P15&gt;=Assumptions!$B$14,"High",IF(P15&gt;=Assumptions!$B$15,"Medium","Low"))</f>
        <v/>
      </c>
      <c r="R15" s="2">
        <f>Cleaned_Data!L15</f>
        <v/>
      </c>
    </row>
    <row r="16">
      <c r="A16" s="2">
        <f>Cleaned_Data!A16</f>
        <v/>
      </c>
      <c r="B16" s="2">
        <f>Cleaned_Data!B16</f>
        <v/>
      </c>
      <c r="C16" s="2">
        <f>Cleaned_Data!G16</f>
        <v/>
      </c>
      <c r="D16" s="2">
        <f>Cleaned_Data!I16</f>
        <v/>
      </c>
      <c r="E16" s="2">
        <f>Cleaned_Data!H16</f>
        <v/>
      </c>
      <c r="F16" s="2">
        <f>Cleaned_Data!F16</f>
        <v/>
      </c>
      <c r="G16" s="9">
        <f>SUMPRODUCT(($B$2:$B$1196=B16)*($F$2:$F$1196&lt;=F16))/SUMPRODUCT(($B$2:$B$1196=B16)*1)</f>
        <v/>
      </c>
      <c r="H16" s="2">
        <f>Cleaned_Data!J16</f>
        <v/>
      </c>
      <c r="I16" s="2">
        <f>Cleaned_Data!E16</f>
        <v/>
      </c>
      <c r="J16" s="2">
        <f>IF(C16="Yes",1,0)</f>
        <v/>
      </c>
      <c r="K16" s="2">
        <f>MIN(MAX(1-(D16-1)/4,0),1)</f>
        <v/>
      </c>
      <c r="L16" s="2">
        <f>MIN(E16/60,1)</f>
        <v/>
      </c>
      <c r="M16" s="2">
        <f>MIN(MAX(1-G16,0),1)</f>
        <v/>
      </c>
      <c r="N16" s="2">
        <f>MIN(MAX(1-(H16-1)/4,0),1)</f>
        <v/>
      </c>
      <c r="O16" s="2">
        <f>1-MIN(I16/8,1)</f>
        <v/>
      </c>
      <c r="P16" s="10">
        <f>ROUND(100*(J16*Assumptions!$B$6+K16*Assumptions!$B$7+L16*Assumptions!$B$8+M16*Assumptions!$B$9+N16*Assumptions!$B$10+O16*Assumptions!$B$11),1)</f>
        <v/>
      </c>
      <c r="Q16" s="2">
        <f>IF(P16&gt;=Assumptions!$B$14,"High",IF(P16&gt;=Assumptions!$B$15,"Medium","Low"))</f>
        <v/>
      </c>
      <c r="R16" s="2">
        <f>Cleaned_Data!L16</f>
        <v/>
      </c>
    </row>
    <row r="17">
      <c r="A17" s="2">
        <f>Cleaned_Data!A17</f>
        <v/>
      </c>
      <c r="B17" s="2">
        <f>Cleaned_Data!B17</f>
        <v/>
      </c>
      <c r="C17" s="2">
        <f>Cleaned_Data!G17</f>
        <v/>
      </c>
      <c r="D17" s="2">
        <f>Cleaned_Data!I17</f>
        <v/>
      </c>
      <c r="E17" s="2">
        <f>Cleaned_Data!H17</f>
        <v/>
      </c>
      <c r="F17" s="2">
        <f>Cleaned_Data!F17</f>
        <v/>
      </c>
      <c r="G17" s="9">
        <f>SUMPRODUCT(($B$2:$B$1196=B17)*($F$2:$F$1196&lt;=F17))/SUMPRODUCT(($B$2:$B$1196=B17)*1)</f>
        <v/>
      </c>
      <c r="H17" s="2">
        <f>Cleaned_Data!J17</f>
        <v/>
      </c>
      <c r="I17" s="2">
        <f>Cleaned_Data!E17</f>
        <v/>
      </c>
      <c r="J17" s="2">
        <f>IF(C17="Yes",1,0)</f>
        <v/>
      </c>
      <c r="K17" s="2">
        <f>MIN(MAX(1-(D17-1)/4,0),1)</f>
        <v/>
      </c>
      <c r="L17" s="2">
        <f>MIN(E17/60,1)</f>
        <v/>
      </c>
      <c r="M17" s="2">
        <f>MIN(MAX(1-G17,0),1)</f>
        <v/>
      </c>
      <c r="N17" s="2">
        <f>MIN(MAX(1-(H17-1)/4,0),1)</f>
        <v/>
      </c>
      <c r="O17" s="2">
        <f>1-MIN(I17/8,1)</f>
        <v/>
      </c>
      <c r="P17" s="10">
        <f>ROUND(100*(J17*Assumptions!$B$6+K17*Assumptions!$B$7+L17*Assumptions!$B$8+M17*Assumptions!$B$9+N17*Assumptions!$B$10+O17*Assumptions!$B$11),1)</f>
        <v/>
      </c>
      <c r="Q17" s="2">
        <f>IF(P17&gt;=Assumptions!$B$14,"High",IF(P17&gt;=Assumptions!$B$15,"Medium","Low"))</f>
        <v/>
      </c>
      <c r="R17" s="2">
        <f>Cleaned_Data!L17</f>
        <v/>
      </c>
    </row>
    <row r="18">
      <c r="A18" s="2">
        <f>Cleaned_Data!A18</f>
        <v/>
      </c>
      <c r="B18" s="2">
        <f>Cleaned_Data!B18</f>
        <v/>
      </c>
      <c r="C18" s="2">
        <f>Cleaned_Data!G18</f>
        <v/>
      </c>
      <c r="D18" s="2">
        <f>Cleaned_Data!I18</f>
        <v/>
      </c>
      <c r="E18" s="2">
        <f>Cleaned_Data!H18</f>
        <v/>
      </c>
      <c r="F18" s="2">
        <f>Cleaned_Data!F18</f>
        <v/>
      </c>
      <c r="G18" s="9">
        <f>SUMPRODUCT(($B$2:$B$1196=B18)*($F$2:$F$1196&lt;=F18))/SUMPRODUCT(($B$2:$B$1196=B18)*1)</f>
        <v/>
      </c>
      <c r="H18" s="2">
        <f>Cleaned_Data!J18</f>
        <v/>
      </c>
      <c r="I18" s="2">
        <f>Cleaned_Data!E18</f>
        <v/>
      </c>
      <c r="J18" s="2">
        <f>IF(C18="Yes",1,0)</f>
        <v/>
      </c>
      <c r="K18" s="2">
        <f>MIN(MAX(1-(D18-1)/4,0),1)</f>
        <v/>
      </c>
      <c r="L18" s="2">
        <f>MIN(E18/60,1)</f>
        <v/>
      </c>
      <c r="M18" s="2">
        <f>MIN(MAX(1-G18,0),1)</f>
        <v/>
      </c>
      <c r="N18" s="2">
        <f>MIN(MAX(1-(H18-1)/4,0),1)</f>
        <v/>
      </c>
      <c r="O18" s="2">
        <f>1-MIN(I18/8,1)</f>
        <v/>
      </c>
      <c r="P18" s="10">
        <f>ROUND(100*(J18*Assumptions!$B$6+K18*Assumptions!$B$7+L18*Assumptions!$B$8+M18*Assumptions!$B$9+N18*Assumptions!$B$10+O18*Assumptions!$B$11),1)</f>
        <v/>
      </c>
      <c r="Q18" s="2">
        <f>IF(P18&gt;=Assumptions!$B$14,"High",IF(P18&gt;=Assumptions!$B$15,"Medium","Low"))</f>
        <v/>
      </c>
      <c r="R18" s="2">
        <f>Cleaned_Data!L18</f>
        <v/>
      </c>
    </row>
    <row r="19">
      <c r="A19" s="2">
        <f>Cleaned_Data!A19</f>
        <v/>
      </c>
      <c r="B19" s="2">
        <f>Cleaned_Data!B19</f>
        <v/>
      </c>
      <c r="C19" s="2">
        <f>Cleaned_Data!G19</f>
        <v/>
      </c>
      <c r="D19" s="2">
        <f>Cleaned_Data!I19</f>
        <v/>
      </c>
      <c r="E19" s="2">
        <f>Cleaned_Data!H19</f>
        <v/>
      </c>
      <c r="F19" s="2">
        <f>Cleaned_Data!F19</f>
        <v/>
      </c>
      <c r="G19" s="9">
        <f>SUMPRODUCT(($B$2:$B$1196=B19)*($F$2:$F$1196&lt;=F19))/SUMPRODUCT(($B$2:$B$1196=B19)*1)</f>
        <v/>
      </c>
      <c r="H19" s="2">
        <f>Cleaned_Data!J19</f>
        <v/>
      </c>
      <c r="I19" s="2">
        <f>Cleaned_Data!E19</f>
        <v/>
      </c>
      <c r="J19" s="2">
        <f>IF(C19="Yes",1,0)</f>
        <v/>
      </c>
      <c r="K19" s="2">
        <f>MIN(MAX(1-(D19-1)/4,0),1)</f>
        <v/>
      </c>
      <c r="L19" s="2">
        <f>MIN(E19/60,1)</f>
        <v/>
      </c>
      <c r="M19" s="2">
        <f>MIN(MAX(1-G19,0),1)</f>
        <v/>
      </c>
      <c r="N19" s="2">
        <f>MIN(MAX(1-(H19-1)/4,0),1)</f>
        <v/>
      </c>
      <c r="O19" s="2">
        <f>1-MIN(I19/8,1)</f>
        <v/>
      </c>
      <c r="P19" s="10">
        <f>ROUND(100*(J19*Assumptions!$B$6+K19*Assumptions!$B$7+L19*Assumptions!$B$8+M19*Assumptions!$B$9+N19*Assumptions!$B$10+O19*Assumptions!$B$11),1)</f>
        <v/>
      </c>
      <c r="Q19" s="2">
        <f>IF(P19&gt;=Assumptions!$B$14,"High",IF(P19&gt;=Assumptions!$B$15,"Medium","Low"))</f>
        <v/>
      </c>
      <c r="R19" s="2">
        <f>Cleaned_Data!L19</f>
        <v/>
      </c>
    </row>
    <row r="20">
      <c r="A20" s="2">
        <f>Cleaned_Data!A20</f>
        <v/>
      </c>
      <c r="B20" s="2">
        <f>Cleaned_Data!B20</f>
        <v/>
      </c>
      <c r="C20" s="2">
        <f>Cleaned_Data!G20</f>
        <v/>
      </c>
      <c r="D20" s="2">
        <f>Cleaned_Data!I20</f>
        <v/>
      </c>
      <c r="E20" s="2">
        <f>Cleaned_Data!H20</f>
        <v/>
      </c>
      <c r="F20" s="2">
        <f>Cleaned_Data!F20</f>
        <v/>
      </c>
      <c r="G20" s="9">
        <f>SUMPRODUCT(($B$2:$B$1196=B20)*($F$2:$F$1196&lt;=F20))/SUMPRODUCT(($B$2:$B$1196=B20)*1)</f>
        <v/>
      </c>
      <c r="H20" s="2">
        <f>Cleaned_Data!J20</f>
        <v/>
      </c>
      <c r="I20" s="2">
        <f>Cleaned_Data!E20</f>
        <v/>
      </c>
      <c r="J20" s="2">
        <f>IF(C20="Yes",1,0)</f>
        <v/>
      </c>
      <c r="K20" s="2">
        <f>MIN(MAX(1-(D20-1)/4,0),1)</f>
        <v/>
      </c>
      <c r="L20" s="2">
        <f>MIN(E20/60,1)</f>
        <v/>
      </c>
      <c r="M20" s="2">
        <f>MIN(MAX(1-G20,0),1)</f>
        <v/>
      </c>
      <c r="N20" s="2">
        <f>MIN(MAX(1-(H20-1)/4,0),1)</f>
        <v/>
      </c>
      <c r="O20" s="2">
        <f>1-MIN(I20/8,1)</f>
        <v/>
      </c>
      <c r="P20" s="10">
        <f>ROUND(100*(J20*Assumptions!$B$6+K20*Assumptions!$B$7+L20*Assumptions!$B$8+M20*Assumptions!$B$9+N20*Assumptions!$B$10+O20*Assumptions!$B$11),1)</f>
        <v/>
      </c>
      <c r="Q20" s="2">
        <f>IF(P20&gt;=Assumptions!$B$14,"High",IF(P20&gt;=Assumptions!$B$15,"Medium","Low"))</f>
        <v/>
      </c>
      <c r="R20" s="2">
        <f>Cleaned_Data!L20</f>
        <v/>
      </c>
    </row>
    <row r="21">
      <c r="A21" s="2">
        <f>Cleaned_Data!A21</f>
        <v/>
      </c>
      <c r="B21" s="2">
        <f>Cleaned_Data!B21</f>
        <v/>
      </c>
      <c r="C21" s="2">
        <f>Cleaned_Data!G21</f>
        <v/>
      </c>
      <c r="D21" s="2">
        <f>Cleaned_Data!I21</f>
        <v/>
      </c>
      <c r="E21" s="2">
        <f>Cleaned_Data!H21</f>
        <v/>
      </c>
      <c r="F21" s="2">
        <f>Cleaned_Data!F21</f>
        <v/>
      </c>
      <c r="G21" s="9">
        <f>SUMPRODUCT(($B$2:$B$1196=B21)*($F$2:$F$1196&lt;=F21))/SUMPRODUCT(($B$2:$B$1196=B21)*1)</f>
        <v/>
      </c>
      <c r="H21" s="2">
        <f>Cleaned_Data!J21</f>
        <v/>
      </c>
      <c r="I21" s="2">
        <f>Cleaned_Data!E21</f>
        <v/>
      </c>
      <c r="J21" s="2">
        <f>IF(C21="Yes",1,0)</f>
        <v/>
      </c>
      <c r="K21" s="2">
        <f>MIN(MAX(1-(D21-1)/4,0),1)</f>
        <v/>
      </c>
      <c r="L21" s="2">
        <f>MIN(E21/60,1)</f>
        <v/>
      </c>
      <c r="M21" s="2">
        <f>MIN(MAX(1-G21,0),1)</f>
        <v/>
      </c>
      <c r="N21" s="2">
        <f>MIN(MAX(1-(H21-1)/4,0),1)</f>
        <v/>
      </c>
      <c r="O21" s="2">
        <f>1-MIN(I21/8,1)</f>
        <v/>
      </c>
      <c r="P21" s="10">
        <f>ROUND(100*(J21*Assumptions!$B$6+K21*Assumptions!$B$7+L21*Assumptions!$B$8+M21*Assumptions!$B$9+N21*Assumptions!$B$10+O21*Assumptions!$B$11),1)</f>
        <v/>
      </c>
      <c r="Q21" s="2">
        <f>IF(P21&gt;=Assumptions!$B$14,"High",IF(P21&gt;=Assumptions!$B$15,"Medium","Low"))</f>
        <v/>
      </c>
      <c r="R21" s="2">
        <f>Cleaned_Data!L21</f>
        <v/>
      </c>
    </row>
    <row r="22">
      <c r="A22" s="2">
        <f>Cleaned_Data!A22</f>
        <v/>
      </c>
      <c r="B22" s="2">
        <f>Cleaned_Data!B22</f>
        <v/>
      </c>
      <c r="C22" s="2">
        <f>Cleaned_Data!G22</f>
        <v/>
      </c>
      <c r="D22" s="2">
        <f>Cleaned_Data!I22</f>
        <v/>
      </c>
      <c r="E22" s="2">
        <f>Cleaned_Data!H22</f>
        <v/>
      </c>
      <c r="F22" s="2">
        <f>Cleaned_Data!F22</f>
        <v/>
      </c>
      <c r="G22" s="9">
        <f>SUMPRODUCT(($B$2:$B$1196=B22)*($F$2:$F$1196&lt;=F22))/SUMPRODUCT(($B$2:$B$1196=B22)*1)</f>
        <v/>
      </c>
      <c r="H22" s="2">
        <f>Cleaned_Data!J22</f>
        <v/>
      </c>
      <c r="I22" s="2">
        <f>Cleaned_Data!E22</f>
        <v/>
      </c>
      <c r="J22" s="2">
        <f>IF(C22="Yes",1,0)</f>
        <v/>
      </c>
      <c r="K22" s="2">
        <f>MIN(MAX(1-(D22-1)/4,0),1)</f>
        <v/>
      </c>
      <c r="L22" s="2">
        <f>MIN(E22/60,1)</f>
        <v/>
      </c>
      <c r="M22" s="2">
        <f>MIN(MAX(1-G22,0),1)</f>
        <v/>
      </c>
      <c r="N22" s="2">
        <f>MIN(MAX(1-(H22-1)/4,0),1)</f>
        <v/>
      </c>
      <c r="O22" s="2">
        <f>1-MIN(I22/8,1)</f>
        <v/>
      </c>
      <c r="P22" s="10">
        <f>ROUND(100*(J22*Assumptions!$B$6+K22*Assumptions!$B$7+L22*Assumptions!$B$8+M22*Assumptions!$B$9+N22*Assumptions!$B$10+O22*Assumptions!$B$11),1)</f>
        <v/>
      </c>
      <c r="Q22" s="2">
        <f>IF(P22&gt;=Assumptions!$B$14,"High",IF(P22&gt;=Assumptions!$B$15,"Medium","Low"))</f>
        <v/>
      </c>
      <c r="R22" s="2">
        <f>Cleaned_Data!L22</f>
        <v/>
      </c>
    </row>
    <row r="23">
      <c r="A23" s="2">
        <f>Cleaned_Data!A23</f>
        <v/>
      </c>
      <c r="B23" s="2">
        <f>Cleaned_Data!B23</f>
        <v/>
      </c>
      <c r="C23" s="2">
        <f>Cleaned_Data!G23</f>
        <v/>
      </c>
      <c r="D23" s="2">
        <f>Cleaned_Data!I23</f>
        <v/>
      </c>
      <c r="E23" s="2">
        <f>Cleaned_Data!H23</f>
        <v/>
      </c>
      <c r="F23" s="2">
        <f>Cleaned_Data!F23</f>
        <v/>
      </c>
      <c r="G23" s="9">
        <f>SUMPRODUCT(($B$2:$B$1196=B23)*($F$2:$F$1196&lt;=F23))/SUMPRODUCT(($B$2:$B$1196=B23)*1)</f>
        <v/>
      </c>
      <c r="H23" s="2">
        <f>Cleaned_Data!J23</f>
        <v/>
      </c>
      <c r="I23" s="2">
        <f>Cleaned_Data!E23</f>
        <v/>
      </c>
      <c r="J23" s="2">
        <f>IF(C23="Yes",1,0)</f>
        <v/>
      </c>
      <c r="K23" s="2">
        <f>MIN(MAX(1-(D23-1)/4,0),1)</f>
        <v/>
      </c>
      <c r="L23" s="2">
        <f>MIN(E23/60,1)</f>
        <v/>
      </c>
      <c r="M23" s="2">
        <f>MIN(MAX(1-G23,0),1)</f>
        <v/>
      </c>
      <c r="N23" s="2">
        <f>MIN(MAX(1-(H23-1)/4,0),1)</f>
        <v/>
      </c>
      <c r="O23" s="2">
        <f>1-MIN(I23/8,1)</f>
        <v/>
      </c>
      <c r="P23" s="10">
        <f>ROUND(100*(J23*Assumptions!$B$6+K23*Assumptions!$B$7+L23*Assumptions!$B$8+M23*Assumptions!$B$9+N23*Assumptions!$B$10+O23*Assumptions!$B$11),1)</f>
        <v/>
      </c>
      <c r="Q23" s="2">
        <f>IF(P23&gt;=Assumptions!$B$14,"High",IF(P23&gt;=Assumptions!$B$15,"Medium","Low"))</f>
        <v/>
      </c>
      <c r="R23" s="2">
        <f>Cleaned_Data!L23</f>
        <v/>
      </c>
    </row>
    <row r="24">
      <c r="A24" s="2">
        <f>Cleaned_Data!A24</f>
        <v/>
      </c>
      <c r="B24" s="2">
        <f>Cleaned_Data!B24</f>
        <v/>
      </c>
      <c r="C24" s="2">
        <f>Cleaned_Data!G24</f>
        <v/>
      </c>
      <c r="D24" s="2">
        <f>Cleaned_Data!I24</f>
        <v/>
      </c>
      <c r="E24" s="2">
        <f>Cleaned_Data!H24</f>
        <v/>
      </c>
      <c r="F24" s="2">
        <f>Cleaned_Data!F24</f>
        <v/>
      </c>
      <c r="G24" s="9">
        <f>SUMPRODUCT(($B$2:$B$1196=B24)*($F$2:$F$1196&lt;=F24))/SUMPRODUCT(($B$2:$B$1196=B24)*1)</f>
        <v/>
      </c>
      <c r="H24" s="2">
        <f>Cleaned_Data!J24</f>
        <v/>
      </c>
      <c r="I24" s="2">
        <f>Cleaned_Data!E24</f>
        <v/>
      </c>
      <c r="J24" s="2">
        <f>IF(C24="Yes",1,0)</f>
        <v/>
      </c>
      <c r="K24" s="2">
        <f>MIN(MAX(1-(D24-1)/4,0),1)</f>
        <v/>
      </c>
      <c r="L24" s="2">
        <f>MIN(E24/60,1)</f>
        <v/>
      </c>
      <c r="M24" s="2">
        <f>MIN(MAX(1-G24,0),1)</f>
        <v/>
      </c>
      <c r="N24" s="2">
        <f>MIN(MAX(1-(H24-1)/4,0),1)</f>
        <v/>
      </c>
      <c r="O24" s="2">
        <f>1-MIN(I24/8,1)</f>
        <v/>
      </c>
      <c r="P24" s="10">
        <f>ROUND(100*(J24*Assumptions!$B$6+K24*Assumptions!$B$7+L24*Assumptions!$B$8+M24*Assumptions!$B$9+N24*Assumptions!$B$10+O24*Assumptions!$B$11),1)</f>
        <v/>
      </c>
      <c r="Q24" s="2">
        <f>IF(P24&gt;=Assumptions!$B$14,"High",IF(P24&gt;=Assumptions!$B$15,"Medium","Low"))</f>
        <v/>
      </c>
      <c r="R24" s="2">
        <f>Cleaned_Data!L24</f>
        <v/>
      </c>
    </row>
    <row r="25">
      <c r="A25" s="2">
        <f>Cleaned_Data!A25</f>
        <v/>
      </c>
      <c r="B25" s="2">
        <f>Cleaned_Data!B25</f>
        <v/>
      </c>
      <c r="C25" s="2">
        <f>Cleaned_Data!G25</f>
        <v/>
      </c>
      <c r="D25" s="2">
        <f>Cleaned_Data!I25</f>
        <v/>
      </c>
      <c r="E25" s="2">
        <f>Cleaned_Data!H25</f>
        <v/>
      </c>
      <c r="F25" s="2">
        <f>Cleaned_Data!F25</f>
        <v/>
      </c>
      <c r="G25" s="9">
        <f>SUMPRODUCT(($B$2:$B$1196=B25)*($F$2:$F$1196&lt;=F25))/SUMPRODUCT(($B$2:$B$1196=B25)*1)</f>
        <v/>
      </c>
      <c r="H25" s="2">
        <f>Cleaned_Data!J25</f>
        <v/>
      </c>
      <c r="I25" s="2">
        <f>Cleaned_Data!E25</f>
        <v/>
      </c>
      <c r="J25" s="2">
        <f>IF(C25="Yes",1,0)</f>
        <v/>
      </c>
      <c r="K25" s="2">
        <f>MIN(MAX(1-(D25-1)/4,0),1)</f>
        <v/>
      </c>
      <c r="L25" s="2">
        <f>MIN(E25/60,1)</f>
        <v/>
      </c>
      <c r="M25" s="2">
        <f>MIN(MAX(1-G25,0),1)</f>
        <v/>
      </c>
      <c r="N25" s="2">
        <f>MIN(MAX(1-(H25-1)/4,0),1)</f>
        <v/>
      </c>
      <c r="O25" s="2">
        <f>1-MIN(I25/8,1)</f>
        <v/>
      </c>
      <c r="P25" s="10">
        <f>ROUND(100*(J25*Assumptions!$B$6+K25*Assumptions!$B$7+L25*Assumptions!$B$8+M25*Assumptions!$B$9+N25*Assumptions!$B$10+O25*Assumptions!$B$11),1)</f>
        <v/>
      </c>
      <c r="Q25" s="2">
        <f>IF(P25&gt;=Assumptions!$B$14,"High",IF(P25&gt;=Assumptions!$B$15,"Medium","Low"))</f>
        <v/>
      </c>
      <c r="R25" s="2">
        <f>Cleaned_Data!L25</f>
        <v/>
      </c>
    </row>
    <row r="26">
      <c r="A26" s="2">
        <f>Cleaned_Data!A26</f>
        <v/>
      </c>
      <c r="B26" s="2">
        <f>Cleaned_Data!B26</f>
        <v/>
      </c>
      <c r="C26" s="2">
        <f>Cleaned_Data!G26</f>
        <v/>
      </c>
      <c r="D26" s="2">
        <f>Cleaned_Data!I26</f>
        <v/>
      </c>
      <c r="E26" s="2">
        <f>Cleaned_Data!H26</f>
        <v/>
      </c>
      <c r="F26" s="2">
        <f>Cleaned_Data!F26</f>
        <v/>
      </c>
      <c r="G26" s="9">
        <f>SUMPRODUCT(($B$2:$B$1196=B26)*($F$2:$F$1196&lt;=F26))/SUMPRODUCT(($B$2:$B$1196=B26)*1)</f>
        <v/>
      </c>
      <c r="H26" s="2">
        <f>Cleaned_Data!J26</f>
        <v/>
      </c>
      <c r="I26" s="2">
        <f>Cleaned_Data!E26</f>
        <v/>
      </c>
      <c r="J26" s="2">
        <f>IF(C26="Yes",1,0)</f>
        <v/>
      </c>
      <c r="K26" s="2">
        <f>MIN(MAX(1-(D26-1)/4,0),1)</f>
        <v/>
      </c>
      <c r="L26" s="2">
        <f>MIN(E26/60,1)</f>
        <v/>
      </c>
      <c r="M26" s="2">
        <f>MIN(MAX(1-G26,0),1)</f>
        <v/>
      </c>
      <c r="N26" s="2">
        <f>MIN(MAX(1-(H26-1)/4,0),1)</f>
        <v/>
      </c>
      <c r="O26" s="2">
        <f>1-MIN(I26/8,1)</f>
        <v/>
      </c>
      <c r="P26" s="10">
        <f>ROUND(100*(J26*Assumptions!$B$6+K26*Assumptions!$B$7+L26*Assumptions!$B$8+M26*Assumptions!$B$9+N26*Assumptions!$B$10+O26*Assumptions!$B$11),1)</f>
        <v/>
      </c>
      <c r="Q26" s="2">
        <f>IF(P26&gt;=Assumptions!$B$14,"High",IF(P26&gt;=Assumptions!$B$15,"Medium","Low"))</f>
        <v/>
      </c>
      <c r="R26" s="2">
        <f>Cleaned_Data!L26</f>
        <v/>
      </c>
    </row>
    <row r="27">
      <c r="A27" s="2">
        <f>Cleaned_Data!A27</f>
        <v/>
      </c>
      <c r="B27" s="2">
        <f>Cleaned_Data!B27</f>
        <v/>
      </c>
      <c r="C27" s="2">
        <f>Cleaned_Data!G27</f>
        <v/>
      </c>
      <c r="D27" s="2">
        <f>Cleaned_Data!I27</f>
        <v/>
      </c>
      <c r="E27" s="2">
        <f>Cleaned_Data!H27</f>
        <v/>
      </c>
      <c r="F27" s="2">
        <f>Cleaned_Data!F27</f>
        <v/>
      </c>
      <c r="G27" s="9">
        <f>SUMPRODUCT(($B$2:$B$1196=B27)*($F$2:$F$1196&lt;=F27))/SUMPRODUCT(($B$2:$B$1196=B27)*1)</f>
        <v/>
      </c>
      <c r="H27" s="2">
        <f>Cleaned_Data!J27</f>
        <v/>
      </c>
      <c r="I27" s="2">
        <f>Cleaned_Data!E27</f>
        <v/>
      </c>
      <c r="J27" s="2">
        <f>IF(C27="Yes",1,0)</f>
        <v/>
      </c>
      <c r="K27" s="2">
        <f>MIN(MAX(1-(D27-1)/4,0),1)</f>
        <v/>
      </c>
      <c r="L27" s="2">
        <f>MIN(E27/60,1)</f>
        <v/>
      </c>
      <c r="M27" s="2">
        <f>MIN(MAX(1-G27,0),1)</f>
        <v/>
      </c>
      <c r="N27" s="2">
        <f>MIN(MAX(1-(H27-1)/4,0),1)</f>
        <v/>
      </c>
      <c r="O27" s="2">
        <f>1-MIN(I27/8,1)</f>
        <v/>
      </c>
      <c r="P27" s="10">
        <f>ROUND(100*(J27*Assumptions!$B$6+K27*Assumptions!$B$7+L27*Assumptions!$B$8+M27*Assumptions!$B$9+N27*Assumptions!$B$10+O27*Assumptions!$B$11),1)</f>
        <v/>
      </c>
      <c r="Q27" s="2">
        <f>IF(P27&gt;=Assumptions!$B$14,"High",IF(P27&gt;=Assumptions!$B$15,"Medium","Low"))</f>
        <v/>
      </c>
      <c r="R27" s="2">
        <f>Cleaned_Data!L27</f>
        <v/>
      </c>
    </row>
    <row r="28">
      <c r="A28" s="2">
        <f>Cleaned_Data!A28</f>
        <v/>
      </c>
      <c r="B28" s="2">
        <f>Cleaned_Data!B28</f>
        <v/>
      </c>
      <c r="C28" s="2">
        <f>Cleaned_Data!G28</f>
        <v/>
      </c>
      <c r="D28" s="2">
        <f>Cleaned_Data!I28</f>
        <v/>
      </c>
      <c r="E28" s="2">
        <f>Cleaned_Data!H28</f>
        <v/>
      </c>
      <c r="F28" s="2">
        <f>Cleaned_Data!F28</f>
        <v/>
      </c>
      <c r="G28" s="9">
        <f>SUMPRODUCT(($B$2:$B$1196=B28)*($F$2:$F$1196&lt;=F28))/SUMPRODUCT(($B$2:$B$1196=B28)*1)</f>
        <v/>
      </c>
      <c r="H28" s="2">
        <f>Cleaned_Data!J28</f>
        <v/>
      </c>
      <c r="I28" s="2">
        <f>Cleaned_Data!E28</f>
        <v/>
      </c>
      <c r="J28" s="2">
        <f>IF(C28="Yes",1,0)</f>
        <v/>
      </c>
      <c r="K28" s="2">
        <f>MIN(MAX(1-(D28-1)/4,0),1)</f>
        <v/>
      </c>
      <c r="L28" s="2">
        <f>MIN(E28/60,1)</f>
        <v/>
      </c>
      <c r="M28" s="2">
        <f>MIN(MAX(1-G28,0),1)</f>
        <v/>
      </c>
      <c r="N28" s="2">
        <f>MIN(MAX(1-(H28-1)/4,0),1)</f>
        <v/>
      </c>
      <c r="O28" s="2">
        <f>1-MIN(I28/8,1)</f>
        <v/>
      </c>
      <c r="P28" s="10">
        <f>ROUND(100*(J28*Assumptions!$B$6+K28*Assumptions!$B$7+L28*Assumptions!$B$8+M28*Assumptions!$B$9+N28*Assumptions!$B$10+O28*Assumptions!$B$11),1)</f>
        <v/>
      </c>
      <c r="Q28" s="2">
        <f>IF(P28&gt;=Assumptions!$B$14,"High",IF(P28&gt;=Assumptions!$B$15,"Medium","Low"))</f>
        <v/>
      </c>
      <c r="R28" s="2">
        <f>Cleaned_Data!L28</f>
        <v/>
      </c>
    </row>
    <row r="29">
      <c r="A29" s="2">
        <f>Cleaned_Data!A29</f>
        <v/>
      </c>
      <c r="B29" s="2">
        <f>Cleaned_Data!B29</f>
        <v/>
      </c>
      <c r="C29" s="2">
        <f>Cleaned_Data!G29</f>
        <v/>
      </c>
      <c r="D29" s="2">
        <f>Cleaned_Data!I29</f>
        <v/>
      </c>
      <c r="E29" s="2">
        <f>Cleaned_Data!H29</f>
        <v/>
      </c>
      <c r="F29" s="2">
        <f>Cleaned_Data!F29</f>
        <v/>
      </c>
      <c r="G29" s="9">
        <f>SUMPRODUCT(($B$2:$B$1196=B29)*($F$2:$F$1196&lt;=F29))/SUMPRODUCT(($B$2:$B$1196=B29)*1)</f>
        <v/>
      </c>
      <c r="H29" s="2">
        <f>Cleaned_Data!J29</f>
        <v/>
      </c>
      <c r="I29" s="2">
        <f>Cleaned_Data!E29</f>
        <v/>
      </c>
      <c r="J29" s="2">
        <f>IF(C29="Yes",1,0)</f>
        <v/>
      </c>
      <c r="K29" s="2">
        <f>MIN(MAX(1-(D29-1)/4,0),1)</f>
        <v/>
      </c>
      <c r="L29" s="2">
        <f>MIN(E29/60,1)</f>
        <v/>
      </c>
      <c r="M29" s="2">
        <f>MIN(MAX(1-G29,0),1)</f>
        <v/>
      </c>
      <c r="N29" s="2">
        <f>MIN(MAX(1-(H29-1)/4,0),1)</f>
        <v/>
      </c>
      <c r="O29" s="2">
        <f>1-MIN(I29/8,1)</f>
        <v/>
      </c>
      <c r="P29" s="10">
        <f>ROUND(100*(J29*Assumptions!$B$6+K29*Assumptions!$B$7+L29*Assumptions!$B$8+M29*Assumptions!$B$9+N29*Assumptions!$B$10+O29*Assumptions!$B$11),1)</f>
        <v/>
      </c>
      <c r="Q29" s="2">
        <f>IF(P29&gt;=Assumptions!$B$14,"High",IF(P29&gt;=Assumptions!$B$15,"Medium","Low"))</f>
        <v/>
      </c>
      <c r="R29" s="2">
        <f>Cleaned_Data!L29</f>
        <v/>
      </c>
    </row>
    <row r="30">
      <c r="A30" s="2">
        <f>Cleaned_Data!A30</f>
        <v/>
      </c>
      <c r="B30" s="2">
        <f>Cleaned_Data!B30</f>
        <v/>
      </c>
      <c r="C30" s="2">
        <f>Cleaned_Data!G30</f>
        <v/>
      </c>
      <c r="D30" s="2">
        <f>Cleaned_Data!I30</f>
        <v/>
      </c>
      <c r="E30" s="2">
        <f>Cleaned_Data!H30</f>
        <v/>
      </c>
      <c r="F30" s="2">
        <f>Cleaned_Data!F30</f>
        <v/>
      </c>
      <c r="G30" s="9">
        <f>SUMPRODUCT(($B$2:$B$1196=B30)*($F$2:$F$1196&lt;=F30))/SUMPRODUCT(($B$2:$B$1196=B30)*1)</f>
        <v/>
      </c>
      <c r="H30" s="2">
        <f>Cleaned_Data!J30</f>
        <v/>
      </c>
      <c r="I30" s="2">
        <f>Cleaned_Data!E30</f>
        <v/>
      </c>
      <c r="J30" s="2">
        <f>IF(C30="Yes",1,0)</f>
        <v/>
      </c>
      <c r="K30" s="2">
        <f>MIN(MAX(1-(D30-1)/4,0),1)</f>
        <v/>
      </c>
      <c r="L30" s="2">
        <f>MIN(E30/60,1)</f>
        <v/>
      </c>
      <c r="M30" s="2">
        <f>MIN(MAX(1-G30,0),1)</f>
        <v/>
      </c>
      <c r="N30" s="2">
        <f>MIN(MAX(1-(H30-1)/4,0),1)</f>
        <v/>
      </c>
      <c r="O30" s="2">
        <f>1-MIN(I30/8,1)</f>
        <v/>
      </c>
      <c r="P30" s="10">
        <f>ROUND(100*(J30*Assumptions!$B$6+K30*Assumptions!$B$7+L30*Assumptions!$B$8+M30*Assumptions!$B$9+N30*Assumptions!$B$10+O30*Assumptions!$B$11),1)</f>
        <v/>
      </c>
      <c r="Q30" s="2">
        <f>IF(P30&gt;=Assumptions!$B$14,"High",IF(P30&gt;=Assumptions!$B$15,"Medium","Low"))</f>
        <v/>
      </c>
      <c r="R30" s="2">
        <f>Cleaned_Data!L30</f>
        <v/>
      </c>
    </row>
    <row r="31">
      <c r="A31" s="2">
        <f>Cleaned_Data!A31</f>
        <v/>
      </c>
      <c r="B31" s="2">
        <f>Cleaned_Data!B31</f>
        <v/>
      </c>
      <c r="C31" s="2">
        <f>Cleaned_Data!G31</f>
        <v/>
      </c>
      <c r="D31" s="2">
        <f>Cleaned_Data!I31</f>
        <v/>
      </c>
      <c r="E31" s="2">
        <f>Cleaned_Data!H31</f>
        <v/>
      </c>
      <c r="F31" s="2">
        <f>Cleaned_Data!F31</f>
        <v/>
      </c>
      <c r="G31" s="9">
        <f>SUMPRODUCT(($B$2:$B$1196=B31)*($F$2:$F$1196&lt;=F31))/SUMPRODUCT(($B$2:$B$1196=B31)*1)</f>
        <v/>
      </c>
      <c r="H31" s="2">
        <f>Cleaned_Data!J31</f>
        <v/>
      </c>
      <c r="I31" s="2">
        <f>Cleaned_Data!E31</f>
        <v/>
      </c>
      <c r="J31" s="2">
        <f>IF(C31="Yes",1,0)</f>
        <v/>
      </c>
      <c r="K31" s="2">
        <f>MIN(MAX(1-(D31-1)/4,0),1)</f>
        <v/>
      </c>
      <c r="L31" s="2">
        <f>MIN(E31/60,1)</f>
        <v/>
      </c>
      <c r="M31" s="2">
        <f>MIN(MAX(1-G31,0),1)</f>
        <v/>
      </c>
      <c r="N31" s="2">
        <f>MIN(MAX(1-(H31-1)/4,0),1)</f>
        <v/>
      </c>
      <c r="O31" s="2">
        <f>1-MIN(I31/8,1)</f>
        <v/>
      </c>
      <c r="P31" s="10">
        <f>ROUND(100*(J31*Assumptions!$B$6+K31*Assumptions!$B$7+L31*Assumptions!$B$8+M31*Assumptions!$B$9+N31*Assumptions!$B$10+O31*Assumptions!$B$11),1)</f>
        <v/>
      </c>
      <c r="Q31" s="2">
        <f>IF(P31&gt;=Assumptions!$B$14,"High",IF(P31&gt;=Assumptions!$B$15,"Medium","Low"))</f>
        <v/>
      </c>
      <c r="R31" s="2">
        <f>Cleaned_Data!L31</f>
        <v/>
      </c>
    </row>
    <row r="32">
      <c r="A32" s="2">
        <f>Cleaned_Data!A32</f>
        <v/>
      </c>
      <c r="B32" s="2">
        <f>Cleaned_Data!B32</f>
        <v/>
      </c>
      <c r="C32" s="2">
        <f>Cleaned_Data!G32</f>
        <v/>
      </c>
      <c r="D32" s="2">
        <f>Cleaned_Data!I32</f>
        <v/>
      </c>
      <c r="E32" s="2">
        <f>Cleaned_Data!H32</f>
        <v/>
      </c>
      <c r="F32" s="2">
        <f>Cleaned_Data!F32</f>
        <v/>
      </c>
      <c r="G32" s="9">
        <f>SUMPRODUCT(($B$2:$B$1196=B32)*($F$2:$F$1196&lt;=F32))/SUMPRODUCT(($B$2:$B$1196=B32)*1)</f>
        <v/>
      </c>
      <c r="H32" s="2">
        <f>Cleaned_Data!J32</f>
        <v/>
      </c>
      <c r="I32" s="2">
        <f>Cleaned_Data!E32</f>
        <v/>
      </c>
      <c r="J32" s="2">
        <f>IF(C32="Yes",1,0)</f>
        <v/>
      </c>
      <c r="K32" s="2">
        <f>MIN(MAX(1-(D32-1)/4,0),1)</f>
        <v/>
      </c>
      <c r="L32" s="2">
        <f>MIN(E32/60,1)</f>
        <v/>
      </c>
      <c r="M32" s="2">
        <f>MIN(MAX(1-G32,0),1)</f>
        <v/>
      </c>
      <c r="N32" s="2">
        <f>MIN(MAX(1-(H32-1)/4,0),1)</f>
        <v/>
      </c>
      <c r="O32" s="2">
        <f>1-MIN(I32/8,1)</f>
        <v/>
      </c>
      <c r="P32" s="10">
        <f>ROUND(100*(J32*Assumptions!$B$6+K32*Assumptions!$B$7+L32*Assumptions!$B$8+M32*Assumptions!$B$9+N32*Assumptions!$B$10+O32*Assumptions!$B$11),1)</f>
        <v/>
      </c>
      <c r="Q32" s="2">
        <f>IF(P32&gt;=Assumptions!$B$14,"High",IF(P32&gt;=Assumptions!$B$15,"Medium","Low"))</f>
        <v/>
      </c>
      <c r="R32" s="2">
        <f>Cleaned_Data!L32</f>
        <v/>
      </c>
    </row>
    <row r="33">
      <c r="A33" s="2">
        <f>Cleaned_Data!A33</f>
        <v/>
      </c>
      <c r="B33" s="2">
        <f>Cleaned_Data!B33</f>
        <v/>
      </c>
      <c r="C33" s="2">
        <f>Cleaned_Data!G33</f>
        <v/>
      </c>
      <c r="D33" s="2">
        <f>Cleaned_Data!I33</f>
        <v/>
      </c>
      <c r="E33" s="2">
        <f>Cleaned_Data!H33</f>
        <v/>
      </c>
      <c r="F33" s="2">
        <f>Cleaned_Data!F33</f>
        <v/>
      </c>
      <c r="G33" s="9">
        <f>SUMPRODUCT(($B$2:$B$1196=B33)*($F$2:$F$1196&lt;=F33))/SUMPRODUCT(($B$2:$B$1196=B33)*1)</f>
        <v/>
      </c>
      <c r="H33" s="2">
        <f>Cleaned_Data!J33</f>
        <v/>
      </c>
      <c r="I33" s="2">
        <f>Cleaned_Data!E33</f>
        <v/>
      </c>
      <c r="J33" s="2">
        <f>IF(C33="Yes",1,0)</f>
        <v/>
      </c>
      <c r="K33" s="2">
        <f>MIN(MAX(1-(D33-1)/4,0),1)</f>
        <v/>
      </c>
      <c r="L33" s="2">
        <f>MIN(E33/60,1)</f>
        <v/>
      </c>
      <c r="M33" s="2">
        <f>MIN(MAX(1-G33,0),1)</f>
        <v/>
      </c>
      <c r="N33" s="2">
        <f>MIN(MAX(1-(H33-1)/4,0),1)</f>
        <v/>
      </c>
      <c r="O33" s="2">
        <f>1-MIN(I33/8,1)</f>
        <v/>
      </c>
      <c r="P33" s="10">
        <f>ROUND(100*(J33*Assumptions!$B$6+K33*Assumptions!$B$7+L33*Assumptions!$B$8+M33*Assumptions!$B$9+N33*Assumptions!$B$10+O33*Assumptions!$B$11),1)</f>
        <v/>
      </c>
      <c r="Q33" s="2">
        <f>IF(P33&gt;=Assumptions!$B$14,"High",IF(P33&gt;=Assumptions!$B$15,"Medium","Low"))</f>
        <v/>
      </c>
      <c r="R33" s="2">
        <f>Cleaned_Data!L33</f>
        <v/>
      </c>
    </row>
    <row r="34">
      <c r="A34" s="2">
        <f>Cleaned_Data!A34</f>
        <v/>
      </c>
      <c r="B34" s="2">
        <f>Cleaned_Data!B34</f>
        <v/>
      </c>
      <c r="C34" s="2">
        <f>Cleaned_Data!G34</f>
        <v/>
      </c>
      <c r="D34" s="2">
        <f>Cleaned_Data!I34</f>
        <v/>
      </c>
      <c r="E34" s="2">
        <f>Cleaned_Data!H34</f>
        <v/>
      </c>
      <c r="F34" s="2">
        <f>Cleaned_Data!F34</f>
        <v/>
      </c>
      <c r="G34" s="9">
        <f>SUMPRODUCT(($B$2:$B$1196=B34)*($F$2:$F$1196&lt;=F34))/SUMPRODUCT(($B$2:$B$1196=B34)*1)</f>
        <v/>
      </c>
      <c r="H34" s="2">
        <f>Cleaned_Data!J34</f>
        <v/>
      </c>
      <c r="I34" s="2">
        <f>Cleaned_Data!E34</f>
        <v/>
      </c>
      <c r="J34" s="2">
        <f>IF(C34="Yes",1,0)</f>
        <v/>
      </c>
      <c r="K34" s="2">
        <f>MIN(MAX(1-(D34-1)/4,0),1)</f>
        <v/>
      </c>
      <c r="L34" s="2">
        <f>MIN(E34/60,1)</f>
        <v/>
      </c>
      <c r="M34" s="2">
        <f>MIN(MAX(1-G34,0),1)</f>
        <v/>
      </c>
      <c r="N34" s="2">
        <f>MIN(MAX(1-(H34-1)/4,0),1)</f>
        <v/>
      </c>
      <c r="O34" s="2">
        <f>1-MIN(I34/8,1)</f>
        <v/>
      </c>
      <c r="P34" s="10">
        <f>ROUND(100*(J34*Assumptions!$B$6+K34*Assumptions!$B$7+L34*Assumptions!$B$8+M34*Assumptions!$B$9+N34*Assumptions!$B$10+O34*Assumptions!$B$11),1)</f>
        <v/>
      </c>
      <c r="Q34" s="2">
        <f>IF(P34&gt;=Assumptions!$B$14,"High",IF(P34&gt;=Assumptions!$B$15,"Medium","Low"))</f>
        <v/>
      </c>
      <c r="R34" s="2">
        <f>Cleaned_Data!L34</f>
        <v/>
      </c>
    </row>
    <row r="35">
      <c r="A35" s="2">
        <f>Cleaned_Data!A35</f>
        <v/>
      </c>
      <c r="B35" s="2">
        <f>Cleaned_Data!B35</f>
        <v/>
      </c>
      <c r="C35" s="2">
        <f>Cleaned_Data!G35</f>
        <v/>
      </c>
      <c r="D35" s="2">
        <f>Cleaned_Data!I35</f>
        <v/>
      </c>
      <c r="E35" s="2">
        <f>Cleaned_Data!H35</f>
        <v/>
      </c>
      <c r="F35" s="2">
        <f>Cleaned_Data!F35</f>
        <v/>
      </c>
      <c r="G35" s="9">
        <f>SUMPRODUCT(($B$2:$B$1196=B35)*($F$2:$F$1196&lt;=F35))/SUMPRODUCT(($B$2:$B$1196=B35)*1)</f>
        <v/>
      </c>
      <c r="H35" s="2">
        <f>Cleaned_Data!J35</f>
        <v/>
      </c>
      <c r="I35" s="2">
        <f>Cleaned_Data!E35</f>
        <v/>
      </c>
      <c r="J35" s="2">
        <f>IF(C35="Yes",1,0)</f>
        <v/>
      </c>
      <c r="K35" s="2">
        <f>MIN(MAX(1-(D35-1)/4,0),1)</f>
        <v/>
      </c>
      <c r="L35" s="2">
        <f>MIN(E35/60,1)</f>
        <v/>
      </c>
      <c r="M35" s="2">
        <f>MIN(MAX(1-G35,0),1)</f>
        <v/>
      </c>
      <c r="N35" s="2">
        <f>MIN(MAX(1-(H35-1)/4,0),1)</f>
        <v/>
      </c>
      <c r="O35" s="2">
        <f>1-MIN(I35/8,1)</f>
        <v/>
      </c>
      <c r="P35" s="10">
        <f>ROUND(100*(J35*Assumptions!$B$6+K35*Assumptions!$B$7+L35*Assumptions!$B$8+M35*Assumptions!$B$9+N35*Assumptions!$B$10+O35*Assumptions!$B$11),1)</f>
        <v/>
      </c>
      <c r="Q35" s="2">
        <f>IF(P35&gt;=Assumptions!$B$14,"High",IF(P35&gt;=Assumptions!$B$15,"Medium","Low"))</f>
        <v/>
      </c>
      <c r="R35" s="2">
        <f>Cleaned_Data!L35</f>
        <v/>
      </c>
    </row>
    <row r="36">
      <c r="A36" s="2">
        <f>Cleaned_Data!A36</f>
        <v/>
      </c>
      <c r="B36" s="2">
        <f>Cleaned_Data!B36</f>
        <v/>
      </c>
      <c r="C36" s="2">
        <f>Cleaned_Data!G36</f>
        <v/>
      </c>
      <c r="D36" s="2">
        <f>Cleaned_Data!I36</f>
        <v/>
      </c>
      <c r="E36" s="2">
        <f>Cleaned_Data!H36</f>
        <v/>
      </c>
      <c r="F36" s="2">
        <f>Cleaned_Data!F36</f>
        <v/>
      </c>
      <c r="G36" s="9">
        <f>SUMPRODUCT(($B$2:$B$1196=B36)*($F$2:$F$1196&lt;=F36))/SUMPRODUCT(($B$2:$B$1196=B36)*1)</f>
        <v/>
      </c>
      <c r="H36" s="2">
        <f>Cleaned_Data!J36</f>
        <v/>
      </c>
      <c r="I36" s="2">
        <f>Cleaned_Data!E36</f>
        <v/>
      </c>
      <c r="J36" s="2">
        <f>IF(C36="Yes",1,0)</f>
        <v/>
      </c>
      <c r="K36" s="2">
        <f>MIN(MAX(1-(D36-1)/4,0),1)</f>
        <v/>
      </c>
      <c r="L36" s="2">
        <f>MIN(E36/60,1)</f>
        <v/>
      </c>
      <c r="M36" s="2">
        <f>MIN(MAX(1-G36,0),1)</f>
        <v/>
      </c>
      <c r="N36" s="2">
        <f>MIN(MAX(1-(H36-1)/4,0),1)</f>
        <v/>
      </c>
      <c r="O36" s="2">
        <f>1-MIN(I36/8,1)</f>
        <v/>
      </c>
      <c r="P36" s="10">
        <f>ROUND(100*(J36*Assumptions!$B$6+K36*Assumptions!$B$7+L36*Assumptions!$B$8+M36*Assumptions!$B$9+N36*Assumptions!$B$10+O36*Assumptions!$B$11),1)</f>
        <v/>
      </c>
      <c r="Q36" s="2">
        <f>IF(P36&gt;=Assumptions!$B$14,"High",IF(P36&gt;=Assumptions!$B$15,"Medium","Low"))</f>
        <v/>
      </c>
      <c r="R36" s="2">
        <f>Cleaned_Data!L36</f>
        <v/>
      </c>
    </row>
    <row r="37">
      <c r="A37" s="2">
        <f>Cleaned_Data!A37</f>
        <v/>
      </c>
      <c r="B37" s="2">
        <f>Cleaned_Data!B37</f>
        <v/>
      </c>
      <c r="C37" s="2">
        <f>Cleaned_Data!G37</f>
        <v/>
      </c>
      <c r="D37" s="2">
        <f>Cleaned_Data!I37</f>
        <v/>
      </c>
      <c r="E37" s="2">
        <f>Cleaned_Data!H37</f>
        <v/>
      </c>
      <c r="F37" s="2">
        <f>Cleaned_Data!F37</f>
        <v/>
      </c>
      <c r="G37" s="9">
        <f>SUMPRODUCT(($B$2:$B$1196=B37)*($F$2:$F$1196&lt;=F37))/SUMPRODUCT(($B$2:$B$1196=B37)*1)</f>
        <v/>
      </c>
      <c r="H37" s="2">
        <f>Cleaned_Data!J37</f>
        <v/>
      </c>
      <c r="I37" s="2">
        <f>Cleaned_Data!E37</f>
        <v/>
      </c>
      <c r="J37" s="2">
        <f>IF(C37="Yes",1,0)</f>
        <v/>
      </c>
      <c r="K37" s="2">
        <f>MIN(MAX(1-(D37-1)/4,0),1)</f>
        <v/>
      </c>
      <c r="L37" s="2">
        <f>MIN(E37/60,1)</f>
        <v/>
      </c>
      <c r="M37" s="2">
        <f>MIN(MAX(1-G37,0),1)</f>
        <v/>
      </c>
      <c r="N37" s="2">
        <f>MIN(MAX(1-(H37-1)/4,0),1)</f>
        <v/>
      </c>
      <c r="O37" s="2">
        <f>1-MIN(I37/8,1)</f>
        <v/>
      </c>
      <c r="P37" s="10">
        <f>ROUND(100*(J37*Assumptions!$B$6+K37*Assumptions!$B$7+L37*Assumptions!$B$8+M37*Assumptions!$B$9+N37*Assumptions!$B$10+O37*Assumptions!$B$11),1)</f>
        <v/>
      </c>
      <c r="Q37" s="2">
        <f>IF(P37&gt;=Assumptions!$B$14,"High",IF(P37&gt;=Assumptions!$B$15,"Medium","Low"))</f>
        <v/>
      </c>
      <c r="R37" s="2">
        <f>Cleaned_Data!L37</f>
        <v/>
      </c>
    </row>
    <row r="38">
      <c r="A38" s="2">
        <f>Cleaned_Data!A38</f>
        <v/>
      </c>
      <c r="B38" s="2">
        <f>Cleaned_Data!B38</f>
        <v/>
      </c>
      <c r="C38" s="2">
        <f>Cleaned_Data!G38</f>
        <v/>
      </c>
      <c r="D38" s="2">
        <f>Cleaned_Data!I38</f>
        <v/>
      </c>
      <c r="E38" s="2">
        <f>Cleaned_Data!H38</f>
        <v/>
      </c>
      <c r="F38" s="2">
        <f>Cleaned_Data!F38</f>
        <v/>
      </c>
      <c r="G38" s="9">
        <f>SUMPRODUCT(($B$2:$B$1196=B38)*($F$2:$F$1196&lt;=F38))/SUMPRODUCT(($B$2:$B$1196=B38)*1)</f>
        <v/>
      </c>
      <c r="H38" s="2">
        <f>Cleaned_Data!J38</f>
        <v/>
      </c>
      <c r="I38" s="2">
        <f>Cleaned_Data!E38</f>
        <v/>
      </c>
      <c r="J38" s="2">
        <f>IF(C38="Yes",1,0)</f>
        <v/>
      </c>
      <c r="K38" s="2">
        <f>MIN(MAX(1-(D38-1)/4,0),1)</f>
        <v/>
      </c>
      <c r="L38" s="2">
        <f>MIN(E38/60,1)</f>
        <v/>
      </c>
      <c r="M38" s="2">
        <f>MIN(MAX(1-G38,0),1)</f>
        <v/>
      </c>
      <c r="N38" s="2">
        <f>MIN(MAX(1-(H38-1)/4,0),1)</f>
        <v/>
      </c>
      <c r="O38" s="2">
        <f>1-MIN(I38/8,1)</f>
        <v/>
      </c>
      <c r="P38" s="10">
        <f>ROUND(100*(J38*Assumptions!$B$6+K38*Assumptions!$B$7+L38*Assumptions!$B$8+M38*Assumptions!$B$9+N38*Assumptions!$B$10+O38*Assumptions!$B$11),1)</f>
        <v/>
      </c>
      <c r="Q38" s="2">
        <f>IF(P38&gt;=Assumptions!$B$14,"High",IF(P38&gt;=Assumptions!$B$15,"Medium","Low"))</f>
        <v/>
      </c>
      <c r="R38" s="2">
        <f>Cleaned_Data!L38</f>
        <v/>
      </c>
    </row>
    <row r="39">
      <c r="A39" s="2">
        <f>Cleaned_Data!A39</f>
        <v/>
      </c>
      <c r="B39" s="2">
        <f>Cleaned_Data!B39</f>
        <v/>
      </c>
      <c r="C39" s="2">
        <f>Cleaned_Data!G39</f>
        <v/>
      </c>
      <c r="D39" s="2">
        <f>Cleaned_Data!I39</f>
        <v/>
      </c>
      <c r="E39" s="2">
        <f>Cleaned_Data!H39</f>
        <v/>
      </c>
      <c r="F39" s="2">
        <f>Cleaned_Data!F39</f>
        <v/>
      </c>
      <c r="G39" s="9">
        <f>SUMPRODUCT(($B$2:$B$1196=B39)*($F$2:$F$1196&lt;=F39))/SUMPRODUCT(($B$2:$B$1196=B39)*1)</f>
        <v/>
      </c>
      <c r="H39" s="2">
        <f>Cleaned_Data!J39</f>
        <v/>
      </c>
      <c r="I39" s="2">
        <f>Cleaned_Data!E39</f>
        <v/>
      </c>
      <c r="J39" s="2">
        <f>IF(C39="Yes",1,0)</f>
        <v/>
      </c>
      <c r="K39" s="2">
        <f>MIN(MAX(1-(D39-1)/4,0),1)</f>
        <v/>
      </c>
      <c r="L39" s="2">
        <f>MIN(E39/60,1)</f>
        <v/>
      </c>
      <c r="M39" s="2">
        <f>MIN(MAX(1-G39,0),1)</f>
        <v/>
      </c>
      <c r="N39" s="2">
        <f>MIN(MAX(1-(H39-1)/4,0),1)</f>
        <v/>
      </c>
      <c r="O39" s="2">
        <f>1-MIN(I39/8,1)</f>
        <v/>
      </c>
      <c r="P39" s="10">
        <f>ROUND(100*(J39*Assumptions!$B$6+K39*Assumptions!$B$7+L39*Assumptions!$B$8+M39*Assumptions!$B$9+N39*Assumptions!$B$10+O39*Assumptions!$B$11),1)</f>
        <v/>
      </c>
      <c r="Q39" s="2">
        <f>IF(P39&gt;=Assumptions!$B$14,"High",IF(P39&gt;=Assumptions!$B$15,"Medium","Low"))</f>
        <v/>
      </c>
      <c r="R39" s="2">
        <f>Cleaned_Data!L39</f>
        <v/>
      </c>
    </row>
    <row r="40">
      <c r="A40" s="2">
        <f>Cleaned_Data!A40</f>
        <v/>
      </c>
      <c r="B40" s="2">
        <f>Cleaned_Data!B40</f>
        <v/>
      </c>
      <c r="C40" s="2">
        <f>Cleaned_Data!G40</f>
        <v/>
      </c>
      <c r="D40" s="2">
        <f>Cleaned_Data!I40</f>
        <v/>
      </c>
      <c r="E40" s="2">
        <f>Cleaned_Data!H40</f>
        <v/>
      </c>
      <c r="F40" s="2">
        <f>Cleaned_Data!F40</f>
        <v/>
      </c>
      <c r="G40" s="9">
        <f>SUMPRODUCT(($B$2:$B$1196=B40)*($F$2:$F$1196&lt;=F40))/SUMPRODUCT(($B$2:$B$1196=B40)*1)</f>
        <v/>
      </c>
      <c r="H40" s="2">
        <f>Cleaned_Data!J40</f>
        <v/>
      </c>
      <c r="I40" s="2">
        <f>Cleaned_Data!E40</f>
        <v/>
      </c>
      <c r="J40" s="2">
        <f>IF(C40="Yes",1,0)</f>
        <v/>
      </c>
      <c r="K40" s="2">
        <f>MIN(MAX(1-(D40-1)/4,0),1)</f>
        <v/>
      </c>
      <c r="L40" s="2">
        <f>MIN(E40/60,1)</f>
        <v/>
      </c>
      <c r="M40" s="2">
        <f>MIN(MAX(1-G40,0),1)</f>
        <v/>
      </c>
      <c r="N40" s="2">
        <f>MIN(MAX(1-(H40-1)/4,0),1)</f>
        <v/>
      </c>
      <c r="O40" s="2">
        <f>1-MIN(I40/8,1)</f>
        <v/>
      </c>
      <c r="P40" s="10">
        <f>ROUND(100*(J40*Assumptions!$B$6+K40*Assumptions!$B$7+L40*Assumptions!$B$8+M40*Assumptions!$B$9+N40*Assumptions!$B$10+O40*Assumptions!$B$11),1)</f>
        <v/>
      </c>
      <c r="Q40" s="2">
        <f>IF(P40&gt;=Assumptions!$B$14,"High",IF(P40&gt;=Assumptions!$B$15,"Medium","Low"))</f>
        <v/>
      </c>
      <c r="R40" s="2">
        <f>Cleaned_Data!L40</f>
        <v/>
      </c>
    </row>
    <row r="41">
      <c r="A41" s="2">
        <f>Cleaned_Data!A41</f>
        <v/>
      </c>
      <c r="B41" s="2">
        <f>Cleaned_Data!B41</f>
        <v/>
      </c>
      <c r="C41" s="2">
        <f>Cleaned_Data!G41</f>
        <v/>
      </c>
      <c r="D41" s="2">
        <f>Cleaned_Data!I41</f>
        <v/>
      </c>
      <c r="E41" s="2">
        <f>Cleaned_Data!H41</f>
        <v/>
      </c>
      <c r="F41" s="2">
        <f>Cleaned_Data!F41</f>
        <v/>
      </c>
      <c r="G41" s="9">
        <f>SUMPRODUCT(($B$2:$B$1196=B41)*($F$2:$F$1196&lt;=F41))/SUMPRODUCT(($B$2:$B$1196=B41)*1)</f>
        <v/>
      </c>
      <c r="H41" s="2">
        <f>Cleaned_Data!J41</f>
        <v/>
      </c>
      <c r="I41" s="2">
        <f>Cleaned_Data!E41</f>
        <v/>
      </c>
      <c r="J41" s="2">
        <f>IF(C41="Yes",1,0)</f>
        <v/>
      </c>
      <c r="K41" s="2">
        <f>MIN(MAX(1-(D41-1)/4,0),1)</f>
        <v/>
      </c>
      <c r="L41" s="2">
        <f>MIN(E41/60,1)</f>
        <v/>
      </c>
      <c r="M41" s="2">
        <f>MIN(MAX(1-G41,0),1)</f>
        <v/>
      </c>
      <c r="N41" s="2">
        <f>MIN(MAX(1-(H41-1)/4,0),1)</f>
        <v/>
      </c>
      <c r="O41" s="2">
        <f>1-MIN(I41/8,1)</f>
        <v/>
      </c>
      <c r="P41" s="10">
        <f>ROUND(100*(J41*Assumptions!$B$6+K41*Assumptions!$B$7+L41*Assumptions!$B$8+M41*Assumptions!$B$9+N41*Assumptions!$B$10+O41*Assumptions!$B$11),1)</f>
        <v/>
      </c>
      <c r="Q41" s="2">
        <f>IF(P41&gt;=Assumptions!$B$14,"High",IF(P41&gt;=Assumptions!$B$15,"Medium","Low"))</f>
        <v/>
      </c>
      <c r="R41" s="2">
        <f>Cleaned_Data!L41</f>
        <v/>
      </c>
    </row>
    <row r="42">
      <c r="A42" s="2">
        <f>Cleaned_Data!A42</f>
        <v/>
      </c>
      <c r="B42" s="2">
        <f>Cleaned_Data!B42</f>
        <v/>
      </c>
      <c r="C42" s="2">
        <f>Cleaned_Data!G42</f>
        <v/>
      </c>
      <c r="D42" s="2">
        <f>Cleaned_Data!I42</f>
        <v/>
      </c>
      <c r="E42" s="2">
        <f>Cleaned_Data!H42</f>
        <v/>
      </c>
      <c r="F42" s="2">
        <f>Cleaned_Data!F42</f>
        <v/>
      </c>
      <c r="G42" s="9">
        <f>SUMPRODUCT(($B$2:$B$1196=B42)*($F$2:$F$1196&lt;=F42))/SUMPRODUCT(($B$2:$B$1196=B42)*1)</f>
        <v/>
      </c>
      <c r="H42" s="2">
        <f>Cleaned_Data!J42</f>
        <v/>
      </c>
      <c r="I42" s="2">
        <f>Cleaned_Data!E42</f>
        <v/>
      </c>
      <c r="J42" s="2">
        <f>IF(C42="Yes",1,0)</f>
        <v/>
      </c>
      <c r="K42" s="2">
        <f>MIN(MAX(1-(D42-1)/4,0),1)</f>
        <v/>
      </c>
      <c r="L42" s="2">
        <f>MIN(E42/60,1)</f>
        <v/>
      </c>
      <c r="M42" s="2">
        <f>MIN(MAX(1-G42,0),1)</f>
        <v/>
      </c>
      <c r="N42" s="2">
        <f>MIN(MAX(1-(H42-1)/4,0),1)</f>
        <v/>
      </c>
      <c r="O42" s="2">
        <f>1-MIN(I42/8,1)</f>
        <v/>
      </c>
      <c r="P42" s="10">
        <f>ROUND(100*(J42*Assumptions!$B$6+K42*Assumptions!$B$7+L42*Assumptions!$B$8+M42*Assumptions!$B$9+N42*Assumptions!$B$10+O42*Assumptions!$B$11),1)</f>
        <v/>
      </c>
      <c r="Q42" s="2">
        <f>IF(P42&gt;=Assumptions!$B$14,"High",IF(P42&gt;=Assumptions!$B$15,"Medium","Low"))</f>
        <v/>
      </c>
      <c r="R42" s="2">
        <f>Cleaned_Data!L42</f>
        <v/>
      </c>
    </row>
    <row r="43">
      <c r="A43" s="2">
        <f>Cleaned_Data!A43</f>
        <v/>
      </c>
      <c r="B43" s="2">
        <f>Cleaned_Data!B43</f>
        <v/>
      </c>
      <c r="C43" s="2">
        <f>Cleaned_Data!G43</f>
        <v/>
      </c>
      <c r="D43" s="2">
        <f>Cleaned_Data!I43</f>
        <v/>
      </c>
      <c r="E43" s="2">
        <f>Cleaned_Data!H43</f>
        <v/>
      </c>
      <c r="F43" s="2">
        <f>Cleaned_Data!F43</f>
        <v/>
      </c>
      <c r="G43" s="9">
        <f>SUMPRODUCT(($B$2:$B$1196=B43)*($F$2:$F$1196&lt;=F43))/SUMPRODUCT(($B$2:$B$1196=B43)*1)</f>
        <v/>
      </c>
      <c r="H43" s="2">
        <f>Cleaned_Data!J43</f>
        <v/>
      </c>
      <c r="I43" s="2">
        <f>Cleaned_Data!E43</f>
        <v/>
      </c>
      <c r="J43" s="2">
        <f>IF(C43="Yes",1,0)</f>
        <v/>
      </c>
      <c r="K43" s="2">
        <f>MIN(MAX(1-(D43-1)/4,0),1)</f>
        <v/>
      </c>
      <c r="L43" s="2">
        <f>MIN(E43/60,1)</f>
        <v/>
      </c>
      <c r="M43" s="2">
        <f>MIN(MAX(1-G43,0),1)</f>
        <v/>
      </c>
      <c r="N43" s="2">
        <f>MIN(MAX(1-(H43-1)/4,0),1)</f>
        <v/>
      </c>
      <c r="O43" s="2">
        <f>1-MIN(I43/8,1)</f>
        <v/>
      </c>
      <c r="P43" s="10">
        <f>ROUND(100*(J43*Assumptions!$B$6+K43*Assumptions!$B$7+L43*Assumptions!$B$8+M43*Assumptions!$B$9+N43*Assumptions!$B$10+O43*Assumptions!$B$11),1)</f>
        <v/>
      </c>
      <c r="Q43" s="2">
        <f>IF(P43&gt;=Assumptions!$B$14,"High",IF(P43&gt;=Assumptions!$B$15,"Medium","Low"))</f>
        <v/>
      </c>
      <c r="R43" s="2">
        <f>Cleaned_Data!L43</f>
        <v/>
      </c>
    </row>
    <row r="44">
      <c r="A44" s="2">
        <f>Cleaned_Data!A44</f>
        <v/>
      </c>
      <c r="B44" s="2">
        <f>Cleaned_Data!B44</f>
        <v/>
      </c>
      <c r="C44" s="2">
        <f>Cleaned_Data!G44</f>
        <v/>
      </c>
      <c r="D44" s="2">
        <f>Cleaned_Data!I44</f>
        <v/>
      </c>
      <c r="E44" s="2">
        <f>Cleaned_Data!H44</f>
        <v/>
      </c>
      <c r="F44" s="2">
        <f>Cleaned_Data!F44</f>
        <v/>
      </c>
      <c r="G44" s="9">
        <f>SUMPRODUCT(($B$2:$B$1196=B44)*($F$2:$F$1196&lt;=F44))/SUMPRODUCT(($B$2:$B$1196=B44)*1)</f>
        <v/>
      </c>
      <c r="H44" s="2">
        <f>Cleaned_Data!J44</f>
        <v/>
      </c>
      <c r="I44" s="2">
        <f>Cleaned_Data!E44</f>
        <v/>
      </c>
      <c r="J44" s="2">
        <f>IF(C44="Yes",1,0)</f>
        <v/>
      </c>
      <c r="K44" s="2">
        <f>MIN(MAX(1-(D44-1)/4,0),1)</f>
        <v/>
      </c>
      <c r="L44" s="2">
        <f>MIN(E44/60,1)</f>
        <v/>
      </c>
      <c r="M44" s="2">
        <f>MIN(MAX(1-G44,0),1)</f>
        <v/>
      </c>
      <c r="N44" s="2">
        <f>MIN(MAX(1-(H44-1)/4,0),1)</f>
        <v/>
      </c>
      <c r="O44" s="2">
        <f>1-MIN(I44/8,1)</f>
        <v/>
      </c>
      <c r="P44" s="10">
        <f>ROUND(100*(J44*Assumptions!$B$6+K44*Assumptions!$B$7+L44*Assumptions!$B$8+M44*Assumptions!$B$9+N44*Assumptions!$B$10+O44*Assumptions!$B$11),1)</f>
        <v/>
      </c>
      <c r="Q44" s="2">
        <f>IF(P44&gt;=Assumptions!$B$14,"High",IF(P44&gt;=Assumptions!$B$15,"Medium","Low"))</f>
        <v/>
      </c>
      <c r="R44" s="2">
        <f>Cleaned_Data!L44</f>
        <v/>
      </c>
    </row>
    <row r="45">
      <c r="A45" s="2">
        <f>Cleaned_Data!A45</f>
        <v/>
      </c>
      <c r="B45" s="2">
        <f>Cleaned_Data!B45</f>
        <v/>
      </c>
      <c r="C45" s="2">
        <f>Cleaned_Data!G45</f>
        <v/>
      </c>
      <c r="D45" s="2">
        <f>Cleaned_Data!I45</f>
        <v/>
      </c>
      <c r="E45" s="2">
        <f>Cleaned_Data!H45</f>
        <v/>
      </c>
      <c r="F45" s="2">
        <f>Cleaned_Data!F45</f>
        <v/>
      </c>
      <c r="G45" s="9">
        <f>SUMPRODUCT(($B$2:$B$1196=B45)*($F$2:$F$1196&lt;=F45))/SUMPRODUCT(($B$2:$B$1196=B45)*1)</f>
        <v/>
      </c>
      <c r="H45" s="2">
        <f>Cleaned_Data!J45</f>
        <v/>
      </c>
      <c r="I45" s="2">
        <f>Cleaned_Data!E45</f>
        <v/>
      </c>
      <c r="J45" s="2">
        <f>IF(C45="Yes",1,0)</f>
        <v/>
      </c>
      <c r="K45" s="2">
        <f>MIN(MAX(1-(D45-1)/4,0),1)</f>
        <v/>
      </c>
      <c r="L45" s="2">
        <f>MIN(E45/60,1)</f>
        <v/>
      </c>
      <c r="M45" s="2">
        <f>MIN(MAX(1-G45,0),1)</f>
        <v/>
      </c>
      <c r="N45" s="2">
        <f>MIN(MAX(1-(H45-1)/4,0),1)</f>
        <v/>
      </c>
      <c r="O45" s="2">
        <f>1-MIN(I45/8,1)</f>
        <v/>
      </c>
      <c r="P45" s="10">
        <f>ROUND(100*(J45*Assumptions!$B$6+K45*Assumptions!$B$7+L45*Assumptions!$B$8+M45*Assumptions!$B$9+N45*Assumptions!$B$10+O45*Assumptions!$B$11),1)</f>
        <v/>
      </c>
      <c r="Q45" s="2">
        <f>IF(P45&gt;=Assumptions!$B$14,"High",IF(P45&gt;=Assumptions!$B$15,"Medium","Low"))</f>
        <v/>
      </c>
      <c r="R45" s="2">
        <f>Cleaned_Data!L45</f>
        <v/>
      </c>
    </row>
    <row r="46">
      <c r="A46" s="2">
        <f>Cleaned_Data!A46</f>
        <v/>
      </c>
      <c r="B46" s="2">
        <f>Cleaned_Data!B46</f>
        <v/>
      </c>
      <c r="C46" s="2">
        <f>Cleaned_Data!G46</f>
        <v/>
      </c>
      <c r="D46" s="2">
        <f>Cleaned_Data!I46</f>
        <v/>
      </c>
      <c r="E46" s="2">
        <f>Cleaned_Data!H46</f>
        <v/>
      </c>
      <c r="F46" s="2">
        <f>Cleaned_Data!F46</f>
        <v/>
      </c>
      <c r="G46" s="9">
        <f>SUMPRODUCT(($B$2:$B$1196=B46)*($F$2:$F$1196&lt;=F46))/SUMPRODUCT(($B$2:$B$1196=B46)*1)</f>
        <v/>
      </c>
      <c r="H46" s="2">
        <f>Cleaned_Data!J46</f>
        <v/>
      </c>
      <c r="I46" s="2">
        <f>Cleaned_Data!E46</f>
        <v/>
      </c>
      <c r="J46" s="2">
        <f>IF(C46="Yes",1,0)</f>
        <v/>
      </c>
      <c r="K46" s="2">
        <f>MIN(MAX(1-(D46-1)/4,0),1)</f>
        <v/>
      </c>
      <c r="L46" s="2">
        <f>MIN(E46/60,1)</f>
        <v/>
      </c>
      <c r="M46" s="2">
        <f>MIN(MAX(1-G46,0),1)</f>
        <v/>
      </c>
      <c r="N46" s="2">
        <f>MIN(MAX(1-(H46-1)/4,0),1)</f>
        <v/>
      </c>
      <c r="O46" s="2">
        <f>1-MIN(I46/8,1)</f>
        <v/>
      </c>
      <c r="P46" s="10">
        <f>ROUND(100*(J46*Assumptions!$B$6+K46*Assumptions!$B$7+L46*Assumptions!$B$8+M46*Assumptions!$B$9+N46*Assumptions!$B$10+O46*Assumptions!$B$11),1)</f>
        <v/>
      </c>
      <c r="Q46" s="2">
        <f>IF(P46&gt;=Assumptions!$B$14,"High",IF(P46&gt;=Assumptions!$B$15,"Medium","Low"))</f>
        <v/>
      </c>
      <c r="R46" s="2">
        <f>Cleaned_Data!L46</f>
        <v/>
      </c>
    </row>
    <row r="47">
      <c r="A47" s="2">
        <f>Cleaned_Data!A47</f>
        <v/>
      </c>
      <c r="B47" s="2">
        <f>Cleaned_Data!B47</f>
        <v/>
      </c>
      <c r="C47" s="2">
        <f>Cleaned_Data!G47</f>
        <v/>
      </c>
      <c r="D47" s="2">
        <f>Cleaned_Data!I47</f>
        <v/>
      </c>
      <c r="E47" s="2">
        <f>Cleaned_Data!H47</f>
        <v/>
      </c>
      <c r="F47" s="2">
        <f>Cleaned_Data!F47</f>
        <v/>
      </c>
      <c r="G47" s="9">
        <f>SUMPRODUCT(($B$2:$B$1196=B47)*($F$2:$F$1196&lt;=F47))/SUMPRODUCT(($B$2:$B$1196=B47)*1)</f>
        <v/>
      </c>
      <c r="H47" s="2">
        <f>Cleaned_Data!J47</f>
        <v/>
      </c>
      <c r="I47" s="2">
        <f>Cleaned_Data!E47</f>
        <v/>
      </c>
      <c r="J47" s="2">
        <f>IF(C47="Yes",1,0)</f>
        <v/>
      </c>
      <c r="K47" s="2">
        <f>MIN(MAX(1-(D47-1)/4,0),1)</f>
        <v/>
      </c>
      <c r="L47" s="2">
        <f>MIN(E47/60,1)</f>
        <v/>
      </c>
      <c r="M47" s="2">
        <f>MIN(MAX(1-G47,0),1)</f>
        <v/>
      </c>
      <c r="N47" s="2">
        <f>MIN(MAX(1-(H47-1)/4,0),1)</f>
        <v/>
      </c>
      <c r="O47" s="2">
        <f>1-MIN(I47/8,1)</f>
        <v/>
      </c>
      <c r="P47" s="10">
        <f>ROUND(100*(J47*Assumptions!$B$6+K47*Assumptions!$B$7+L47*Assumptions!$B$8+M47*Assumptions!$B$9+N47*Assumptions!$B$10+O47*Assumptions!$B$11),1)</f>
        <v/>
      </c>
      <c r="Q47" s="2">
        <f>IF(P47&gt;=Assumptions!$B$14,"High",IF(P47&gt;=Assumptions!$B$15,"Medium","Low"))</f>
        <v/>
      </c>
      <c r="R47" s="2">
        <f>Cleaned_Data!L47</f>
        <v/>
      </c>
    </row>
    <row r="48">
      <c r="A48" s="2">
        <f>Cleaned_Data!A48</f>
        <v/>
      </c>
      <c r="B48" s="2">
        <f>Cleaned_Data!B48</f>
        <v/>
      </c>
      <c r="C48" s="2">
        <f>Cleaned_Data!G48</f>
        <v/>
      </c>
      <c r="D48" s="2">
        <f>Cleaned_Data!I48</f>
        <v/>
      </c>
      <c r="E48" s="2">
        <f>Cleaned_Data!H48</f>
        <v/>
      </c>
      <c r="F48" s="2">
        <f>Cleaned_Data!F48</f>
        <v/>
      </c>
      <c r="G48" s="9">
        <f>SUMPRODUCT(($B$2:$B$1196=B48)*($F$2:$F$1196&lt;=F48))/SUMPRODUCT(($B$2:$B$1196=B48)*1)</f>
        <v/>
      </c>
      <c r="H48" s="2">
        <f>Cleaned_Data!J48</f>
        <v/>
      </c>
      <c r="I48" s="2">
        <f>Cleaned_Data!E48</f>
        <v/>
      </c>
      <c r="J48" s="2">
        <f>IF(C48="Yes",1,0)</f>
        <v/>
      </c>
      <c r="K48" s="2">
        <f>MIN(MAX(1-(D48-1)/4,0),1)</f>
        <v/>
      </c>
      <c r="L48" s="2">
        <f>MIN(E48/60,1)</f>
        <v/>
      </c>
      <c r="M48" s="2">
        <f>MIN(MAX(1-G48,0),1)</f>
        <v/>
      </c>
      <c r="N48" s="2">
        <f>MIN(MAX(1-(H48-1)/4,0),1)</f>
        <v/>
      </c>
      <c r="O48" s="2">
        <f>1-MIN(I48/8,1)</f>
        <v/>
      </c>
      <c r="P48" s="10">
        <f>ROUND(100*(J48*Assumptions!$B$6+K48*Assumptions!$B$7+L48*Assumptions!$B$8+M48*Assumptions!$B$9+N48*Assumptions!$B$10+O48*Assumptions!$B$11),1)</f>
        <v/>
      </c>
      <c r="Q48" s="2">
        <f>IF(P48&gt;=Assumptions!$B$14,"High",IF(P48&gt;=Assumptions!$B$15,"Medium","Low"))</f>
        <v/>
      </c>
      <c r="R48" s="2">
        <f>Cleaned_Data!L48</f>
        <v/>
      </c>
    </row>
    <row r="49">
      <c r="A49" s="2">
        <f>Cleaned_Data!A49</f>
        <v/>
      </c>
      <c r="B49" s="2">
        <f>Cleaned_Data!B49</f>
        <v/>
      </c>
      <c r="C49" s="2">
        <f>Cleaned_Data!G49</f>
        <v/>
      </c>
      <c r="D49" s="2">
        <f>Cleaned_Data!I49</f>
        <v/>
      </c>
      <c r="E49" s="2">
        <f>Cleaned_Data!H49</f>
        <v/>
      </c>
      <c r="F49" s="2">
        <f>Cleaned_Data!F49</f>
        <v/>
      </c>
      <c r="G49" s="9">
        <f>SUMPRODUCT(($B$2:$B$1196=B49)*($F$2:$F$1196&lt;=F49))/SUMPRODUCT(($B$2:$B$1196=B49)*1)</f>
        <v/>
      </c>
      <c r="H49" s="2">
        <f>Cleaned_Data!J49</f>
        <v/>
      </c>
      <c r="I49" s="2">
        <f>Cleaned_Data!E49</f>
        <v/>
      </c>
      <c r="J49" s="2">
        <f>IF(C49="Yes",1,0)</f>
        <v/>
      </c>
      <c r="K49" s="2">
        <f>MIN(MAX(1-(D49-1)/4,0),1)</f>
        <v/>
      </c>
      <c r="L49" s="2">
        <f>MIN(E49/60,1)</f>
        <v/>
      </c>
      <c r="M49" s="2">
        <f>MIN(MAX(1-G49,0),1)</f>
        <v/>
      </c>
      <c r="N49" s="2">
        <f>MIN(MAX(1-(H49-1)/4,0),1)</f>
        <v/>
      </c>
      <c r="O49" s="2">
        <f>1-MIN(I49/8,1)</f>
        <v/>
      </c>
      <c r="P49" s="10">
        <f>ROUND(100*(J49*Assumptions!$B$6+K49*Assumptions!$B$7+L49*Assumptions!$B$8+M49*Assumptions!$B$9+N49*Assumptions!$B$10+O49*Assumptions!$B$11),1)</f>
        <v/>
      </c>
      <c r="Q49" s="2">
        <f>IF(P49&gt;=Assumptions!$B$14,"High",IF(P49&gt;=Assumptions!$B$15,"Medium","Low"))</f>
        <v/>
      </c>
      <c r="R49" s="2">
        <f>Cleaned_Data!L49</f>
        <v/>
      </c>
    </row>
    <row r="50">
      <c r="A50" s="2">
        <f>Cleaned_Data!A50</f>
        <v/>
      </c>
      <c r="B50" s="2">
        <f>Cleaned_Data!B50</f>
        <v/>
      </c>
      <c r="C50" s="2">
        <f>Cleaned_Data!G50</f>
        <v/>
      </c>
      <c r="D50" s="2">
        <f>Cleaned_Data!I50</f>
        <v/>
      </c>
      <c r="E50" s="2">
        <f>Cleaned_Data!H50</f>
        <v/>
      </c>
      <c r="F50" s="2">
        <f>Cleaned_Data!F50</f>
        <v/>
      </c>
      <c r="G50" s="9">
        <f>SUMPRODUCT(($B$2:$B$1196=B50)*($F$2:$F$1196&lt;=F50))/SUMPRODUCT(($B$2:$B$1196=B50)*1)</f>
        <v/>
      </c>
      <c r="H50" s="2">
        <f>Cleaned_Data!J50</f>
        <v/>
      </c>
      <c r="I50" s="2">
        <f>Cleaned_Data!E50</f>
        <v/>
      </c>
      <c r="J50" s="2">
        <f>IF(C50="Yes",1,0)</f>
        <v/>
      </c>
      <c r="K50" s="2">
        <f>MIN(MAX(1-(D50-1)/4,0),1)</f>
        <v/>
      </c>
      <c r="L50" s="2">
        <f>MIN(E50/60,1)</f>
        <v/>
      </c>
      <c r="M50" s="2">
        <f>MIN(MAX(1-G50,0),1)</f>
        <v/>
      </c>
      <c r="N50" s="2">
        <f>MIN(MAX(1-(H50-1)/4,0),1)</f>
        <v/>
      </c>
      <c r="O50" s="2">
        <f>1-MIN(I50/8,1)</f>
        <v/>
      </c>
      <c r="P50" s="10">
        <f>ROUND(100*(J50*Assumptions!$B$6+K50*Assumptions!$B$7+L50*Assumptions!$B$8+M50*Assumptions!$B$9+N50*Assumptions!$B$10+O50*Assumptions!$B$11),1)</f>
        <v/>
      </c>
      <c r="Q50" s="2">
        <f>IF(P50&gt;=Assumptions!$B$14,"High",IF(P50&gt;=Assumptions!$B$15,"Medium","Low"))</f>
        <v/>
      </c>
      <c r="R50" s="2">
        <f>Cleaned_Data!L50</f>
        <v/>
      </c>
    </row>
    <row r="51">
      <c r="A51" s="2">
        <f>Cleaned_Data!A51</f>
        <v/>
      </c>
      <c r="B51" s="2">
        <f>Cleaned_Data!B51</f>
        <v/>
      </c>
      <c r="C51" s="2">
        <f>Cleaned_Data!G51</f>
        <v/>
      </c>
      <c r="D51" s="2">
        <f>Cleaned_Data!I51</f>
        <v/>
      </c>
      <c r="E51" s="2">
        <f>Cleaned_Data!H51</f>
        <v/>
      </c>
      <c r="F51" s="2">
        <f>Cleaned_Data!F51</f>
        <v/>
      </c>
      <c r="G51" s="9">
        <f>SUMPRODUCT(($B$2:$B$1196=B51)*($F$2:$F$1196&lt;=F51))/SUMPRODUCT(($B$2:$B$1196=B51)*1)</f>
        <v/>
      </c>
      <c r="H51" s="2">
        <f>Cleaned_Data!J51</f>
        <v/>
      </c>
      <c r="I51" s="2">
        <f>Cleaned_Data!E51</f>
        <v/>
      </c>
      <c r="J51" s="2">
        <f>IF(C51="Yes",1,0)</f>
        <v/>
      </c>
      <c r="K51" s="2">
        <f>MIN(MAX(1-(D51-1)/4,0),1)</f>
        <v/>
      </c>
      <c r="L51" s="2">
        <f>MIN(E51/60,1)</f>
        <v/>
      </c>
      <c r="M51" s="2">
        <f>MIN(MAX(1-G51,0),1)</f>
        <v/>
      </c>
      <c r="N51" s="2">
        <f>MIN(MAX(1-(H51-1)/4,0),1)</f>
        <v/>
      </c>
      <c r="O51" s="2">
        <f>1-MIN(I51/8,1)</f>
        <v/>
      </c>
      <c r="P51" s="10">
        <f>ROUND(100*(J51*Assumptions!$B$6+K51*Assumptions!$B$7+L51*Assumptions!$B$8+M51*Assumptions!$B$9+N51*Assumptions!$B$10+O51*Assumptions!$B$11),1)</f>
        <v/>
      </c>
      <c r="Q51" s="2">
        <f>IF(P51&gt;=Assumptions!$B$14,"High",IF(P51&gt;=Assumptions!$B$15,"Medium","Low"))</f>
        <v/>
      </c>
      <c r="R51" s="2">
        <f>Cleaned_Data!L51</f>
        <v/>
      </c>
    </row>
    <row r="52">
      <c r="A52" s="2">
        <f>Cleaned_Data!A52</f>
        <v/>
      </c>
      <c r="B52" s="2">
        <f>Cleaned_Data!B52</f>
        <v/>
      </c>
      <c r="C52" s="2">
        <f>Cleaned_Data!G52</f>
        <v/>
      </c>
      <c r="D52" s="2">
        <f>Cleaned_Data!I52</f>
        <v/>
      </c>
      <c r="E52" s="2">
        <f>Cleaned_Data!H52</f>
        <v/>
      </c>
      <c r="F52" s="2">
        <f>Cleaned_Data!F52</f>
        <v/>
      </c>
      <c r="G52" s="9">
        <f>SUMPRODUCT(($B$2:$B$1196=B52)*($F$2:$F$1196&lt;=F52))/SUMPRODUCT(($B$2:$B$1196=B52)*1)</f>
        <v/>
      </c>
      <c r="H52" s="2">
        <f>Cleaned_Data!J52</f>
        <v/>
      </c>
      <c r="I52" s="2">
        <f>Cleaned_Data!E52</f>
        <v/>
      </c>
      <c r="J52" s="2">
        <f>IF(C52="Yes",1,0)</f>
        <v/>
      </c>
      <c r="K52" s="2">
        <f>MIN(MAX(1-(D52-1)/4,0),1)</f>
        <v/>
      </c>
      <c r="L52" s="2">
        <f>MIN(E52/60,1)</f>
        <v/>
      </c>
      <c r="M52" s="2">
        <f>MIN(MAX(1-G52,0),1)</f>
        <v/>
      </c>
      <c r="N52" s="2">
        <f>MIN(MAX(1-(H52-1)/4,0),1)</f>
        <v/>
      </c>
      <c r="O52" s="2">
        <f>1-MIN(I52/8,1)</f>
        <v/>
      </c>
      <c r="P52" s="10">
        <f>ROUND(100*(J52*Assumptions!$B$6+K52*Assumptions!$B$7+L52*Assumptions!$B$8+M52*Assumptions!$B$9+N52*Assumptions!$B$10+O52*Assumptions!$B$11),1)</f>
        <v/>
      </c>
      <c r="Q52" s="2">
        <f>IF(P52&gt;=Assumptions!$B$14,"High",IF(P52&gt;=Assumptions!$B$15,"Medium","Low"))</f>
        <v/>
      </c>
      <c r="R52" s="2">
        <f>Cleaned_Data!L52</f>
        <v/>
      </c>
    </row>
    <row r="53">
      <c r="A53" s="2">
        <f>Cleaned_Data!A53</f>
        <v/>
      </c>
      <c r="B53" s="2">
        <f>Cleaned_Data!B53</f>
        <v/>
      </c>
      <c r="C53" s="2">
        <f>Cleaned_Data!G53</f>
        <v/>
      </c>
      <c r="D53" s="2">
        <f>Cleaned_Data!I53</f>
        <v/>
      </c>
      <c r="E53" s="2">
        <f>Cleaned_Data!H53</f>
        <v/>
      </c>
      <c r="F53" s="2">
        <f>Cleaned_Data!F53</f>
        <v/>
      </c>
      <c r="G53" s="9">
        <f>SUMPRODUCT(($B$2:$B$1196=B53)*($F$2:$F$1196&lt;=F53))/SUMPRODUCT(($B$2:$B$1196=B53)*1)</f>
        <v/>
      </c>
      <c r="H53" s="2">
        <f>Cleaned_Data!J53</f>
        <v/>
      </c>
      <c r="I53" s="2">
        <f>Cleaned_Data!E53</f>
        <v/>
      </c>
      <c r="J53" s="2">
        <f>IF(C53="Yes",1,0)</f>
        <v/>
      </c>
      <c r="K53" s="2">
        <f>MIN(MAX(1-(D53-1)/4,0),1)</f>
        <v/>
      </c>
      <c r="L53" s="2">
        <f>MIN(E53/60,1)</f>
        <v/>
      </c>
      <c r="M53" s="2">
        <f>MIN(MAX(1-G53,0),1)</f>
        <v/>
      </c>
      <c r="N53" s="2">
        <f>MIN(MAX(1-(H53-1)/4,0),1)</f>
        <v/>
      </c>
      <c r="O53" s="2">
        <f>1-MIN(I53/8,1)</f>
        <v/>
      </c>
      <c r="P53" s="10">
        <f>ROUND(100*(J53*Assumptions!$B$6+K53*Assumptions!$B$7+L53*Assumptions!$B$8+M53*Assumptions!$B$9+N53*Assumptions!$B$10+O53*Assumptions!$B$11),1)</f>
        <v/>
      </c>
      <c r="Q53" s="2">
        <f>IF(P53&gt;=Assumptions!$B$14,"High",IF(P53&gt;=Assumptions!$B$15,"Medium","Low"))</f>
        <v/>
      </c>
      <c r="R53" s="2">
        <f>Cleaned_Data!L53</f>
        <v/>
      </c>
    </row>
    <row r="54">
      <c r="A54" s="2">
        <f>Cleaned_Data!A54</f>
        <v/>
      </c>
      <c r="B54" s="2">
        <f>Cleaned_Data!B54</f>
        <v/>
      </c>
      <c r="C54" s="2">
        <f>Cleaned_Data!G54</f>
        <v/>
      </c>
      <c r="D54" s="2">
        <f>Cleaned_Data!I54</f>
        <v/>
      </c>
      <c r="E54" s="2">
        <f>Cleaned_Data!H54</f>
        <v/>
      </c>
      <c r="F54" s="2">
        <f>Cleaned_Data!F54</f>
        <v/>
      </c>
      <c r="G54" s="9">
        <f>SUMPRODUCT(($B$2:$B$1196=B54)*($F$2:$F$1196&lt;=F54))/SUMPRODUCT(($B$2:$B$1196=B54)*1)</f>
        <v/>
      </c>
      <c r="H54" s="2">
        <f>Cleaned_Data!J54</f>
        <v/>
      </c>
      <c r="I54" s="2">
        <f>Cleaned_Data!E54</f>
        <v/>
      </c>
      <c r="J54" s="2">
        <f>IF(C54="Yes",1,0)</f>
        <v/>
      </c>
      <c r="K54" s="2">
        <f>MIN(MAX(1-(D54-1)/4,0),1)</f>
        <v/>
      </c>
      <c r="L54" s="2">
        <f>MIN(E54/60,1)</f>
        <v/>
      </c>
      <c r="M54" s="2">
        <f>MIN(MAX(1-G54,0),1)</f>
        <v/>
      </c>
      <c r="N54" s="2">
        <f>MIN(MAX(1-(H54-1)/4,0),1)</f>
        <v/>
      </c>
      <c r="O54" s="2">
        <f>1-MIN(I54/8,1)</f>
        <v/>
      </c>
      <c r="P54" s="10">
        <f>ROUND(100*(J54*Assumptions!$B$6+K54*Assumptions!$B$7+L54*Assumptions!$B$8+M54*Assumptions!$B$9+N54*Assumptions!$B$10+O54*Assumptions!$B$11),1)</f>
        <v/>
      </c>
      <c r="Q54" s="2">
        <f>IF(P54&gt;=Assumptions!$B$14,"High",IF(P54&gt;=Assumptions!$B$15,"Medium","Low"))</f>
        <v/>
      </c>
      <c r="R54" s="2">
        <f>Cleaned_Data!L54</f>
        <v/>
      </c>
    </row>
    <row r="55">
      <c r="A55" s="2">
        <f>Cleaned_Data!A55</f>
        <v/>
      </c>
      <c r="B55" s="2">
        <f>Cleaned_Data!B55</f>
        <v/>
      </c>
      <c r="C55" s="2">
        <f>Cleaned_Data!G55</f>
        <v/>
      </c>
      <c r="D55" s="2">
        <f>Cleaned_Data!I55</f>
        <v/>
      </c>
      <c r="E55" s="2">
        <f>Cleaned_Data!H55</f>
        <v/>
      </c>
      <c r="F55" s="2">
        <f>Cleaned_Data!F55</f>
        <v/>
      </c>
      <c r="G55" s="9">
        <f>SUMPRODUCT(($B$2:$B$1196=B55)*($F$2:$F$1196&lt;=F55))/SUMPRODUCT(($B$2:$B$1196=B55)*1)</f>
        <v/>
      </c>
      <c r="H55" s="2">
        <f>Cleaned_Data!J55</f>
        <v/>
      </c>
      <c r="I55" s="2">
        <f>Cleaned_Data!E55</f>
        <v/>
      </c>
      <c r="J55" s="2">
        <f>IF(C55="Yes",1,0)</f>
        <v/>
      </c>
      <c r="K55" s="2">
        <f>MIN(MAX(1-(D55-1)/4,0),1)</f>
        <v/>
      </c>
      <c r="L55" s="2">
        <f>MIN(E55/60,1)</f>
        <v/>
      </c>
      <c r="M55" s="2">
        <f>MIN(MAX(1-G55,0),1)</f>
        <v/>
      </c>
      <c r="N55" s="2">
        <f>MIN(MAX(1-(H55-1)/4,0),1)</f>
        <v/>
      </c>
      <c r="O55" s="2">
        <f>1-MIN(I55/8,1)</f>
        <v/>
      </c>
      <c r="P55" s="10">
        <f>ROUND(100*(J55*Assumptions!$B$6+K55*Assumptions!$B$7+L55*Assumptions!$B$8+M55*Assumptions!$B$9+N55*Assumptions!$B$10+O55*Assumptions!$B$11),1)</f>
        <v/>
      </c>
      <c r="Q55" s="2">
        <f>IF(P55&gt;=Assumptions!$B$14,"High",IF(P55&gt;=Assumptions!$B$15,"Medium","Low"))</f>
        <v/>
      </c>
      <c r="R55" s="2">
        <f>Cleaned_Data!L55</f>
        <v/>
      </c>
    </row>
    <row r="56">
      <c r="A56" s="2">
        <f>Cleaned_Data!A56</f>
        <v/>
      </c>
      <c r="B56" s="2">
        <f>Cleaned_Data!B56</f>
        <v/>
      </c>
      <c r="C56" s="2">
        <f>Cleaned_Data!G56</f>
        <v/>
      </c>
      <c r="D56" s="2">
        <f>Cleaned_Data!I56</f>
        <v/>
      </c>
      <c r="E56" s="2">
        <f>Cleaned_Data!H56</f>
        <v/>
      </c>
      <c r="F56" s="2">
        <f>Cleaned_Data!F56</f>
        <v/>
      </c>
      <c r="G56" s="9">
        <f>SUMPRODUCT(($B$2:$B$1196=B56)*($F$2:$F$1196&lt;=F56))/SUMPRODUCT(($B$2:$B$1196=B56)*1)</f>
        <v/>
      </c>
      <c r="H56" s="2">
        <f>Cleaned_Data!J56</f>
        <v/>
      </c>
      <c r="I56" s="2">
        <f>Cleaned_Data!E56</f>
        <v/>
      </c>
      <c r="J56" s="2">
        <f>IF(C56="Yes",1,0)</f>
        <v/>
      </c>
      <c r="K56" s="2">
        <f>MIN(MAX(1-(D56-1)/4,0),1)</f>
        <v/>
      </c>
      <c r="L56" s="2">
        <f>MIN(E56/60,1)</f>
        <v/>
      </c>
      <c r="M56" s="2">
        <f>MIN(MAX(1-G56,0),1)</f>
        <v/>
      </c>
      <c r="N56" s="2">
        <f>MIN(MAX(1-(H56-1)/4,0),1)</f>
        <v/>
      </c>
      <c r="O56" s="2">
        <f>1-MIN(I56/8,1)</f>
        <v/>
      </c>
      <c r="P56" s="10">
        <f>ROUND(100*(J56*Assumptions!$B$6+K56*Assumptions!$B$7+L56*Assumptions!$B$8+M56*Assumptions!$B$9+N56*Assumptions!$B$10+O56*Assumptions!$B$11),1)</f>
        <v/>
      </c>
      <c r="Q56" s="2">
        <f>IF(P56&gt;=Assumptions!$B$14,"High",IF(P56&gt;=Assumptions!$B$15,"Medium","Low"))</f>
        <v/>
      </c>
      <c r="R56" s="2">
        <f>Cleaned_Data!L56</f>
        <v/>
      </c>
    </row>
    <row r="57">
      <c r="A57" s="2">
        <f>Cleaned_Data!A57</f>
        <v/>
      </c>
      <c r="B57" s="2">
        <f>Cleaned_Data!B57</f>
        <v/>
      </c>
      <c r="C57" s="2">
        <f>Cleaned_Data!G57</f>
        <v/>
      </c>
      <c r="D57" s="2">
        <f>Cleaned_Data!I57</f>
        <v/>
      </c>
      <c r="E57" s="2">
        <f>Cleaned_Data!H57</f>
        <v/>
      </c>
      <c r="F57" s="2">
        <f>Cleaned_Data!F57</f>
        <v/>
      </c>
      <c r="G57" s="9">
        <f>SUMPRODUCT(($B$2:$B$1196=B57)*($F$2:$F$1196&lt;=F57))/SUMPRODUCT(($B$2:$B$1196=B57)*1)</f>
        <v/>
      </c>
      <c r="H57" s="2">
        <f>Cleaned_Data!J57</f>
        <v/>
      </c>
      <c r="I57" s="2">
        <f>Cleaned_Data!E57</f>
        <v/>
      </c>
      <c r="J57" s="2">
        <f>IF(C57="Yes",1,0)</f>
        <v/>
      </c>
      <c r="K57" s="2">
        <f>MIN(MAX(1-(D57-1)/4,0),1)</f>
        <v/>
      </c>
      <c r="L57" s="2">
        <f>MIN(E57/60,1)</f>
        <v/>
      </c>
      <c r="M57" s="2">
        <f>MIN(MAX(1-G57,0),1)</f>
        <v/>
      </c>
      <c r="N57" s="2">
        <f>MIN(MAX(1-(H57-1)/4,0),1)</f>
        <v/>
      </c>
      <c r="O57" s="2">
        <f>1-MIN(I57/8,1)</f>
        <v/>
      </c>
      <c r="P57" s="10">
        <f>ROUND(100*(J57*Assumptions!$B$6+K57*Assumptions!$B$7+L57*Assumptions!$B$8+M57*Assumptions!$B$9+N57*Assumptions!$B$10+O57*Assumptions!$B$11),1)</f>
        <v/>
      </c>
      <c r="Q57" s="2">
        <f>IF(P57&gt;=Assumptions!$B$14,"High",IF(P57&gt;=Assumptions!$B$15,"Medium","Low"))</f>
        <v/>
      </c>
      <c r="R57" s="2">
        <f>Cleaned_Data!L57</f>
        <v/>
      </c>
    </row>
    <row r="58">
      <c r="A58" s="2">
        <f>Cleaned_Data!A58</f>
        <v/>
      </c>
      <c r="B58" s="2">
        <f>Cleaned_Data!B58</f>
        <v/>
      </c>
      <c r="C58" s="2">
        <f>Cleaned_Data!G58</f>
        <v/>
      </c>
      <c r="D58" s="2">
        <f>Cleaned_Data!I58</f>
        <v/>
      </c>
      <c r="E58" s="2">
        <f>Cleaned_Data!H58</f>
        <v/>
      </c>
      <c r="F58" s="2">
        <f>Cleaned_Data!F58</f>
        <v/>
      </c>
      <c r="G58" s="9">
        <f>SUMPRODUCT(($B$2:$B$1196=B58)*($F$2:$F$1196&lt;=F58))/SUMPRODUCT(($B$2:$B$1196=B58)*1)</f>
        <v/>
      </c>
      <c r="H58" s="2">
        <f>Cleaned_Data!J58</f>
        <v/>
      </c>
      <c r="I58" s="2">
        <f>Cleaned_Data!E58</f>
        <v/>
      </c>
      <c r="J58" s="2">
        <f>IF(C58="Yes",1,0)</f>
        <v/>
      </c>
      <c r="K58" s="2">
        <f>MIN(MAX(1-(D58-1)/4,0),1)</f>
        <v/>
      </c>
      <c r="L58" s="2">
        <f>MIN(E58/60,1)</f>
        <v/>
      </c>
      <c r="M58" s="2">
        <f>MIN(MAX(1-G58,0),1)</f>
        <v/>
      </c>
      <c r="N58" s="2">
        <f>MIN(MAX(1-(H58-1)/4,0),1)</f>
        <v/>
      </c>
      <c r="O58" s="2">
        <f>1-MIN(I58/8,1)</f>
        <v/>
      </c>
      <c r="P58" s="10">
        <f>ROUND(100*(J58*Assumptions!$B$6+K58*Assumptions!$B$7+L58*Assumptions!$B$8+M58*Assumptions!$B$9+N58*Assumptions!$B$10+O58*Assumptions!$B$11),1)</f>
        <v/>
      </c>
      <c r="Q58" s="2">
        <f>IF(P58&gt;=Assumptions!$B$14,"High",IF(P58&gt;=Assumptions!$B$15,"Medium","Low"))</f>
        <v/>
      </c>
      <c r="R58" s="2">
        <f>Cleaned_Data!L58</f>
        <v/>
      </c>
    </row>
    <row r="59">
      <c r="A59" s="2">
        <f>Cleaned_Data!A59</f>
        <v/>
      </c>
      <c r="B59" s="2">
        <f>Cleaned_Data!B59</f>
        <v/>
      </c>
      <c r="C59" s="2">
        <f>Cleaned_Data!G59</f>
        <v/>
      </c>
      <c r="D59" s="2">
        <f>Cleaned_Data!I59</f>
        <v/>
      </c>
      <c r="E59" s="2">
        <f>Cleaned_Data!H59</f>
        <v/>
      </c>
      <c r="F59" s="2">
        <f>Cleaned_Data!F59</f>
        <v/>
      </c>
      <c r="G59" s="9">
        <f>SUMPRODUCT(($B$2:$B$1196=B59)*($F$2:$F$1196&lt;=F59))/SUMPRODUCT(($B$2:$B$1196=B59)*1)</f>
        <v/>
      </c>
      <c r="H59" s="2">
        <f>Cleaned_Data!J59</f>
        <v/>
      </c>
      <c r="I59" s="2">
        <f>Cleaned_Data!E59</f>
        <v/>
      </c>
      <c r="J59" s="2">
        <f>IF(C59="Yes",1,0)</f>
        <v/>
      </c>
      <c r="K59" s="2">
        <f>MIN(MAX(1-(D59-1)/4,0),1)</f>
        <v/>
      </c>
      <c r="L59" s="2">
        <f>MIN(E59/60,1)</f>
        <v/>
      </c>
      <c r="M59" s="2">
        <f>MIN(MAX(1-G59,0),1)</f>
        <v/>
      </c>
      <c r="N59" s="2">
        <f>MIN(MAX(1-(H59-1)/4,0),1)</f>
        <v/>
      </c>
      <c r="O59" s="2">
        <f>1-MIN(I59/8,1)</f>
        <v/>
      </c>
      <c r="P59" s="10">
        <f>ROUND(100*(J59*Assumptions!$B$6+K59*Assumptions!$B$7+L59*Assumptions!$B$8+M59*Assumptions!$B$9+N59*Assumptions!$B$10+O59*Assumptions!$B$11),1)</f>
        <v/>
      </c>
      <c r="Q59" s="2">
        <f>IF(P59&gt;=Assumptions!$B$14,"High",IF(P59&gt;=Assumptions!$B$15,"Medium","Low"))</f>
        <v/>
      </c>
      <c r="R59" s="2">
        <f>Cleaned_Data!L59</f>
        <v/>
      </c>
    </row>
    <row r="60">
      <c r="A60" s="2">
        <f>Cleaned_Data!A60</f>
        <v/>
      </c>
      <c r="B60" s="2">
        <f>Cleaned_Data!B60</f>
        <v/>
      </c>
      <c r="C60" s="2">
        <f>Cleaned_Data!G60</f>
        <v/>
      </c>
      <c r="D60" s="2">
        <f>Cleaned_Data!I60</f>
        <v/>
      </c>
      <c r="E60" s="2">
        <f>Cleaned_Data!H60</f>
        <v/>
      </c>
      <c r="F60" s="2">
        <f>Cleaned_Data!F60</f>
        <v/>
      </c>
      <c r="G60" s="9">
        <f>SUMPRODUCT(($B$2:$B$1196=B60)*($F$2:$F$1196&lt;=F60))/SUMPRODUCT(($B$2:$B$1196=B60)*1)</f>
        <v/>
      </c>
      <c r="H60" s="2">
        <f>Cleaned_Data!J60</f>
        <v/>
      </c>
      <c r="I60" s="2">
        <f>Cleaned_Data!E60</f>
        <v/>
      </c>
      <c r="J60" s="2">
        <f>IF(C60="Yes",1,0)</f>
        <v/>
      </c>
      <c r="K60" s="2">
        <f>MIN(MAX(1-(D60-1)/4,0),1)</f>
        <v/>
      </c>
      <c r="L60" s="2">
        <f>MIN(E60/60,1)</f>
        <v/>
      </c>
      <c r="M60" s="2">
        <f>MIN(MAX(1-G60,0),1)</f>
        <v/>
      </c>
      <c r="N60" s="2">
        <f>MIN(MAX(1-(H60-1)/4,0),1)</f>
        <v/>
      </c>
      <c r="O60" s="2">
        <f>1-MIN(I60/8,1)</f>
        <v/>
      </c>
      <c r="P60" s="10">
        <f>ROUND(100*(J60*Assumptions!$B$6+K60*Assumptions!$B$7+L60*Assumptions!$B$8+M60*Assumptions!$B$9+N60*Assumptions!$B$10+O60*Assumptions!$B$11),1)</f>
        <v/>
      </c>
      <c r="Q60" s="2">
        <f>IF(P60&gt;=Assumptions!$B$14,"High",IF(P60&gt;=Assumptions!$B$15,"Medium","Low"))</f>
        <v/>
      </c>
      <c r="R60" s="2">
        <f>Cleaned_Data!L60</f>
        <v/>
      </c>
    </row>
    <row r="61">
      <c r="A61" s="2">
        <f>Cleaned_Data!A61</f>
        <v/>
      </c>
      <c r="B61" s="2">
        <f>Cleaned_Data!B61</f>
        <v/>
      </c>
      <c r="C61" s="2">
        <f>Cleaned_Data!G61</f>
        <v/>
      </c>
      <c r="D61" s="2">
        <f>Cleaned_Data!I61</f>
        <v/>
      </c>
      <c r="E61" s="2">
        <f>Cleaned_Data!H61</f>
        <v/>
      </c>
      <c r="F61" s="2">
        <f>Cleaned_Data!F61</f>
        <v/>
      </c>
      <c r="G61" s="9">
        <f>SUMPRODUCT(($B$2:$B$1196=B61)*($F$2:$F$1196&lt;=F61))/SUMPRODUCT(($B$2:$B$1196=B61)*1)</f>
        <v/>
      </c>
      <c r="H61" s="2">
        <f>Cleaned_Data!J61</f>
        <v/>
      </c>
      <c r="I61" s="2">
        <f>Cleaned_Data!E61</f>
        <v/>
      </c>
      <c r="J61" s="2">
        <f>IF(C61="Yes",1,0)</f>
        <v/>
      </c>
      <c r="K61" s="2">
        <f>MIN(MAX(1-(D61-1)/4,0),1)</f>
        <v/>
      </c>
      <c r="L61" s="2">
        <f>MIN(E61/60,1)</f>
        <v/>
      </c>
      <c r="M61" s="2">
        <f>MIN(MAX(1-G61,0),1)</f>
        <v/>
      </c>
      <c r="N61" s="2">
        <f>MIN(MAX(1-(H61-1)/4,0),1)</f>
        <v/>
      </c>
      <c r="O61" s="2">
        <f>1-MIN(I61/8,1)</f>
        <v/>
      </c>
      <c r="P61" s="10">
        <f>ROUND(100*(J61*Assumptions!$B$6+K61*Assumptions!$B$7+L61*Assumptions!$B$8+M61*Assumptions!$B$9+N61*Assumptions!$B$10+O61*Assumptions!$B$11),1)</f>
        <v/>
      </c>
      <c r="Q61" s="2">
        <f>IF(P61&gt;=Assumptions!$B$14,"High",IF(P61&gt;=Assumptions!$B$15,"Medium","Low"))</f>
        <v/>
      </c>
      <c r="R61" s="2">
        <f>Cleaned_Data!L61</f>
        <v/>
      </c>
    </row>
    <row r="62">
      <c r="A62" s="2">
        <f>Cleaned_Data!A62</f>
        <v/>
      </c>
      <c r="B62" s="2">
        <f>Cleaned_Data!B62</f>
        <v/>
      </c>
      <c r="C62" s="2">
        <f>Cleaned_Data!G62</f>
        <v/>
      </c>
      <c r="D62" s="2">
        <f>Cleaned_Data!I62</f>
        <v/>
      </c>
      <c r="E62" s="2">
        <f>Cleaned_Data!H62</f>
        <v/>
      </c>
      <c r="F62" s="2">
        <f>Cleaned_Data!F62</f>
        <v/>
      </c>
      <c r="G62" s="9">
        <f>SUMPRODUCT(($B$2:$B$1196=B62)*($F$2:$F$1196&lt;=F62))/SUMPRODUCT(($B$2:$B$1196=B62)*1)</f>
        <v/>
      </c>
      <c r="H62" s="2">
        <f>Cleaned_Data!J62</f>
        <v/>
      </c>
      <c r="I62" s="2">
        <f>Cleaned_Data!E62</f>
        <v/>
      </c>
      <c r="J62" s="2">
        <f>IF(C62="Yes",1,0)</f>
        <v/>
      </c>
      <c r="K62" s="2">
        <f>MIN(MAX(1-(D62-1)/4,0),1)</f>
        <v/>
      </c>
      <c r="L62" s="2">
        <f>MIN(E62/60,1)</f>
        <v/>
      </c>
      <c r="M62" s="2">
        <f>MIN(MAX(1-G62,0),1)</f>
        <v/>
      </c>
      <c r="N62" s="2">
        <f>MIN(MAX(1-(H62-1)/4,0),1)</f>
        <v/>
      </c>
      <c r="O62" s="2">
        <f>1-MIN(I62/8,1)</f>
        <v/>
      </c>
      <c r="P62" s="10">
        <f>ROUND(100*(J62*Assumptions!$B$6+K62*Assumptions!$B$7+L62*Assumptions!$B$8+M62*Assumptions!$B$9+N62*Assumptions!$B$10+O62*Assumptions!$B$11),1)</f>
        <v/>
      </c>
      <c r="Q62" s="2">
        <f>IF(P62&gt;=Assumptions!$B$14,"High",IF(P62&gt;=Assumptions!$B$15,"Medium","Low"))</f>
        <v/>
      </c>
      <c r="R62" s="2">
        <f>Cleaned_Data!L62</f>
        <v/>
      </c>
    </row>
    <row r="63">
      <c r="A63" s="2">
        <f>Cleaned_Data!A63</f>
        <v/>
      </c>
      <c r="B63" s="2">
        <f>Cleaned_Data!B63</f>
        <v/>
      </c>
      <c r="C63" s="2">
        <f>Cleaned_Data!G63</f>
        <v/>
      </c>
      <c r="D63" s="2">
        <f>Cleaned_Data!I63</f>
        <v/>
      </c>
      <c r="E63" s="2">
        <f>Cleaned_Data!H63</f>
        <v/>
      </c>
      <c r="F63" s="2">
        <f>Cleaned_Data!F63</f>
        <v/>
      </c>
      <c r="G63" s="9">
        <f>SUMPRODUCT(($B$2:$B$1196=B63)*($F$2:$F$1196&lt;=F63))/SUMPRODUCT(($B$2:$B$1196=B63)*1)</f>
        <v/>
      </c>
      <c r="H63" s="2">
        <f>Cleaned_Data!J63</f>
        <v/>
      </c>
      <c r="I63" s="2">
        <f>Cleaned_Data!E63</f>
        <v/>
      </c>
      <c r="J63" s="2">
        <f>IF(C63="Yes",1,0)</f>
        <v/>
      </c>
      <c r="K63" s="2">
        <f>MIN(MAX(1-(D63-1)/4,0),1)</f>
        <v/>
      </c>
      <c r="L63" s="2">
        <f>MIN(E63/60,1)</f>
        <v/>
      </c>
      <c r="M63" s="2">
        <f>MIN(MAX(1-G63,0),1)</f>
        <v/>
      </c>
      <c r="N63" s="2">
        <f>MIN(MAX(1-(H63-1)/4,0),1)</f>
        <v/>
      </c>
      <c r="O63" s="2">
        <f>1-MIN(I63/8,1)</f>
        <v/>
      </c>
      <c r="P63" s="10">
        <f>ROUND(100*(J63*Assumptions!$B$6+K63*Assumptions!$B$7+L63*Assumptions!$B$8+M63*Assumptions!$B$9+N63*Assumptions!$B$10+O63*Assumptions!$B$11),1)</f>
        <v/>
      </c>
      <c r="Q63" s="2">
        <f>IF(P63&gt;=Assumptions!$B$14,"High",IF(P63&gt;=Assumptions!$B$15,"Medium","Low"))</f>
        <v/>
      </c>
      <c r="R63" s="2">
        <f>Cleaned_Data!L63</f>
        <v/>
      </c>
    </row>
    <row r="64">
      <c r="A64" s="2">
        <f>Cleaned_Data!A64</f>
        <v/>
      </c>
      <c r="B64" s="2">
        <f>Cleaned_Data!B64</f>
        <v/>
      </c>
      <c r="C64" s="2">
        <f>Cleaned_Data!G64</f>
        <v/>
      </c>
      <c r="D64" s="2">
        <f>Cleaned_Data!I64</f>
        <v/>
      </c>
      <c r="E64" s="2">
        <f>Cleaned_Data!H64</f>
        <v/>
      </c>
      <c r="F64" s="2">
        <f>Cleaned_Data!F64</f>
        <v/>
      </c>
      <c r="G64" s="9">
        <f>SUMPRODUCT(($B$2:$B$1196=B64)*($F$2:$F$1196&lt;=F64))/SUMPRODUCT(($B$2:$B$1196=B64)*1)</f>
        <v/>
      </c>
      <c r="H64" s="2">
        <f>Cleaned_Data!J64</f>
        <v/>
      </c>
      <c r="I64" s="2">
        <f>Cleaned_Data!E64</f>
        <v/>
      </c>
      <c r="J64" s="2">
        <f>IF(C64="Yes",1,0)</f>
        <v/>
      </c>
      <c r="K64" s="2">
        <f>MIN(MAX(1-(D64-1)/4,0),1)</f>
        <v/>
      </c>
      <c r="L64" s="2">
        <f>MIN(E64/60,1)</f>
        <v/>
      </c>
      <c r="M64" s="2">
        <f>MIN(MAX(1-G64,0),1)</f>
        <v/>
      </c>
      <c r="N64" s="2">
        <f>MIN(MAX(1-(H64-1)/4,0),1)</f>
        <v/>
      </c>
      <c r="O64" s="2">
        <f>1-MIN(I64/8,1)</f>
        <v/>
      </c>
      <c r="P64" s="10">
        <f>ROUND(100*(J64*Assumptions!$B$6+K64*Assumptions!$B$7+L64*Assumptions!$B$8+M64*Assumptions!$B$9+N64*Assumptions!$B$10+O64*Assumptions!$B$11),1)</f>
        <v/>
      </c>
      <c r="Q64" s="2">
        <f>IF(P64&gt;=Assumptions!$B$14,"High",IF(P64&gt;=Assumptions!$B$15,"Medium","Low"))</f>
        <v/>
      </c>
      <c r="R64" s="2">
        <f>Cleaned_Data!L64</f>
        <v/>
      </c>
    </row>
    <row r="65">
      <c r="A65" s="2">
        <f>Cleaned_Data!A65</f>
        <v/>
      </c>
      <c r="B65" s="2">
        <f>Cleaned_Data!B65</f>
        <v/>
      </c>
      <c r="C65" s="2">
        <f>Cleaned_Data!G65</f>
        <v/>
      </c>
      <c r="D65" s="2">
        <f>Cleaned_Data!I65</f>
        <v/>
      </c>
      <c r="E65" s="2">
        <f>Cleaned_Data!H65</f>
        <v/>
      </c>
      <c r="F65" s="2">
        <f>Cleaned_Data!F65</f>
        <v/>
      </c>
      <c r="G65" s="9">
        <f>SUMPRODUCT(($B$2:$B$1196=B65)*($F$2:$F$1196&lt;=F65))/SUMPRODUCT(($B$2:$B$1196=B65)*1)</f>
        <v/>
      </c>
      <c r="H65" s="2">
        <f>Cleaned_Data!J65</f>
        <v/>
      </c>
      <c r="I65" s="2">
        <f>Cleaned_Data!E65</f>
        <v/>
      </c>
      <c r="J65" s="2">
        <f>IF(C65="Yes",1,0)</f>
        <v/>
      </c>
      <c r="K65" s="2">
        <f>MIN(MAX(1-(D65-1)/4,0),1)</f>
        <v/>
      </c>
      <c r="L65" s="2">
        <f>MIN(E65/60,1)</f>
        <v/>
      </c>
      <c r="M65" s="2">
        <f>MIN(MAX(1-G65,0),1)</f>
        <v/>
      </c>
      <c r="N65" s="2">
        <f>MIN(MAX(1-(H65-1)/4,0),1)</f>
        <v/>
      </c>
      <c r="O65" s="2">
        <f>1-MIN(I65/8,1)</f>
        <v/>
      </c>
      <c r="P65" s="10">
        <f>ROUND(100*(J65*Assumptions!$B$6+K65*Assumptions!$B$7+L65*Assumptions!$B$8+M65*Assumptions!$B$9+N65*Assumptions!$B$10+O65*Assumptions!$B$11),1)</f>
        <v/>
      </c>
      <c r="Q65" s="2">
        <f>IF(P65&gt;=Assumptions!$B$14,"High",IF(P65&gt;=Assumptions!$B$15,"Medium","Low"))</f>
        <v/>
      </c>
      <c r="R65" s="2">
        <f>Cleaned_Data!L65</f>
        <v/>
      </c>
    </row>
    <row r="66">
      <c r="A66" s="2">
        <f>Cleaned_Data!A66</f>
        <v/>
      </c>
      <c r="B66" s="2">
        <f>Cleaned_Data!B66</f>
        <v/>
      </c>
      <c r="C66" s="2">
        <f>Cleaned_Data!G66</f>
        <v/>
      </c>
      <c r="D66" s="2">
        <f>Cleaned_Data!I66</f>
        <v/>
      </c>
      <c r="E66" s="2">
        <f>Cleaned_Data!H66</f>
        <v/>
      </c>
      <c r="F66" s="2">
        <f>Cleaned_Data!F66</f>
        <v/>
      </c>
      <c r="G66" s="9">
        <f>SUMPRODUCT(($B$2:$B$1196=B66)*($F$2:$F$1196&lt;=F66))/SUMPRODUCT(($B$2:$B$1196=B66)*1)</f>
        <v/>
      </c>
      <c r="H66" s="2">
        <f>Cleaned_Data!J66</f>
        <v/>
      </c>
      <c r="I66" s="2">
        <f>Cleaned_Data!E66</f>
        <v/>
      </c>
      <c r="J66" s="2">
        <f>IF(C66="Yes",1,0)</f>
        <v/>
      </c>
      <c r="K66" s="2">
        <f>MIN(MAX(1-(D66-1)/4,0),1)</f>
        <v/>
      </c>
      <c r="L66" s="2">
        <f>MIN(E66/60,1)</f>
        <v/>
      </c>
      <c r="M66" s="2">
        <f>MIN(MAX(1-G66,0),1)</f>
        <v/>
      </c>
      <c r="N66" s="2">
        <f>MIN(MAX(1-(H66-1)/4,0),1)</f>
        <v/>
      </c>
      <c r="O66" s="2">
        <f>1-MIN(I66/8,1)</f>
        <v/>
      </c>
      <c r="P66" s="10">
        <f>ROUND(100*(J66*Assumptions!$B$6+K66*Assumptions!$B$7+L66*Assumptions!$B$8+M66*Assumptions!$B$9+N66*Assumptions!$B$10+O66*Assumptions!$B$11),1)</f>
        <v/>
      </c>
      <c r="Q66" s="2">
        <f>IF(P66&gt;=Assumptions!$B$14,"High",IF(P66&gt;=Assumptions!$B$15,"Medium","Low"))</f>
        <v/>
      </c>
      <c r="R66" s="2">
        <f>Cleaned_Data!L66</f>
        <v/>
      </c>
    </row>
    <row r="67">
      <c r="A67" s="2">
        <f>Cleaned_Data!A67</f>
        <v/>
      </c>
      <c r="B67" s="2">
        <f>Cleaned_Data!B67</f>
        <v/>
      </c>
      <c r="C67" s="2">
        <f>Cleaned_Data!G67</f>
        <v/>
      </c>
      <c r="D67" s="2">
        <f>Cleaned_Data!I67</f>
        <v/>
      </c>
      <c r="E67" s="2">
        <f>Cleaned_Data!H67</f>
        <v/>
      </c>
      <c r="F67" s="2">
        <f>Cleaned_Data!F67</f>
        <v/>
      </c>
      <c r="G67" s="9">
        <f>SUMPRODUCT(($B$2:$B$1196=B67)*($F$2:$F$1196&lt;=F67))/SUMPRODUCT(($B$2:$B$1196=B67)*1)</f>
        <v/>
      </c>
      <c r="H67" s="2">
        <f>Cleaned_Data!J67</f>
        <v/>
      </c>
      <c r="I67" s="2">
        <f>Cleaned_Data!E67</f>
        <v/>
      </c>
      <c r="J67" s="2">
        <f>IF(C67="Yes",1,0)</f>
        <v/>
      </c>
      <c r="K67" s="2">
        <f>MIN(MAX(1-(D67-1)/4,0),1)</f>
        <v/>
      </c>
      <c r="L67" s="2">
        <f>MIN(E67/60,1)</f>
        <v/>
      </c>
      <c r="M67" s="2">
        <f>MIN(MAX(1-G67,0),1)</f>
        <v/>
      </c>
      <c r="N67" s="2">
        <f>MIN(MAX(1-(H67-1)/4,0),1)</f>
        <v/>
      </c>
      <c r="O67" s="2">
        <f>1-MIN(I67/8,1)</f>
        <v/>
      </c>
      <c r="P67" s="10">
        <f>ROUND(100*(J67*Assumptions!$B$6+K67*Assumptions!$B$7+L67*Assumptions!$B$8+M67*Assumptions!$B$9+N67*Assumptions!$B$10+O67*Assumptions!$B$11),1)</f>
        <v/>
      </c>
      <c r="Q67" s="2">
        <f>IF(P67&gt;=Assumptions!$B$14,"High",IF(P67&gt;=Assumptions!$B$15,"Medium","Low"))</f>
        <v/>
      </c>
      <c r="R67" s="2">
        <f>Cleaned_Data!L67</f>
        <v/>
      </c>
    </row>
    <row r="68">
      <c r="A68" s="2">
        <f>Cleaned_Data!A68</f>
        <v/>
      </c>
      <c r="B68" s="2">
        <f>Cleaned_Data!B68</f>
        <v/>
      </c>
      <c r="C68" s="2">
        <f>Cleaned_Data!G68</f>
        <v/>
      </c>
      <c r="D68" s="2">
        <f>Cleaned_Data!I68</f>
        <v/>
      </c>
      <c r="E68" s="2">
        <f>Cleaned_Data!H68</f>
        <v/>
      </c>
      <c r="F68" s="2">
        <f>Cleaned_Data!F68</f>
        <v/>
      </c>
      <c r="G68" s="9">
        <f>SUMPRODUCT(($B$2:$B$1196=B68)*($F$2:$F$1196&lt;=F68))/SUMPRODUCT(($B$2:$B$1196=B68)*1)</f>
        <v/>
      </c>
      <c r="H68" s="2">
        <f>Cleaned_Data!J68</f>
        <v/>
      </c>
      <c r="I68" s="2">
        <f>Cleaned_Data!E68</f>
        <v/>
      </c>
      <c r="J68" s="2">
        <f>IF(C68="Yes",1,0)</f>
        <v/>
      </c>
      <c r="K68" s="2">
        <f>MIN(MAX(1-(D68-1)/4,0),1)</f>
        <v/>
      </c>
      <c r="L68" s="2">
        <f>MIN(E68/60,1)</f>
        <v/>
      </c>
      <c r="M68" s="2">
        <f>MIN(MAX(1-G68,0),1)</f>
        <v/>
      </c>
      <c r="N68" s="2">
        <f>MIN(MAX(1-(H68-1)/4,0),1)</f>
        <v/>
      </c>
      <c r="O68" s="2">
        <f>1-MIN(I68/8,1)</f>
        <v/>
      </c>
      <c r="P68" s="10">
        <f>ROUND(100*(J68*Assumptions!$B$6+K68*Assumptions!$B$7+L68*Assumptions!$B$8+M68*Assumptions!$B$9+N68*Assumptions!$B$10+O68*Assumptions!$B$11),1)</f>
        <v/>
      </c>
      <c r="Q68" s="2">
        <f>IF(P68&gt;=Assumptions!$B$14,"High",IF(P68&gt;=Assumptions!$B$15,"Medium","Low"))</f>
        <v/>
      </c>
      <c r="R68" s="2">
        <f>Cleaned_Data!L68</f>
        <v/>
      </c>
    </row>
    <row r="69">
      <c r="A69" s="2">
        <f>Cleaned_Data!A69</f>
        <v/>
      </c>
      <c r="B69" s="2">
        <f>Cleaned_Data!B69</f>
        <v/>
      </c>
      <c r="C69" s="2">
        <f>Cleaned_Data!G69</f>
        <v/>
      </c>
      <c r="D69" s="2">
        <f>Cleaned_Data!I69</f>
        <v/>
      </c>
      <c r="E69" s="2">
        <f>Cleaned_Data!H69</f>
        <v/>
      </c>
      <c r="F69" s="2">
        <f>Cleaned_Data!F69</f>
        <v/>
      </c>
      <c r="G69" s="9">
        <f>SUMPRODUCT(($B$2:$B$1196=B69)*($F$2:$F$1196&lt;=F69))/SUMPRODUCT(($B$2:$B$1196=B69)*1)</f>
        <v/>
      </c>
      <c r="H69" s="2">
        <f>Cleaned_Data!J69</f>
        <v/>
      </c>
      <c r="I69" s="2">
        <f>Cleaned_Data!E69</f>
        <v/>
      </c>
      <c r="J69" s="2">
        <f>IF(C69="Yes",1,0)</f>
        <v/>
      </c>
      <c r="K69" s="2">
        <f>MIN(MAX(1-(D69-1)/4,0),1)</f>
        <v/>
      </c>
      <c r="L69" s="2">
        <f>MIN(E69/60,1)</f>
        <v/>
      </c>
      <c r="M69" s="2">
        <f>MIN(MAX(1-G69,0),1)</f>
        <v/>
      </c>
      <c r="N69" s="2">
        <f>MIN(MAX(1-(H69-1)/4,0),1)</f>
        <v/>
      </c>
      <c r="O69" s="2">
        <f>1-MIN(I69/8,1)</f>
        <v/>
      </c>
      <c r="P69" s="10">
        <f>ROUND(100*(J69*Assumptions!$B$6+K69*Assumptions!$B$7+L69*Assumptions!$B$8+M69*Assumptions!$B$9+N69*Assumptions!$B$10+O69*Assumptions!$B$11),1)</f>
        <v/>
      </c>
      <c r="Q69" s="2">
        <f>IF(P69&gt;=Assumptions!$B$14,"High",IF(P69&gt;=Assumptions!$B$15,"Medium","Low"))</f>
        <v/>
      </c>
      <c r="R69" s="2">
        <f>Cleaned_Data!L69</f>
        <v/>
      </c>
    </row>
    <row r="70">
      <c r="A70" s="2">
        <f>Cleaned_Data!A70</f>
        <v/>
      </c>
      <c r="B70" s="2">
        <f>Cleaned_Data!B70</f>
        <v/>
      </c>
      <c r="C70" s="2">
        <f>Cleaned_Data!G70</f>
        <v/>
      </c>
      <c r="D70" s="2">
        <f>Cleaned_Data!I70</f>
        <v/>
      </c>
      <c r="E70" s="2">
        <f>Cleaned_Data!H70</f>
        <v/>
      </c>
      <c r="F70" s="2">
        <f>Cleaned_Data!F70</f>
        <v/>
      </c>
      <c r="G70" s="9">
        <f>SUMPRODUCT(($B$2:$B$1196=B70)*($F$2:$F$1196&lt;=F70))/SUMPRODUCT(($B$2:$B$1196=B70)*1)</f>
        <v/>
      </c>
      <c r="H70" s="2">
        <f>Cleaned_Data!J70</f>
        <v/>
      </c>
      <c r="I70" s="2">
        <f>Cleaned_Data!E70</f>
        <v/>
      </c>
      <c r="J70" s="2">
        <f>IF(C70="Yes",1,0)</f>
        <v/>
      </c>
      <c r="K70" s="2">
        <f>MIN(MAX(1-(D70-1)/4,0),1)</f>
        <v/>
      </c>
      <c r="L70" s="2">
        <f>MIN(E70/60,1)</f>
        <v/>
      </c>
      <c r="M70" s="2">
        <f>MIN(MAX(1-G70,0),1)</f>
        <v/>
      </c>
      <c r="N70" s="2">
        <f>MIN(MAX(1-(H70-1)/4,0),1)</f>
        <v/>
      </c>
      <c r="O70" s="2">
        <f>1-MIN(I70/8,1)</f>
        <v/>
      </c>
      <c r="P70" s="10">
        <f>ROUND(100*(J70*Assumptions!$B$6+K70*Assumptions!$B$7+L70*Assumptions!$B$8+M70*Assumptions!$B$9+N70*Assumptions!$B$10+O70*Assumptions!$B$11),1)</f>
        <v/>
      </c>
      <c r="Q70" s="2">
        <f>IF(P70&gt;=Assumptions!$B$14,"High",IF(P70&gt;=Assumptions!$B$15,"Medium","Low"))</f>
        <v/>
      </c>
      <c r="R70" s="2">
        <f>Cleaned_Data!L70</f>
        <v/>
      </c>
    </row>
    <row r="71">
      <c r="A71" s="2">
        <f>Cleaned_Data!A71</f>
        <v/>
      </c>
      <c r="B71" s="2">
        <f>Cleaned_Data!B71</f>
        <v/>
      </c>
      <c r="C71" s="2">
        <f>Cleaned_Data!G71</f>
        <v/>
      </c>
      <c r="D71" s="2">
        <f>Cleaned_Data!I71</f>
        <v/>
      </c>
      <c r="E71" s="2">
        <f>Cleaned_Data!H71</f>
        <v/>
      </c>
      <c r="F71" s="2">
        <f>Cleaned_Data!F71</f>
        <v/>
      </c>
      <c r="G71" s="9">
        <f>SUMPRODUCT(($B$2:$B$1196=B71)*($F$2:$F$1196&lt;=F71))/SUMPRODUCT(($B$2:$B$1196=B71)*1)</f>
        <v/>
      </c>
      <c r="H71" s="2">
        <f>Cleaned_Data!J71</f>
        <v/>
      </c>
      <c r="I71" s="2">
        <f>Cleaned_Data!E71</f>
        <v/>
      </c>
      <c r="J71" s="2">
        <f>IF(C71="Yes",1,0)</f>
        <v/>
      </c>
      <c r="K71" s="2">
        <f>MIN(MAX(1-(D71-1)/4,0),1)</f>
        <v/>
      </c>
      <c r="L71" s="2">
        <f>MIN(E71/60,1)</f>
        <v/>
      </c>
      <c r="M71" s="2">
        <f>MIN(MAX(1-G71,0),1)</f>
        <v/>
      </c>
      <c r="N71" s="2">
        <f>MIN(MAX(1-(H71-1)/4,0),1)</f>
        <v/>
      </c>
      <c r="O71" s="2">
        <f>1-MIN(I71/8,1)</f>
        <v/>
      </c>
      <c r="P71" s="10">
        <f>ROUND(100*(J71*Assumptions!$B$6+K71*Assumptions!$B$7+L71*Assumptions!$B$8+M71*Assumptions!$B$9+N71*Assumptions!$B$10+O71*Assumptions!$B$11),1)</f>
        <v/>
      </c>
      <c r="Q71" s="2">
        <f>IF(P71&gt;=Assumptions!$B$14,"High",IF(P71&gt;=Assumptions!$B$15,"Medium","Low"))</f>
        <v/>
      </c>
      <c r="R71" s="2">
        <f>Cleaned_Data!L71</f>
        <v/>
      </c>
    </row>
    <row r="72">
      <c r="A72" s="2">
        <f>Cleaned_Data!A72</f>
        <v/>
      </c>
      <c r="B72" s="2">
        <f>Cleaned_Data!B72</f>
        <v/>
      </c>
      <c r="C72" s="2">
        <f>Cleaned_Data!G72</f>
        <v/>
      </c>
      <c r="D72" s="2">
        <f>Cleaned_Data!I72</f>
        <v/>
      </c>
      <c r="E72" s="2">
        <f>Cleaned_Data!H72</f>
        <v/>
      </c>
      <c r="F72" s="2">
        <f>Cleaned_Data!F72</f>
        <v/>
      </c>
      <c r="G72" s="9">
        <f>SUMPRODUCT(($B$2:$B$1196=B72)*($F$2:$F$1196&lt;=F72))/SUMPRODUCT(($B$2:$B$1196=B72)*1)</f>
        <v/>
      </c>
      <c r="H72" s="2">
        <f>Cleaned_Data!J72</f>
        <v/>
      </c>
      <c r="I72" s="2">
        <f>Cleaned_Data!E72</f>
        <v/>
      </c>
      <c r="J72" s="2">
        <f>IF(C72="Yes",1,0)</f>
        <v/>
      </c>
      <c r="K72" s="2">
        <f>MIN(MAX(1-(D72-1)/4,0),1)</f>
        <v/>
      </c>
      <c r="L72" s="2">
        <f>MIN(E72/60,1)</f>
        <v/>
      </c>
      <c r="M72" s="2">
        <f>MIN(MAX(1-G72,0),1)</f>
        <v/>
      </c>
      <c r="N72" s="2">
        <f>MIN(MAX(1-(H72-1)/4,0),1)</f>
        <v/>
      </c>
      <c r="O72" s="2">
        <f>1-MIN(I72/8,1)</f>
        <v/>
      </c>
      <c r="P72" s="10">
        <f>ROUND(100*(J72*Assumptions!$B$6+K72*Assumptions!$B$7+L72*Assumptions!$B$8+M72*Assumptions!$B$9+N72*Assumptions!$B$10+O72*Assumptions!$B$11),1)</f>
        <v/>
      </c>
      <c r="Q72" s="2">
        <f>IF(P72&gt;=Assumptions!$B$14,"High",IF(P72&gt;=Assumptions!$B$15,"Medium","Low"))</f>
        <v/>
      </c>
      <c r="R72" s="2">
        <f>Cleaned_Data!L72</f>
        <v/>
      </c>
    </row>
    <row r="73">
      <c r="A73" s="2">
        <f>Cleaned_Data!A73</f>
        <v/>
      </c>
      <c r="B73" s="2">
        <f>Cleaned_Data!B73</f>
        <v/>
      </c>
      <c r="C73" s="2">
        <f>Cleaned_Data!G73</f>
        <v/>
      </c>
      <c r="D73" s="2">
        <f>Cleaned_Data!I73</f>
        <v/>
      </c>
      <c r="E73" s="2">
        <f>Cleaned_Data!H73</f>
        <v/>
      </c>
      <c r="F73" s="2">
        <f>Cleaned_Data!F73</f>
        <v/>
      </c>
      <c r="G73" s="9">
        <f>SUMPRODUCT(($B$2:$B$1196=B73)*($F$2:$F$1196&lt;=F73))/SUMPRODUCT(($B$2:$B$1196=B73)*1)</f>
        <v/>
      </c>
      <c r="H73" s="2">
        <f>Cleaned_Data!J73</f>
        <v/>
      </c>
      <c r="I73" s="2">
        <f>Cleaned_Data!E73</f>
        <v/>
      </c>
      <c r="J73" s="2">
        <f>IF(C73="Yes",1,0)</f>
        <v/>
      </c>
      <c r="K73" s="2">
        <f>MIN(MAX(1-(D73-1)/4,0),1)</f>
        <v/>
      </c>
      <c r="L73" s="2">
        <f>MIN(E73/60,1)</f>
        <v/>
      </c>
      <c r="M73" s="2">
        <f>MIN(MAX(1-G73,0),1)</f>
        <v/>
      </c>
      <c r="N73" s="2">
        <f>MIN(MAX(1-(H73-1)/4,0),1)</f>
        <v/>
      </c>
      <c r="O73" s="2">
        <f>1-MIN(I73/8,1)</f>
        <v/>
      </c>
      <c r="P73" s="10">
        <f>ROUND(100*(J73*Assumptions!$B$6+K73*Assumptions!$B$7+L73*Assumptions!$B$8+M73*Assumptions!$B$9+N73*Assumptions!$B$10+O73*Assumptions!$B$11),1)</f>
        <v/>
      </c>
      <c r="Q73" s="2">
        <f>IF(P73&gt;=Assumptions!$B$14,"High",IF(P73&gt;=Assumptions!$B$15,"Medium","Low"))</f>
        <v/>
      </c>
      <c r="R73" s="2">
        <f>Cleaned_Data!L73</f>
        <v/>
      </c>
    </row>
    <row r="74">
      <c r="A74" s="2">
        <f>Cleaned_Data!A74</f>
        <v/>
      </c>
      <c r="B74" s="2">
        <f>Cleaned_Data!B74</f>
        <v/>
      </c>
      <c r="C74" s="2">
        <f>Cleaned_Data!G74</f>
        <v/>
      </c>
      <c r="D74" s="2">
        <f>Cleaned_Data!I74</f>
        <v/>
      </c>
      <c r="E74" s="2">
        <f>Cleaned_Data!H74</f>
        <v/>
      </c>
      <c r="F74" s="2">
        <f>Cleaned_Data!F74</f>
        <v/>
      </c>
      <c r="G74" s="9">
        <f>SUMPRODUCT(($B$2:$B$1196=B74)*($F$2:$F$1196&lt;=F74))/SUMPRODUCT(($B$2:$B$1196=B74)*1)</f>
        <v/>
      </c>
      <c r="H74" s="2">
        <f>Cleaned_Data!J74</f>
        <v/>
      </c>
      <c r="I74" s="2">
        <f>Cleaned_Data!E74</f>
        <v/>
      </c>
      <c r="J74" s="2">
        <f>IF(C74="Yes",1,0)</f>
        <v/>
      </c>
      <c r="K74" s="2">
        <f>MIN(MAX(1-(D74-1)/4,0),1)</f>
        <v/>
      </c>
      <c r="L74" s="2">
        <f>MIN(E74/60,1)</f>
        <v/>
      </c>
      <c r="M74" s="2">
        <f>MIN(MAX(1-G74,0),1)</f>
        <v/>
      </c>
      <c r="N74" s="2">
        <f>MIN(MAX(1-(H74-1)/4,0),1)</f>
        <v/>
      </c>
      <c r="O74" s="2">
        <f>1-MIN(I74/8,1)</f>
        <v/>
      </c>
      <c r="P74" s="10">
        <f>ROUND(100*(J74*Assumptions!$B$6+K74*Assumptions!$B$7+L74*Assumptions!$B$8+M74*Assumptions!$B$9+N74*Assumptions!$B$10+O74*Assumptions!$B$11),1)</f>
        <v/>
      </c>
      <c r="Q74" s="2">
        <f>IF(P74&gt;=Assumptions!$B$14,"High",IF(P74&gt;=Assumptions!$B$15,"Medium","Low"))</f>
        <v/>
      </c>
      <c r="R74" s="2">
        <f>Cleaned_Data!L74</f>
        <v/>
      </c>
    </row>
    <row r="75">
      <c r="A75" s="2">
        <f>Cleaned_Data!A75</f>
        <v/>
      </c>
      <c r="B75" s="2">
        <f>Cleaned_Data!B75</f>
        <v/>
      </c>
      <c r="C75" s="2">
        <f>Cleaned_Data!G75</f>
        <v/>
      </c>
      <c r="D75" s="2">
        <f>Cleaned_Data!I75</f>
        <v/>
      </c>
      <c r="E75" s="2">
        <f>Cleaned_Data!H75</f>
        <v/>
      </c>
      <c r="F75" s="2">
        <f>Cleaned_Data!F75</f>
        <v/>
      </c>
      <c r="G75" s="9">
        <f>SUMPRODUCT(($B$2:$B$1196=B75)*($F$2:$F$1196&lt;=F75))/SUMPRODUCT(($B$2:$B$1196=B75)*1)</f>
        <v/>
      </c>
      <c r="H75" s="2">
        <f>Cleaned_Data!J75</f>
        <v/>
      </c>
      <c r="I75" s="2">
        <f>Cleaned_Data!E75</f>
        <v/>
      </c>
      <c r="J75" s="2">
        <f>IF(C75="Yes",1,0)</f>
        <v/>
      </c>
      <c r="K75" s="2">
        <f>MIN(MAX(1-(D75-1)/4,0),1)</f>
        <v/>
      </c>
      <c r="L75" s="2">
        <f>MIN(E75/60,1)</f>
        <v/>
      </c>
      <c r="M75" s="2">
        <f>MIN(MAX(1-G75,0),1)</f>
        <v/>
      </c>
      <c r="N75" s="2">
        <f>MIN(MAX(1-(H75-1)/4,0),1)</f>
        <v/>
      </c>
      <c r="O75" s="2">
        <f>1-MIN(I75/8,1)</f>
        <v/>
      </c>
      <c r="P75" s="10">
        <f>ROUND(100*(J75*Assumptions!$B$6+K75*Assumptions!$B$7+L75*Assumptions!$B$8+M75*Assumptions!$B$9+N75*Assumptions!$B$10+O75*Assumptions!$B$11),1)</f>
        <v/>
      </c>
      <c r="Q75" s="2">
        <f>IF(P75&gt;=Assumptions!$B$14,"High",IF(P75&gt;=Assumptions!$B$15,"Medium","Low"))</f>
        <v/>
      </c>
      <c r="R75" s="2">
        <f>Cleaned_Data!L75</f>
        <v/>
      </c>
    </row>
    <row r="76">
      <c r="A76" s="2">
        <f>Cleaned_Data!A76</f>
        <v/>
      </c>
      <c r="B76" s="2">
        <f>Cleaned_Data!B76</f>
        <v/>
      </c>
      <c r="C76" s="2">
        <f>Cleaned_Data!G76</f>
        <v/>
      </c>
      <c r="D76" s="2">
        <f>Cleaned_Data!I76</f>
        <v/>
      </c>
      <c r="E76" s="2">
        <f>Cleaned_Data!H76</f>
        <v/>
      </c>
      <c r="F76" s="2">
        <f>Cleaned_Data!F76</f>
        <v/>
      </c>
      <c r="G76" s="9">
        <f>SUMPRODUCT(($B$2:$B$1196=B76)*($F$2:$F$1196&lt;=F76))/SUMPRODUCT(($B$2:$B$1196=B76)*1)</f>
        <v/>
      </c>
      <c r="H76" s="2">
        <f>Cleaned_Data!J76</f>
        <v/>
      </c>
      <c r="I76" s="2">
        <f>Cleaned_Data!E76</f>
        <v/>
      </c>
      <c r="J76" s="2">
        <f>IF(C76="Yes",1,0)</f>
        <v/>
      </c>
      <c r="K76" s="2">
        <f>MIN(MAX(1-(D76-1)/4,0),1)</f>
        <v/>
      </c>
      <c r="L76" s="2">
        <f>MIN(E76/60,1)</f>
        <v/>
      </c>
      <c r="M76" s="2">
        <f>MIN(MAX(1-G76,0),1)</f>
        <v/>
      </c>
      <c r="N76" s="2">
        <f>MIN(MAX(1-(H76-1)/4,0),1)</f>
        <v/>
      </c>
      <c r="O76" s="2">
        <f>1-MIN(I76/8,1)</f>
        <v/>
      </c>
      <c r="P76" s="10">
        <f>ROUND(100*(J76*Assumptions!$B$6+K76*Assumptions!$B$7+L76*Assumptions!$B$8+M76*Assumptions!$B$9+N76*Assumptions!$B$10+O76*Assumptions!$B$11),1)</f>
        <v/>
      </c>
      <c r="Q76" s="2">
        <f>IF(P76&gt;=Assumptions!$B$14,"High",IF(P76&gt;=Assumptions!$B$15,"Medium","Low"))</f>
        <v/>
      </c>
      <c r="R76" s="2">
        <f>Cleaned_Data!L76</f>
        <v/>
      </c>
    </row>
    <row r="77">
      <c r="A77" s="2">
        <f>Cleaned_Data!A77</f>
        <v/>
      </c>
      <c r="B77" s="2">
        <f>Cleaned_Data!B77</f>
        <v/>
      </c>
      <c r="C77" s="2">
        <f>Cleaned_Data!G77</f>
        <v/>
      </c>
      <c r="D77" s="2">
        <f>Cleaned_Data!I77</f>
        <v/>
      </c>
      <c r="E77" s="2">
        <f>Cleaned_Data!H77</f>
        <v/>
      </c>
      <c r="F77" s="2">
        <f>Cleaned_Data!F77</f>
        <v/>
      </c>
      <c r="G77" s="9">
        <f>SUMPRODUCT(($B$2:$B$1196=B77)*($F$2:$F$1196&lt;=F77))/SUMPRODUCT(($B$2:$B$1196=B77)*1)</f>
        <v/>
      </c>
      <c r="H77" s="2">
        <f>Cleaned_Data!J77</f>
        <v/>
      </c>
      <c r="I77" s="2">
        <f>Cleaned_Data!E77</f>
        <v/>
      </c>
      <c r="J77" s="2">
        <f>IF(C77="Yes",1,0)</f>
        <v/>
      </c>
      <c r="K77" s="2">
        <f>MIN(MAX(1-(D77-1)/4,0),1)</f>
        <v/>
      </c>
      <c r="L77" s="2">
        <f>MIN(E77/60,1)</f>
        <v/>
      </c>
      <c r="M77" s="2">
        <f>MIN(MAX(1-G77,0),1)</f>
        <v/>
      </c>
      <c r="N77" s="2">
        <f>MIN(MAX(1-(H77-1)/4,0),1)</f>
        <v/>
      </c>
      <c r="O77" s="2">
        <f>1-MIN(I77/8,1)</f>
        <v/>
      </c>
      <c r="P77" s="10">
        <f>ROUND(100*(J77*Assumptions!$B$6+K77*Assumptions!$B$7+L77*Assumptions!$B$8+M77*Assumptions!$B$9+N77*Assumptions!$B$10+O77*Assumptions!$B$11),1)</f>
        <v/>
      </c>
      <c r="Q77" s="2">
        <f>IF(P77&gt;=Assumptions!$B$14,"High",IF(P77&gt;=Assumptions!$B$15,"Medium","Low"))</f>
        <v/>
      </c>
      <c r="R77" s="2">
        <f>Cleaned_Data!L77</f>
        <v/>
      </c>
    </row>
    <row r="78">
      <c r="A78" s="2">
        <f>Cleaned_Data!A78</f>
        <v/>
      </c>
      <c r="B78" s="2">
        <f>Cleaned_Data!B78</f>
        <v/>
      </c>
      <c r="C78" s="2">
        <f>Cleaned_Data!G78</f>
        <v/>
      </c>
      <c r="D78" s="2">
        <f>Cleaned_Data!I78</f>
        <v/>
      </c>
      <c r="E78" s="2">
        <f>Cleaned_Data!H78</f>
        <v/>
      </c>
      <c r="F78" s="2">
        <f>Cleaned_Data!F78</f>
        <v/>
      </c>
      <c r="G78" s="9">
        <f>SUMPRODUCT(($B$2:$B$1196=B78)*($F$2:$F$1196&lt;=F78))/SUMPRODUCT(($B$2:$B$1196=B78)*1)</f>
        <v/>
      </c>
      <c r="H78" s="2">
        <f>Cleaned_Data!J78</f>
        <v/>
      </c>
      <c r="I78" s="2">
        <f>Cleaned_Data!E78</f>
        <v/>
      </c>
      <c r="J78" s="2">
        <f>IF(C78="Yes",1,0)</f>
        <v/>
      </c>
      <c r="K78" s="2">
        <f>MIN(MAX(1-(D78-1)/4,0),1)</f>
        <v/>
      </c>
      <c r="L78" s="2">
        <f>MIN(E78/60,1)</f>
        <v/>
      </c>
      <c r="M78" s="2">
        <f>MIN(MAX(1-G78,0),1)</f>
        <v/>
      </c>
      <c r="N78" s="2">
        <f>MIN(MAX(1-(H78-1)/4,0),1)</f>
        <v/>
      </c>
      <c r="O78" s="2">
        <f>1-MIN(I78/8,1)</f>
        <v/>
      </c>
      <c r="P78" s="10">
        <f>ROUND(100*(J78*Assumptions!$B$6+K78*Assumptions!$B$7+L78*Assumptions!$B$8+M78*Assumptions!$B$9+N78*Assumptions!$B$10+O78*Assumptions!$B$11),1)</f>
        <v/>
      </c>
      <c r="Q78" s="2">
        <f>IF(P78&gt;=Assumptions!$B$14,"High",IF(P78&gt;=Assumptions!$B$15,"Medium","Low"))</f>
        <v/>
      </c>
      <c r="R78" s="2">
        <f>Cleaned_Data!L78</f>
        <v/>
      </c>
    </row>
    <row r="79">
      <c r="A79" s="2">
        <f>Cleaned_Data!A79</f>
        <v/>
      </c>
      <c r="B79" s="2">
        <f>Cleaned_Data!B79</f>
        <v/>
      </c>
      <c r="C79" s="2">
        <f>Cleaned_Data!G79</f>
        <v/>
      </c>
      <c r="D79" s="2">
        <f>Cleaned_Data!I79</f>
        <v/>
      </c>
      <c r="E79" s="2">
        <f>Cleaned_Data!H79</f>
        <v/>
      </c>
      <c r="F79" s="2">
        <f>Cleaned_Data!F79</f>
        <v/>
      </c>
      <c r="G79" s="9">
        <f>SUMPRODUCT(($B$2:$B$1196=B79)*($F$2:$F$1196&lt;=F79))/SUMPRODUCT(($B$2:$B$1196=B79)*1)</f>
        <v/>
      </c>
      <c r="H79" s="2">
        <f>Cleaned_Data!J79</f>
        <v/>
      </c>
      <c r="I79" s="2">
        <f>Cleaned_Data!E79</f>
        <v/>
      </c>
      <c r="J79" s="2">
        <f>IF(C79="Yes",1,0)</f>
        <v/>
      </c>
      <c r="K79" s="2">
        <f>MIN(MAX(1-(D79-1)/4,0),1)</f>
        <v/>
      </c>
      <c r="L79" s="2">
        <f>MIN(E79/60,1)</f>
        <v/>
      </c>
      <c r="M79" s="2">
        <f>MIN(MAX(1-G79,0),1)</f>
        <v/>
      </c>
      <c r="N79" s="2">
        <f>MIN(MAX(1-(H79-1)/4,0),1)</f>
        <v/>
      </c>
      <c r="O79" s="2">
        <f>1-MIN(I79/8,1)</f>
        <v/>
      </c>
      <c r="P79" s="10">
        <f>ROUND(100*(J79*Assumptions!$B$6+K79*Assumptions!$B$7+L79*Assumptions!$B$8+M79*Assumptions!$B$9+N79*Assumptions!$B$10+O79*Assumptions!$B$11),1)</f>
        <v/>
      </c>
      <c r="Q79" s="2">
        <f>IF(P79&gt;=Assumptions!$B$14,"High",IF(P79&gt;=Assumptions!$B$15,"Medium","Low"))</f>
        <v/>
      </c>
      <c r="R79" s="2">
        <f>Cleaned_Data!L79</f>
        <v/>
      </c>
    </row>
    <row r="80">
      <c r="A80" s="2">
        <f>Cleaned_Data!A80</f>
        <v/>
      </c>
      <c r="B80" s="2">
        <f>Cleaned_Data!B80</f>
        <v/>
      </c>
      <c r="C80" s="2">
        <f>Cleaned_Data!G80</f>
        <v/>
      </c>
      <c r="D80" s="2">
        <f>Cleaned_Data!I80</f>
        <v/>
      </c>
      <c r="E80" s="2">
        <f>Cleaned_Data!H80</f>
        <v/>
      </c>
      <c r="F80" s="2">
        <f>Cleaned_Data!F80</f>
        <v/>
      </c>
      <c r="G80" s="9">
        <f>SUMPRODUCT(($B$2:$B$1196=B80)*($F$2:$F$1196&lt;=F80))/SUMPRODUCT(($B$2:$B$1196=B80)*1)</f>
        <v/>
      </c>
      <c r="H80" s="2">
        <f>Cleaned_Data!J80</f>
        <v/>
      </c>
      <c r="I80" s="2">
        <f>Cleaned_Data!E80</f>
        <v/>
      </c>
      <c r="J80" s="2">
        <f>IF(C80="Yes",1,0)</f>
        <v/>
      </c>
      <c r="K80" s="2">
        <f>MIN(MAX(1-(D80-1)/4,0),1)</f>
        <v/>
      </c>
      <c r="L80" s="2">
        <f>MIN(E80/60,1)</f>
        <v/>
      </c>
      <c r="M80" s="2">
        <f>MIN(MAX(1-G80,0),1)</f>
        <v/>
      </c>
      <c r="N80" s="2">
        <f>MIN(MAX(1-(H80-1)/4,0),1)</f>
        <v/>
      </c>
      <c r="O80" s="2">
        <f>1-MIN(I80/8,1)</f>
        <v/>
      </c>
      <c r="P80" s="10">
        <f>ROUND(100*(J80*Assumptions!$B$6+K80*Assumptions!$B$7+L80*Assumptions!$B$8+M80*Assumptions!$B$9+N80*Assumptions!$B$10+O80*Assumptions!$B$11),1)</f>
        <v/>
      </c>
      <c r="Q80" s="2">
        <f>IF(P80&gt;=Assumptions!$B$14,"High",IF(P80&gt;=Assumptions!$B$15,"Medium","Low"))</f>
        <v/>
      </c>
      <c r="R80" s="2">
        <f>Cleaned_Data!L80</f>
        <v/>
      </c>
    </row>
    <row r="81">
      <c r="A81" s="2">
        <f>Cleaned_Data!A81</f>
        <v/>
      </c>
      <c r="B81" s="2">
        <f>Cleaned_Data!B81</f>
        <v/>
      </c>
      <c r="C81" s="2">
        <f>Cleaned_Data!G81</f>
        <v/>
      </c>
      <c r="D81" s="2">
        <f>Cleaned_Data!I81</f>
        <v/>
      </c>
      <c r="E81" s="2">
        <f>Cleaned_Data!H81</f>
        <v/>
      </c>
      <c r="F81" s="2">
        <f>Cleaned_Data!F81</f>
        <v/>
      </c>
      <c r="G81" s="9">
        <f>SUMPRODUCT(($B$2:$B$1196=B81)*($F$2:$F$1196&lt;=F81))/SUMPRODUCT(($B$2:$B$1196=B81)*1)</f>
        <v/>
      </c>
      <c r="H81" s="2">
        <f>Cleaned_Data!J81</f>
        <v/>
      </c>
      <c r="I81" s="2">
        <f>Cleaned_Data!E81</f>
        <v/>
      </c>
      <c r="J81" s="2">
        <f>IF(C81="Yes",1,0)</f>
        <v/>
      </c>
      <c r="K81" s="2">
        <f>MIN(MAX(1-(D81-1)/4,0),1)</f>
        <v/>
      </c>
      <c r="L81" s="2">
        <f>MIN(E81/60,1)</f>
        <v/>
      </c>
      <c r="M81" s="2">
        <f>MIN(MAX(1-G81,0),1)</f>
        <v/>
      </c>
      <c r="N81" s="2">
        <f>MIN(MAX(1-(H81-1)/4,0),1)</f>
        <v/>
      </c>
      <c r="O81" s="2">
        <f>1-MIN(I81/8,1)</f>
        <v/>
      </c>
      <c r="P81" s="10">
        <f>ROUND(100*(J81*Assumptions!$B$6+K81*Assumptions!$B$7+L81*Assumptions!$B$8+M81*Assumptions!$B$9+N81*Assumptions!$B$10+O81*Assumptions!$B$11),1)</f>
        <v/>
      </c>
      <c r="Q81" s="2">
        <f>IF(P81&gt;=Assumptions!$B$14,"High",IF(P81&gt;=Assumptions!$B$15,"Medium","Low"))</f>
        <v/>
      </c>
      <c r="R81" s="2">
        <f>Cleaned_Data!L81</f>
        <v/>
      </c>
    </row>
    <row r="82">
      <c r="A82" s="2">
        <f>Cleaned_Data!A82</f>
        <v/>
      </c>
      <c r="B82" s="2">
        <f>Cleaned_Data!B82</f>
        <v/>
      </c>
      <c r="C82" s="2">
        <f>Cleaned_Data!G82</f>
        <v/>
      </c>
      <c r="D82" s="2">
        <f>Cleaned_Data!I82</f>
        <v/>
      </c>
      <c r="E82" s="2">
        <f>Cleaned_Data!H82</f>
        <v/>
      </c>
      <c r="F82" s="2">
        <f>Cleaned_Data!F82</f>
        <v/>
      </c>
      <c r="G82" s="9">
        <f>SUMPRODUCT(($B$2:$B$1196=B82)*($F$2:$F$1196&lt;=F82))/SUMPRODUCT(($B$2:$B$1196=B82)*1)</f>
        <v/>
      </c>
      <c r="H82" s="2">
        <f>Cleaned_Data!J82</f>
        <v/>
      </c>
      <c r="I82" s="2">
        <f>Cleaned_Data!E82</f>
        <v/>
      </c>
      <c r="J82" s="2">
        <f>IF(C82="Yes",1,0)</f>
        <v/>
      </c>
      <c r="K82" s="2">
        <f>MIN(MAX(1-(D82-1)/4,0),1)</f>
        <v/>
      </c>
      <c r="L82" s="2">
        <f>MIN(E82/60,1)</f>
        <v/>
      </c>
      <c r="M82" s="2">
        <f>MIN(MAX(1-G82,0),1)</f>
        <v/>
      </c>
      <c r="N82" s="2">
        <f>MIN(MAX(1-(H82-1)/4,0),1)</f>
        <v/>
      </c>
      <c r="O82" s="2">
        <f>1-MIN(I82/8,1)</f>
        <v/>
      </c>
      <c r="P82" s="10">
        <f>ROUND(100*(J82*Assumptions!$B$6+K82*Assumptions!$B$7+L82*Assumptions!$B$8+M82*Assumptions!$B$9+N82*Assumptions!$B$10+O82*Assumptions!$B$11),1)</f>
        <v/>
      </c>
      <c r="Q82" s="2">
        <f>IF(P82&gt;=Assumptions!$B$14,"High",IF(P82&gt;=Assumptions!$B$15,"Medium","Low"))</f>
        <v/>
      </c>
      <c r="R82" s="2">
        <f>Cleaned_Data!L82</f>
        <v/>
      </c>
    </row>
    <row r="83">
      <c r="A83" s="2">
        <f>Cleaned_Data!A83</f>
        <v/>
      </c>
      <c r="B83" s="2">
        <f>Cleaned_Data!B83</f>
        <v/>
      </c>
      <c r="C83" s="2">
        <f>Cleaned_Data!G83</f>
        <v/>
      </c>
      <c r="D83" s="2">
        <f>Cleaned_Data!I83</f>
        <v/>
      </c>
      <c r="E83" s="2">
        <f>Cleaned_Data!H83</f>
        <v/>
      </c>
      <c r="F83" s="2">
        <f>Cleaned_Data!F83</f>
        <v/>
      </c>
      <c r="G83" s="9">
        <f>SUMPRODUCT(($B$2:$B$1196=B83)*($F$2:$F$1196&lt;=F83))/SUMPRODUCT(($B$2:$B$1196=B83)*1)</f>
        <v/>
      </c>
      <c r="H83" s="2">
        <f>Cleaned_Data!J83</f>
        <v/>
      </c>
      <c r="I83" s="2">
        <f>Cleaned_Data!E83</f>
        <v/>
      </c>
      <c r="J83" s="2">
        <f>IF(C83="Yes",1,0)</f>
        <v/>
      </c>
      <c r="K83" s="2">
        <f>MIN(MAX(1-(D83-1)/4,0),1)</f>
        <v/>
      </c>
      <c r="L83" s="2">
        <f>MIN(E83/60,1)</f>
        <v/>
      </c>
      <c r="M83" s="2">
        <f>MIN(MAX(1-G83,0),1)</f>
        <v/>
      </c>
      <c r="N83" s="2">
        <f>MIN(MAX(1-(H83-1)/4,0),1)</f>
        <v/>
      </c>
      <c r="O83" s="2">
        <f>1-MIN(I83/8,1)</f>
        <v/>
      </c>
      <c r="P83" s="10">
        <f>ROUND(100*(J83*Assumptions!$B$6+K83*Assumptions!$B$7+L83*Assumptions!$B$8+M83*Assumptions!$B$9+N83*Assumptions!$B$10+O83*Assumptions!$B$11),1)</f>
        <v/>
      </c>
      <c r="Q83" s="2">
        <f>IF(P83&gt;=Assumptions!$B$14,"High",IF(P83&gt;=Assumptions!$B$15,"Medium","Low"))</f>
        <v/>
      </c>
      <c r="R83" s="2">
        <f>Cleaned_Data!L83</f>
        <v/>
      </c>
    </row>
    <row r="84">
      <c r="A84" s="2">
        <f>Cleaned_Data!A84</f>
        <v/>
      </c>
      <c r="B84" s="2">
        <f>Cleaned_Data!B84</f>
        <v/>
      </c>
      <c r="C84" s="2">
        <f>Cleaned_Data!G84</f>
        <v/>
      </c>
      <c r="D84" s="2">
        <f>Cleaned_Data!I84</f>
        <v/>
      </c>
      <c r="E84" s="2">
        <f>Cleaned_Data!H84</f>
        <v/>
      </c>
      <c r="F84" s="2">
        <f>Cleaned_Data!F84</f>
        <v/>
      </c>
      <c r="G84" s="9">
        <f>SUMPRODUCT(($B$2:$B$1196=B84)*($F$2:$F$1196&lt;=F84))/SUMPRODUCT(($B$2:$B$1196=B84)*1)</f>
        <v/>
      </c>
      <c r="H84" s="2">
        <f>Cleaned_Data!J84</f>
        <v/>
      </c>
      <c r="I84" s="2">
        <f>Cleaned_Data!E84</f>
        <v/>
      </c>
      <c r="J84" s="2">
        <f>IF(C84="Yes",1,0)</f>
        <v/>
      </c>
      <c r="K84" s="2">
        <f>MIN(MAX(1-(D84-1)/4,0),1)</f>
        <v/>
      </c>
      <c r="L84" s="2">
        <f>MIN(E84/60,1)</f>
        <v/>
      </c>
      <c r="M84" s="2">
        <f>MIN(MAX(1-G84,0),1)</f>
        <v/>
      </c>
      <c r="N84" s="2">
        <f>MIN(MAX(1-(H84-1)/4,0),1)</f>
        <v/>
      </c>
      <c r="O84" s="2">
        <f>1-MIN(I84/8,1)</f>
        <v/>
      </c>
      <c r="P84" s="10">
        <f>ROUND(100*(J84*Assumptions!$B$6+K84*Assumptions!$B$7+L84*Assumptions!$B$8+M84*Assumptions!$B$9+N84*Assumptions!$B$10+O84*Assumptions!$B$11),1)</f>
        <v/>
      </c>
      <c r="Q84" s="2">
        <f>IF(P84&gt;=Assumptions!$B$14,"High",IF(P84&gt;=Assumptions!$B$15,"Medium","Low"))</f>
        <v/>
      </c>
      <c r="R84" s="2">
        <f>Cleaned_Data!L84</f>
        <v/>
      </c>
    </row>
    <row r="85">
      <c r="A85" s="2">
        <f>Cleaned_Data!A85</f>
        <v/>
      </c>
      <c r="B85" s="2">
        <f>Cleaned_Data!B85</f>
        <v/>
      </c>
      <c r="C85" s="2">
        <f>Cleaned_Data!G85</f>
        <v/>
      </c>
      <c r="D85" s="2">
        <f>Cleaned_Data!I85</f>
        <v/>
      </c>
      <c r="E85" s="2">
        <f>Cleaned_Data!H85</f>
        <v/>
      </c>
      <c r="F85" s="2">
        <f>Cleaned_Data!F85</f>
        <v/>
      </c>
      <c r="G85" s="9">
        <f>SUMPRODUCT(($B$2:$B$1196=B85)*($F$2:$F$1196&lt;=F85))/SUMPRODUCT(($B$2:$B$1196=B85)*1)</f>
        <v/>
      </c>
      <c r="H85" s="2">
        <f>Cleaned_Data!J85</f>
        <v/>
      </c>
      <c r="I85" s="2">
        <f>Cleaned_Data!E85</f>
        <v/>
      </c>
      <c r="J85" s="2">
        <f>IF(C85="Yes",1,0)</f>
        <v/>
      </c>
      <c r="K85" s="2">
        <f>MIN(MAX(1-(D85-1)/4,0),1)</f>
        <v/>
      </c>
      <c r="L85" s="2">
        <f>MIN(E85/60,1)</f>
        <v/>
      </c>
      <c r="M85" s="2">
        <f>MIN(MAX(1-G85,0),1)</f>
        <v/>
      </c>
      <c r="N85" s="2">
        <f>MIN(MAX(1-(H85-1)/4,0),1)</f>
        <v/>
      </c>
      <c r="O85" s="2">
        <f>1-MIN(I85/8,1)</f>
        <v/>
      </c>
      <c r="P85" s="10">
        <f>ROUND(100*(J85*Assumptions!$B$6+K85*Assumptions!$B$7+L85*Assumptions!$B$8+M85*Assumptions!$B$9+N85*Assumptions!$B$10+O85*Assumptions!$B$11),1)</f>
        <v/>
      </c>
      <c r="Q85" s="2">
        <f>IF(P85&gt;=Assumptions!$B$14,"High",IF(P85&gt;=Assumptions!$B$15,"Medium","Low"))</f>
        <v/>
      </c>
      <c r="R85" s="2">
        <f>Cleaned_Data!L85</f>
        <v/>
      </c>
    </row>
    <row r="86">
      <c r="A86" s="2">
        <f>Cleaned_Data!A86</f>
        <v/>
      </c>
      <c r="B86" s="2">
        <f>Cleaned_Data!B86</f>
        <v/>
      </c>
      <c r="C86" s="2">
        <f>Cleaned_Data!G86</f>
        <v/>
      </c>
      <c r="D86" s="2">
        <f>Cleaned_Data!I86</f>
        <v/>
      </c>
      <c r="E86" s="2">
        <f>Cleaned_Data!H86</f>
        <v/>
      </c>
      <c r="F86" s="2">
        <f>Cleaned_Data!F86</f>
        <v/>
      </c>
      <c r="G86" s="9">
        <f>SUMPRODUCT(($B$2:$B$1196=B86)*($F$2:$F$1196&lt;=F86))/SUMPRODUCT(($B$2:$B$1196=B86)*1)</f>
        <v/>
      </c>
      <c r="H86" s="2">
        <f>Cleaned_Data!J86</f>
        <v/>
      </c>
      <c r="I86" s="2">
        <f>Cleaned_Data!E86</f>
        <v/>
      </c>
      <c r="J86" s="2">
        <f>IF(C86="Yes",1,0)</f>
        <v/>
      </c>
      <c r="K86" s="2">
        <f>MIN(MAX(1-(D86-1)/4,0),1)</f>
        <v/>
      </c>
      <c r="L86" s="2">
        <f>MIN(E86/60,1)</f>
        <v/>
      </c>
      <c r="M86" s="2">
        <f>MIN(MAX(1-G86,0),1)</f>
        <v/>
      </c>
      <c r="N86" s="2">
        <f>MIN(MAX(1-(H86-1)/4,0),1)</f>
        <v/>
      </c>
      <c r="O86" s="2">
        <f>1-MIN(I86/8,1)</f>
        <v/>
      </c>
      <c r="P86" s="10">
        <f>ROUND(100*(J86*Assumptions!$B$6+K86*Assumptions!$B$7+L86*Assumptions!$B$8+M86*Assumptions!$B$9+N86*Assumptions!$B$10+O86*Assumptions!$B$11),1)</f>
        <v/>
      </c>
      <c r="Q86" s="2">
        <f>IF(P86&gt;=Assumptions!$B$14,"High",IF(P86&gt;=Assumptions!$B$15,"Medium","Low"))</f>
        <v/>
      </c>
      <c r="R86" s="2">
        <f>Cleaned_Data!L86</f>
        <v/>
      </c>
    </row>
    <row r="87">
      <c r="A87" s="2">
        <f>Cleaned_Data!A87</f>
        <v/>
      </c>
      <c r="B87" s="2">
        <f>Cleaned_Data!B87</f>
        <v/>
      </c>
      <c r="C87" s="2">
        <f>Cleaned_Data!G87</f>
        <v/>
      </c>
      <c r="D87" s="2">
        <f>Cleaned_Data!I87</f>
        <v/>
      </c>
      <c r="E87" s="2">
        <f>Cleaned_Data!H87</f>
        <v/>
      </c>
      <c r="F87" s="2">
        <f>Cleaned_Data!F87</f>
        <v/>
      </c>
      <c r="G87" s="9">
        <f>SUMPRODUCT(($B$2:$B$1196=B87)*($F$2:$F$1196&lt;=F87))/SUMPRODUCT(($B$2:$B$1196=B87)*1)</f>
        <v/>
      </c>
      <c r="H87" s="2">
        <f>Cleaned_Data!J87</f>
        <v/>
      </c>
      <c r="I87" s="2">
        <f>Cleaned_Data!E87</f>
        <v/>
      </c>
      <c r="J87" s="2">
        <f>IF(C87="Yes",1,0)</f>
        <v/>
      </c>
      <c r="K87" s="2">
        <f>MIN(MAX(1-(D87-1)/4,0),1)</f>
        <v/>
      </c>
      <c r="L87" s="2">
        <f>MIN(E87/60,1)</f>
        <v/>
      </c>
      <c r="M87" s="2">
        <f>MIN(MAX(1-G87,0),1)</f>
        <v/>
      </c>
      <c r="N87" s="2">
        <f>MIN(MAX(1-(H87-1)/4,0),1)</f>
        <v/>
      </c>
      <c r="O87" s="2">
        <f>1-MIN(I87/8,1)</f>
        <v/>
      </c>
      <c r="P87" s="10">
        <f>ROUND(100*(J87*Assumptions!$B$6+K87*Assumptions!$B$7+L87*Assumptions!$B$8+M87*Assumptions!$B$9+N87*Assumptions!$B$10+O87*Assumptions!$B$11),1)</f>
        <v/>
      </c>
      <c r="Q87" s="2">
        <f>IF(P87&gt;=Assumptions!$B$14,"High",IF(P87&gt;=Assumptions!$B$15,"Medium","Low"))</f>
        <v/>
      </c>
      <c r="R87" s="2">
        <f>Cleaned_Data!L87</f>
        <v/>
      </c>
    </row>
    <row r="88">
      <c r="A88" s="2">
        <f>Cleaned_Data!A88</f>
        <v/>
      </c>
      <c r="B88" s="2">
        <f>Cleaned_Data!B88</f>
        <v/>
      </c>
      <c r="C88" s="2">
        <f>Cleaned_Data!G88</f>
        <v/>
      </c>
      <c r="D88" s="2">
        <f>Cleaned_Data!I88</f>
        <v/>
      </c>
      <c r="E88" s="2">
        <f>Cleaned_Data!H88</f>
        <v/>
      </c>
      <c r="F88" s="2">
        <f>Cleaned_Data!F88</f>
        <v/>
      </c>
      <c r="G88" s="9">
        <f>SUMPRODUCT(($B$2:$B$1196=B88)*($F$2:$F$1196&lt;=F88))/SUMPRODUCT(($B$2:$B$1196=B88)*1)</f>
        <v/>
      </c>
      <c r="H88" s="2">
        <f>Cleaned_Data!J88</f>
        <v/>
      </c>
      <c r="I88" s="2">
        <f>Cleaned_Data!E88</f>
        <v/>
      </c>
      <c r="J88" s="2">
        <f>IF(C88="Yes",1,0)</f>
        <v/>
      </c>
      <c r="K88" s="2">
        <f>MIN(MAX(1-(D88-1)/4,0),1)</f>
        <v/>
      </c>
      <c r="L88" s="2">
        <f>MIN(E88/60,1)</f>
        <v/>
      </c>
      <c r="M88" s="2">
        <f>MIN(MAX(1-G88,0),1)</f>
        <v/>
      </c>
      <c r="N88" s="2">
        <f>MIN(MAX(1-(H88-1)/4,0),1)</f>
        <v/>
      </c>
      <c r="O88" s="2">
        <f>1-MIN(I88/8,1)</f>
        <v/>
      </c>
      <c r="P88" s="10">
        <f>ROUND(100*(J88*Assumptions!$B$6+K88*Assumptions!$B$7+L88*Assumptions!$B$8+M88*Assumptions!$B$9+N88*Assumptions!$B$10+O88*Assumptions!$B$11),1)</f>
        <v/>
      </c>
      <c r="Q88" s="2">
        <f>IF(P88&gt;=Assumptions!$B$14,"High",IF(P88&gt;=Assumptions!$B$15,"Medium","Low"))</f>
        <v/>
      </c>
      <c r="R88" s="2">
        <f>Cleaned_Data!L88</f>
        <v/>
      </c>
    </row>
    <row r="89">
      <c r="A89" s="2">
        <f>Cleaned_Data!A89</f>
        <v/>
      </c>
      <c r="B89" s="2">
        <f>Cleaned_Data!B89</f>
        <v/>
      </c>
      <c r="C89" s="2">
        <f>Cleaned_Data!G89</f>
        <v/>
      </c>
      <c r="D89" s="2">
        <f>Cleaned_Data!I89</f>
        <v/>
      </c>
      <c r="E89" s="2">
        <f>Cleaned_Data!H89</f>
        <v/>
      </c>
      <c r="F89" s="2">
        <f>Cleaned_Data!F89</f>
        <v/>
      </c>
      <c r="G89" s="9">
        <f>SUMPRODUCT(($B$2:$B$1196=B89)*($F$2:$F$1196&lt;=F89))/SUMPRODUCT(($B$2:$B$1196=B89)*1)</f>
        <v/>
      </c>
      <c r="H89" s="2">
        <f>Cleaned_Data!J89</f>
        <v/>
      </c>
      <c r="I89" s="2">
        <f>Cleaned_Data!E89</f>
        <v/>
      </c>
      <c r="J89" s="2">
        <f>IF(C89="Yes",1,0)</f>
        <v/>
      </c>
      <c r="K89" s="2">
        <f>MIN(MAX(1-(D89-1)/4,0),1)</f>
        <v/>
      </c>
      <c r="L89" s="2">
        <f>MIN(E89/60,1)</f>
        <v/>
      </c>
      <c r="M89" s="2">
        <f>MIN(MAX(1-G89,0),1)</f>
        <v/>
      </c>
      <c r="N89" s="2">
        <f>MIN(MAX(1-(H89-1)/4,0),1)</f>
        <v/>
      </c>
      <c r="O89" s="2">
        <f>1-MIN(I89/8,1)</f>
        <v/>
      </c>
      <c r="P89" s="10">
        <f>ROUND(100*(J89*Assumptions!$B$6+K89*Assumptions!$B$7+L89*Assumptions!$B$8+M89*Assumptions!$B$9+N89*Assumptions!$B$10+O89*Assumptions!$B$11),1)</f>
        <v/>
      </c>
      <c r="Q89" s="2">
        <f>IF(P89&gt;=Assumptions!$B$14,"High",IF(P89&gt;=Assumptions!$B$15,"Medium","Low"))</f>
        <v/>
      </c>
      <c r="R89" s="2">
        <f>Cleaned_Data!L89</f>
        <v/>
      </c>
    </row>
    <row r="90">
      <c r="A90" s="2">
        <f>Cleaned_Data!A90</f>
        <v/>
      </c>
      <c r="B90" s="2">
        <f>Cleaned_Data!B90</f>
        <v/>
      </c>
      <c r="C90" s="2">
        <f>Cleaned_Data!G90</f>
        <v/>
      </c>
      <c r="D90" s="2">
        <f>Cleaned_Data!I90</f>
        <v/>
      </c>
      <c r="E90" s="2">
        <f>Cleaned_Data!H90</f>
        <v/>
      </c>
      <c r="F90" s="2">
        <f>Cleaned_Data!F90</f>
        <v/>
      </c>
      <c r="G90" s="9">
        <f>SUMPRODUCT(($B$2:$B$1196=B90)*($F$2:$F$1196&lt;=F90))/SUMPRODUCT(($B$2:$B$1196=B90)*1)</f>
        <v/>
      </c>
      <c r="H90" s="2">
        <f>Cleaned_Data!J90</f>
        <v/>
      </c>
      <c r="I90" s="2">
        <f>Cleaned_Data!E90</f>
        <v/>
      </c>
      <c r="J90" s="2">
        <f>IF(C90="Yes",1,0)</f>
        <v/>
      </c>
      <c r="K90" s="2">
        <f>MIN(MAX(1-(D90-1)/4,0),1)</f>
        <v/>
      </c>
      <c r="L90" s="2">
        <f>MIN(E90/60,1)</f>
        <v/>
      </c>
      <c r="M90" s="2">
        <f>MIN(MAX(1-G90,0),1)</f>
        <v/>
      </c>
      <c r="N90" s="2">
        <f>MIN(MAX(1-(H90-1)/4,0),1)</f>
        <v/>
      </c>
      <c r="O90" s="2">
        <f>1-MIN(I90/8,1)</f>
        <v/>
      </c>
      <c r="P90" s="10">
        <f>ROUND(100*(J90*Assumptions!$B$6+K90*Assumptions!$B$7+L90*Assumptions!$B$8+M90*Assumptions!$B$9+N90*Assumptions!$B$10+O90*Assumptions!$B$11),1)</f>
        <v/>
      </c>
      <c r="Q90" s="2">
        <f>IF(P90&gt;=Assumptions!$B$14,"High",IF(P90&gt;=Assumptions!$B$15,"Medium","Low"))</f>
        <v/>
      </c>
      <c r="R90" s="2">
        <f>Cleaned_Data!L90</f>
        <v/>
      </c>
    </row>
    <row r="91">
      <c r="A91" s="2">
        <f>Cleaned_Data!A91</f>
        <v/>
      </c>
      <c r="B91" s="2">
        <f>Cleaned_Data!B91</f>
        <v/>
      </c>
      <c r="C91" s="2">
        <f>Cleaned_Data!G91</f>
        <v/>
      </c>
      <c r="D91" s="2">
        <f>Cleaned_Data!I91</f>
        <v/>
      </c>
      <c r="E91" s="2">
        <f>Cleaned_Data!H91</f>
        <v/>
      </c>
      <c r="F91" s="2">
        <f>Cleaned_Data!F91</f>
        <v/>
      </c>
      <c r="G91" s="9">
        <f>SUMPRODUCT(($B$2:$B$1196=B91)*($F$2:$F$1196&lt;=F91))/SUMPRODUCT(($B$2:$B$1196=B91)*1)</f>
        <v/>
      </c>
      <c r="H91" s="2">
        <f>Cleaned_Data!J91</f>
        <v/>
      </c>
      <c r="I91" s="2">
        <f>Cleaned_Data!E91</f>
        <v/>
      </c>
      <c r="J91" s="2">
        <f>IF(C91="Yes",1,0)</f>
        <v/>
      </c>
      <c r="K91" s="2">
        <f>MIN(MAX(1-(D91-1)/4,0),1)</f>
        <v/>
      </c>
      <c r="L91" s="2">
        <f>MIN(E91/60,1)</f>
        <v/>
      </c>
      <c r="M91" s="2">
        <f>MIN(MAX(1-G91,0),1)</f>
        <v/>
      </c>
      <c r="N91" s="2">
        <f>MIN(MAX(1-(H91-1)/4,0),1)</f>
        <v/>
      </c>
      <c r="O91" s="2">
        <f>1-MIN(I91/8,1)</f>
        <v/>
      </c>
      <c r="P91" s="10">
        <f>ROUND(100*(J91*Assumptions!$B$6+K91*Assumptions!$B$7+L91*Assumptions!$B$8+M91*Assumptions!$B$9+N91*Assumptions!$B$10+O91*Assumptions!$B$11),1)</f>
        <v/>
      </c>
      <c r="Q91" s="2">
        <f>IF(P91&gt;=Assumptions!$B$14,"High",IF(P91&gt;=Assumptions!$B$15,"Medium","Low"))</f>
        <v/>
      </c>
      <c r="R91" s="2">
        <f>Cleaned_Data!L91</f>
        <v/>
      </c>
    </row>
    <row r="92">
      <c r="A92" s="2">
        <f>Cleaned_Data!A92</f>
        <v/>
      </c>
      <c r="B92" s="2">
        <f>Cleaned_Data!B92</f>
        <v/>
      </c>
      <c r="C92" s="2">
        <f>Cleaned_Data!G92</f>
        <v/>
      </c>
      <c r="D92" s="2">
        <f>Cleaned_Data!I92</f>
        <v/>
      </c>
      <c r="E92" s="2">
        <f>Cleaned_Data!H92</f>
        <v/>
      </c>
      <c r="F92" s="2">
        <f>Cleaned_Data!F92</f>
        <v/>
      </c>
      <c r="G92" s="9">
        <f>SUMPRODUCT(($B$2:$B$1196=B92)*($F$2:$F$1196&lt;=F92))/SUMPRODUCT(($B$2:$B$1196=B92)*1)</f>
        <v/>
      </c>
      <c r="H92" s="2">
        <f>Cleaned_Data!J92</f>
        <v/>
      </c>
      <c r="I92" s="2">
        <f>Cleaned_Data!E92</f>
        <v/>
      </c>
      <c r="J92" s="2">
        <f>IF(C92="Yes",1,0)</f>
        <v/>
      </c>
      <c r="K92" s="2">
        <f>MIN(MAX(1-(D92-1)/4,0),1)</f>
        <v/>
      </c>
      <c r="L92" s="2">
        <f>MIN(E92/60,1)</f>
        <v/>
      </c>
      <c r="M92" s="2">
        <f>MIN(MAX(1-G92,0),1)</f>
        <v/>
      </c>
      <c r="N92" s="2">
        <f>MIN(MAX(1-(H92-1)/4,0),1)</f>
        <v/>
      </c>
      <c r="O92" s="2">
        <f>1-MIN(I92/8,1)</f>
        <v/>
      </c>
      <c r="P92" s="10">
        <f>ROUND(100*(J92*Assumptions!$B$6+K92*Assumptions!$B$7+L92*Assumptions!$B$8+M92*Assumptions!$B$9+N92*Assumptions!$B$10+O92*Assumptions!$B$11),1)</f>
        <v/>
      </c>
      <c r="Q92" s="2">
        <f>IF(P92&gt;=Assumptions!$B$14,"High",IF(P92&gt;=Assumptions!$B$15,"Medium","Low"))</f>
        <v/>
      </c>
      <c r="R92" s="2">
        <f>Cleaned_Data!L92</f>
        <v/>
      </c>
    </row>
    <row r="93">
      <c r="A93" s="2">
        <f>Cleaned_Data!A93</f>
        <v/>
      </c>
      <c r="B93" s="2">
        <f>Cleaned_Data!B93</f>
        <v/>
      </c>
      <c r="C93" s="2">
        <f>Cleaned_Data!G93</f>
        <v/>
      </c>
      <c r="D93" s="2">
        <f>Cleaned_Data!I93</f>
        <v/>
      </c>
      <c r="E93" s="2">
        <f>Cleaned_Data!H93</f>
        <v/>
      </c>
      <c r="F93" s="2">
        <f>Cleaned_Data!F93</f>
        <v/>
      </c>
      <c r="G93" s="9">
        <f>SUMPRODUCT(($B$2:$B$1196=B93)*($F$2:$F$1196&lt;=F93))/SUMPRODUCT(($B$2:$B$1196=B93)*1)</f>
        <v/>
      </c>
      <c r="H93" s="2">
        <f>Cleaned_Data!J93</f>
        <v/>
      </c>
      <c r="I93" s="2">
        <f>Cleaned_Data!E93</f>
        <v/>
      </c>
      <c r="J93" s="2">
        <f>IF(C93="Yes",1,0)</f>
        <v/>
      </c>
      <c r="K93" s="2">
        <f>MIN(MAX(1-(D93-1)/4,0),1)</f>
        <v/>
      </c>
      <c r="L93" s="2">
        <f>MIN(E93/60,1)</f>
        <v/>
      </c>
      <c r="M93" s="2">
        <f>MIN(MAX(1-G93,0),1)</f>
        <v/>
      </c>
      <c r="N93" s="2">
        <f>MIN(MAX(1-(H93-1)/4,0),1)</f>
        <v/>
      </c>
      <c r="O93" s="2">
        <f>1-MIN(I93/8,1)</f>
        <v/>
      </c>
      <c r="P93" s="10">
        <f>ROUND(100*(J93*Assumptions!$B$6+K93*Assumptions!$B$7+L93*Assumptions!$B$8+M93*Assumptions!$B$9+N93*Assumptions!$B$10+O93*Assumptions!$B$11),1)</f>
        <v/>
      </c>
      <c r="Q93" s="2">
        <f>IF(P93&gt;=Assumptions!$B$14,"High",IF(P93&gt;=Assumptions!$B$15,"Medium","Low"))</f>
        <v/>
      </c>
      <c r="R93" s="2">
        <f>Cleaned_Data!L93</f>
        <v/>
      </c>
    </row>
    <row r="94">
      <c r="A94" s="2">
        <f>Cleaned_Data!A94</f>
        <v/>
      </c>
      <c r="B94" s="2">
        <f>Cleaned_Data!B94</f>
        <v/>
      </c>
      <c r="C94" s="2">
        <f>Cleaned_Data!G94</f>
        <v/>
      </c>
      <c r="D94" s="2">
        <f>Cleaned_Data!I94</f>
        <v/>
      </c>
      <c r="E94" s="2">
        <f>Cleaned_Data!H94</f>
        <v/>
      </c>
      <c r="F94" s="2">
        <f>Cleaned_Data!F94</f>
        <v/>
      </c>
      <c r="G94" s="9">
        <f>SUMPRODUCT(($B$2:$B$1196=B94)*($F$2:$F$1196&lt;=F94))/SUMPRODUCT(($B$2:$B$1196=B94)*1)</f>
        <v/>
      </c>
      <c r="H94" s="2">
        <f>Cleaned_Data!J94</f>
        <v/>
      </c>
      <c r="I94" s="2">
        <f>Cleaned_Data!E94</f>
        <v/>
      </c>
      <c r="J94" s="2">
        <f>IF(C94="Yes",1,0)</f>
        <v/>
      </c>
      <c r="K94" s="2">
        <f>MIN(MAX(1-(D94-1)/4,0),1)</f>
        <v/>
      </c>
      <c r="L94" s="2">
        <f>MIN(E94/60,1)</f>
        <v/>
      </c>
      <c r="M94" s="2">
        <f>MIN(MAX(1-G94,0),1)</f>
        <v/>
      </c>
      <c r="N94" s="2">
        <f>MIN(MAX(1-(H94-1)/4,0),1)</f>
        <v/>
      </c>
      <c r="O94" s="2">
        <f>1-MIN(I94/8,1)</f>
        <v/>
      </c>
      <c r="P94" s="10">
        <f>ROUND(100*(J94*Assumptions!$B$6+K94*Assumptions!$B$7+L94*Assumptions!$B$8+M94*Assumptions!$B$9+N94*Assumptions!$B$10+O94*Assumptions!$B$11),1)</f>
        <v/>
      </c>
      <c r="Q94" s="2">
        <f>IF(P94&gt;=Assumptions!$B$14,"High",IF(P94&gt;=Assumptions!$B$15,"Medium","Low"))</f>
        <v/>
      </c>
      <c r="R94" s="2">
        <f>Cleaned_Data!L94</f>
        <v/>
      </c>
    </row>
    <row r="95">
      <c r="A95" s="2">
        <f>Cleaned_Data!A95</f>
        <v/>
      </c>
      <c r="B95" s="2">
        <f>Cleaned_Data!B95</f>
        <v/>
      </c>
      <c r="C95" s="2">
        <f>Cleaned_Data!G95</f>
        <v/>
      </c>
      <c r="D95" s="2">
        <f>Cleaned_Data!I95</f>
        <v/>
      </c>
      <c r="E95" s="2">
        <f>Cleaned_Data!H95</f>
        <v/>
      </c>
      <c r="F95" s="2">
        <f>Cleaned_Data!F95</f>
        <v/>
      </c>
      <c r="G95" s="9">
        <f>SUMPRODUCT(($B$2:$B$1196=B95)*($F$2:$F$1196&lt;=F95))/SUMPRODUCT(($B$2:$B$1196=B95)*1)</f>
        <v/>
      </c>
      <c r="H95" s="2">
        <f>Cleaned_Data!J95</f>
        <v/>
      </c>
      <c r="I95" s="2">
        <f>Cleaned_Data!E95</f>
        <v/>
      </c>
      <c r="J95" s="2">
        <f>IF(C95="Yes",1,0)</f>
        <v/>
      </c>
      <c r="K95" s="2">
        <f>MIN(MAX(1-(D95-1)/4,0),1)</f>
        <v/>
      </c>
      <c r="L95" s="2">
        <f>MIN(E95/60,1)</f>
        <v/>
      </c>
      <c r="M95" s="2">
        <f>MIN(MAX(1-G95,0),1)</f>
        <v/>
      </c>
      <c r="N95" s="2">
        <f>MIN(MAX(1-(H95-1)/4,0),1)</f>
        <v/>
      </c>
      <c r="O95" s="2">
        <f>1-MIN(I95/8,1)</f>
        <v/>
      </c>
      <c r="P95" s="10">
        <f>ROUND(100*(J95*Assumptions!$B$6+K95*Assumptions!$B$7+L95*Assumptions!$B$8+M95*Assumptions!$B$9+N95*Assumptions!$B$10+O95*Assumptions!$B$11),1)</f>
        <v/>
      </c>
      <c r="Q95" s="2">
        <f>IF(P95&gt;=Assumptions!$B$14,"High",IF(P95&gt;=Assumptions!$B$15,"Medium","Low"))</f>
        <v/>
      </c>
      <c r="R95" s="2">
        <f>Cleaned_Data!L95</f>
        <v/>
      </c>
    </row>
    <row r="96">
      <c r="A96" s="2">
        <f>Cleaned_Data!A96</f>
        <v/>
      </c>
      <c r="B96" s="2">
        <f>Cleaned_Data!B96</f>
        <v/>
      </c>
      <c r="C96" s="2">
        <f>Cleaned_Data!G96</f>
        <v/>
      </c>
      <c r="D96" s="2">
        <f>Cleaned_Data!I96</f>
        <v/>
      </c>
      <c r="E96" s="2">
        <f>Cleaned_Data!H96</f>
        <v/>
      </c>
      <c r="F96" s="2">
        <f>Cleaned_Data!F96</f>
        <v/>
      </c>
      <c r="G96" s="9">
        <f>SUMPRODUCT(($B$2:$B$1196=B96)*($F$2:$F$1196&lt;=F96))/SUMPRODUCT(($B$2:$B$1196=B96)*1)</f>
        <v/>
      </c>
      <c r="H96" s="2">
        <f>Cleaned_Data!J96</f>
        <v/>
      </c>
      <c r="I96" s="2">
        <f>Cleaned_Data!E96</f>
        <v/>
      </c>
      <c r="J96" s="2">
        <f>IF(C96="Yes",1,0)</f>
        <v/>
      </c>
      <c r="K96" s="2">
        <f>MIN(MAX(1-(D96-1)/4,0),1)</f>
        <v/>
      </c>
      <c r="L96" s="2">
        <f>MIN(E96/60,1)</f>
        <v/>
      </c>
      <c r="M96" s="2">
        <f>MIN(MAX(1-G96,0),1)</f>
        <v/>
      </c>
      <c r="N96" s="2">
        <f>MIN(MAX(1-(H96-1)/4,0),1)</f>
        <v/>
      </c>
      <c r="O96" s="2">
        <f>1-MIN(I96/8,1)</f>
        <v/>
      </c>
      <c r="P96" s="10">
        <f>ROUND(100*(J96*Assumptions!$B$6+K96*Assumptions!$B$7+L96*Assumptions!$B$8+M96*Assumptions!$B$9+N96*Assumptions!$B$10+O96*Assumptions!$B$11),1)</f>
        <v/>
      </c>
      <c r="Q96" s="2">
        <f>IF(P96&gt;=Assumptions!$B$14,"High",IF(P96&gt;=Assumptions!$B$15,"Medium","Low"))</f>
        <v/>
      </c>
      <c r="R96" s="2">
        <f>Cleaned_Data!L96</f>
        <v/>
      </c>
    </row>
    <row r="97">
      <c r="A97" s="2">
        <f>Cleaned_Data!A97</f>
        <v/>
      </c>
      <c r="B97" s="2">
        <f>Cleaned_Data!B97</f>
        <v/>
      </c>
      <c r="C97" s="2">
        <f>Cleaned_Data!G97</f>
        <v/>
      </c>
      <c r="D97" s="2">
        <f>Cleaned_Data!I97</f>
        <v/>
      </c>
      <c r="E97" s="2">
        <f>Cleaned_Data!H97</f>
        <v/>
      </c>
      <c r="F97" s="2">
        <f>Cleaned_Data!F97</f>
        <v/>
      </c>
      <c r="G97" s="9">
        <f>SUMPRODUCT(($B$2:$B$1196=B97)*($F$2:$F$1196&lt;=F97))/SUMPRODUCT(($B$2:$B$1196=B97)*1)</f>
        <v/>
      </c>
      <c r="H97" s="2">
        <f>Cleaned_Data!J97</f>
        <v/>
      </c>
      <c r="I97" s="2">
        <f>Cleaned_Data!E97</f>
        <v/>
      </c>
      <c r="J97" s="2">
        <f>IF(C97="Yes",1,0)</f>
        <v/>
      </c>
      <c r="K97" s="2">
        <f>MIN(MAX(1-(D97-1)/4,0),1)</f>
        <v/>
      </c>
      <c r="L97" s="2">
        <f>MIN(E97/60,1)</f>
        <v/>
      </c>
      <c r="M97" s="2">
        <f>MIN(MAX(1-G97,0),1)</f>
        <v/>
      </c>
      <c r="N97" s="2">
        <f>MIN(MAX(1-(H97-1)/4,0),1)</f>
        <v/>
      </c>
      <c r="O97" s="2">
        <f>1-MIN(I97/8,1)</f>
        <v/>
      </c>
      <c r="P97" s="10">
        <f>ROUND(100*(J97*Assumptions!$B$6+K97*Assumptions!$B$7+L97*Assumptions!$B$8+M97*Assumptions!$B$9+N97*Assumptions!$B$10+O97*Assumptions!$B$11),1)</f>
        <v/>
      </c>
      <c r="Q97" s="2">
        <f>IF(P97&gt;=Assumptions!$B$14,"High",IF(P97&gt;=Assumptions!$B$15,"Medium","Low"))</f>
        <v/>
      </c>
      <c r="R97" s="2">
        <f>Cleaned_Data!L97</f>
        <v/>
      </c>
    </row>
    <row r="98">
      <c r="A98" s="2">
        <f>Cleaned_Data!A98</f>
        <v/>
      </c>
      <c r="B98" s="2">
        <f>Cleaned_Data!B98</f>
        <v/>
      </c>
      <c r="C98" s="2">
        <f>Cleaned_Data!G98</f>
        <v/>
      </c>
      <c r="D98" s="2">
        <f>Cleaned_Data!I98</f>
        <v/>
      </c>
      <c r="E98" s="2">
        <f>Cleaned_Data!H98</f>
        <v/>
      </c>
      <c r="F98" s="2">
        <f>Cleaned_Data!F98</f>
        <v/>
      </c>
      <c r="G98" s="9">
        <f>SUMPRODUCT(($B$2:$B$1196=B98)*($F$2:$F$1196&lt;=F98))/SUMPRODUCT(($B$2:$B$1196=B98)*1)</f>
        <v/>
      </c>
      <c r="H98" s="2">
        <f>Cleaned_Data!J98</f>
        <v/>
      </c>
      <c r="I98" s="2">
        <f>Cleaned_Data!E98</f>
        <v/>
      </c>
      <c r="J98" s="2">
        <f>IF(C98="Yes",1,0)</f>
        <v/>
      </c>
      <c r="K98" s="2">
        <f>MIN(MAX(1-(D98-1)/4,0),1)</f>
        <v/>
      </c>
      <c r="L98" s="2">
        <f>MIN(E98/60,1)</f>
        <v/>
      </c>
      <c r="M98" s="2">
        <f>MIN(MAX(1-G98,0),1)</f>
        <v/>
      </c>
      <c r="N98" s="2">
        <f>MIN(MAX(1-(H98-1)/4,0),1)</f>
        <v/>
      </c>
      <c r="O98" s="2">
        <f>1-MIN(I98/8,1)</f>
        <v/>
      </c>
      <c r="P98" s="10">
        <f>ROUND(100*(J98*Assumptions!$B$6+K98*Assumptions!$B$7+L98*Assumptions!$B$8+M98*Assumptions!$B$9+N98*Assumptions!$B$10+O98*Assumptions!$B$11),1)</f>
        <v/>
      </c>
      <c r="Q98" s="2">
        <f>IF(P98&gt;=Assumptions!$B$14,"High",IF(P98&gt;=Assumptions!$B$15,"Medium","Low"))</f>
        <v/>
      </c>
      <c r="R98" s="2">
        <f>Cleaned_Data!L98</f>
        <v/>
      </c>
    </row>
    <row r="99">
      <c r="A99" s="2">
        <f>Cleaned_Data!A99</f>
        <v/>
      </c>
      <c r="B99" s="2">
        <f>Cleaned_Data!B99</f>
        <v/>
      </c>
      <c r="C99" s="2">
        <f>Cleaned_Data!G99</f>
        <v/>
      </c>
      <c r="D99" s="2">
        <f>Cleaned_Data!I99</f>
        <v/>
      </c>
      <c r="E99" s="2">
        <f>Cleaned_Data!H99</f>
        <v/>
      </c>
      <c r="F99" s="2">
        <f>Cleaned_Data!F99</f>
        <v/>
      </c>
      <c r="G99" s="9">
        <f>SUMPRODUCT(($B$2:$B$1196=B99)*($F$2:$F$1196&lt;=F99))/SUMPRODUCT(($B$2:$B$1196=B99)*1)</f>
        <v/>
      </c>
      <c r="H99" s="2">
        <f>Cleaned_Data!J99</f>
        <v/>
      </c>
      <c r="I99" s="2">
        <f>Cleaned_Data!E99</f>
        <v/>
      </c>
      <c r="J99" s="2">
        <f>IF(C99="Yes",1,0)</f>
        <v/>
      </c>
      <c r="K99" s="2">
        <f>MIN(MAX(1-(D99-1)/4,0),1)</f>
        <v/>
      </c>
      <c r="L99" s="2">
        <f>MIN(E99/60,1)</f>
        <v/>
      </c>
      <c r="M99" s="2">
        <f>MIN(MAX(1-G99,0),1)</f>
        <v/>
      </c>
      <c r="N99" s="2">
        <f>MIN(MAX(1-(H99-1)/4,0),1)</f>
        <v/>
      </c>
      <c r="O99" s="2">
        <f>1-MIN(I99/8,1)</f>
        <v/>
      </c>
      <c r="P99" s="10">
        <f>ROUND(100*(J99*Assumptions!$B$6+K99*Assumptions!$B$7+L99*Assumptions!$B$8+M99*Assumptions!$B$9+N99*Assumptions!$B$10+O99*Assumptions!$B$11),1)</f>
        <v/>
      </c>
      <c r="Q99" s="2">
        <f>IF(P99&gt;=Assumptions!$B$14,"High",IF(P99&gt;=Assumptions!$B$15,"Medium","Low"))</f>
        <v/>
      </c>
      <c r="R99" s="2">
        <f>Cleaned_Data!L99</f>
        <v/>
      </c>
    </row>
    <row r="100">
      <c r="A100" s="2">
        <f>Cleaned_Data!A100</f>
        <v/>
      </c>
      <c r="B100" s="2">
        <f>Cleaned_Data!B100</f>
        <v/>
      </c>
      <c r="C100" s="2">
        <f>Cleaned_Data!G100</f>
        <v/>
      </c>
      <c r="D100" s="2">
        <f>Cleaned_Data!I100</f>
        <v/>
      </c>
      <c r="E100" s="2">
        <f>Cleaned_Data!H100</f>
        <v/>
      </c>
      <c r="F100" s="2">
        <f>Cleaned_Data!F100</f>
        <v/>
      </c>
      <c r="G100" s="9">
        <f>SUMPRODUCT(($B$2:$B$1196=B100)*($F$2:$F$1196&lt;=F100))/SUMPRODUCT(($B$2:$B$1196=B100)*1)</f>
        <v/>
      </c>
      <c r="H100" s="2">
        <f>Cleaned_Data!J100</f>
        <v/>
      </c>
      <c r="I100" s="2">
        <f>Cleaned_Data!E100</f>
        <v/>
      </c>
      <c r="J100" s="2">
        <f>IF(C100="Yes",1,0)</f>
        <v/>
      </c>
      <c r="K100" s="2">
        <f>MIN(MAX(1-(D100-1)/4,0),1)</f>
        <v/>
      </c>
      <c r="L100" s="2">
        <f>MIN(E100/60,1)</f>
        <v/>
      </c>
      <c r="M100" s="2">
        <f>MIN(MAX(1-G100,0),1)</f>
        <v/>
      </c>
      <c r="N100" s="2">
        <f>MIN(MAX(1-(H100-1)/4,0),1)</f>
        <v/>
      </c>
      <c r="O100" s="2">
        <f>1-MIN(I100/8,1)</f>
        <v/>
      </c>
      <c r="P100" s="10">
        <f>ROUND(100*(J100*Assumptions!$B$6+K100*Assumptions!$B$7+L100*Assumptions!$B$8+M100*Assumptions!$B$9+N100*Assumptions!$B$10+O100*Assumptions!$B$11),1)</f>
        <v/>
      </c>
      <c r="Q100" s="2">
        <f>IF(P100&gt;=Assumptions!$B$14,"High",IF(P100&gt;=Assumptions!$B$15,"Medium","Low"))</f>
        <v/>
      </c>
      <c r="R100" s="2">
        <f>Cleaned_Data!L100</f>
        <v/>
      </c>
    </row>
    <row r="101">
      <c r="A101" s="2">
        <f>Cleaned_Data!A101</f>
        <v/>
      </c>
      <c r="B101" s="2">
        <f>Cleaned_Data!B101</f>
        <v/>
      </c>
      <c r="C101" s="2">
        <f>Cleaned_Data!G101</f>
        <v/>
      </c>
      <c r="D101" s="2">
        <f>Cleaned_Data!I101</f>
        <v/>
      </c>
      <c r="E101" s="2">
        <f>Cleaned_Data!H101</f>
        <v/>
      </c>
      <c r="F101" s="2">
        <f>Cleaned_Data!F101</f>
        <v/>
      </c>
      <c r="G101" s="9">
        <f>SUMPRODUCT(($B$2:$B$1196=B101)*($F$2:$F$1196&lt;=F101))/SUMPRODUCT(($B$2:$B$1196=B101)*1)</f>
        <v/>
      </c>
      <c r="H101" s="2">
        <f>Cleaned_Data!J101</f>
        <v/>
      </c>
      <c r="I101" s="2">
        <f>Cleaned_Data!E101</f>
        <v/>
      </c>
      <c r="J101" s="2">
        <f>IF(C101="Yes",1,0)</f>
        <v/>
      </c>
      <c r="K101" s="2">
        <f>MIN(MAX(1-(D101-1)/4,0),1)</f>
        <v/>
      </c>
      <c r="L101" s="2">
        <f>MIN(E101/60,1)</f>
        <v/>
      </c>
      <c r="M101" s="2">
        <f>MIN(MAX(1-G101,0),1)</f>
        <v/>
      </c>
      <c r="N101" s="2">
        <f>MIN(MAX(1-(H101-1)/4,0),1)</f>
        <v/>
      </c>
      <c r="O101" s="2">
        <f>1-MIN(I101/8,1)</f>
        <v/>
      </c>
      <c r="P101" s="10">
        <f>ROUND(100*(J101*Assumptions!$B$6+K101*Assumptions!$B$7+L101*Assumptions!$B$8+M101*Assumptions!$B$9+N101*Assumptions!$B$10+O101*Assumptions!$B$11),1)</f>
        <v/>
      </c>
      <c r="Q101" s="2">
        <f>IF(P101&gt;=Assumptions!$B$14,"High",IF(P101&gt;=Assumptions!$B$15,"Medium","Low"))</f>
        <v/>
      </c>
      <c r="R101" s="2">
        <f>Cleaned_Data!L101</f>
        <v/>
      </c>
    </row>
    <row r="102">
      <c r="A102" s="2">
        <f>Cleaned_Data!A102</f>
        <v/>
      </c>
      <c r="B102" s="2">
        <f>Cleaned_Data!B102</f>
        <v/>
      </c>
      <c r="C102" s="2">
        <f>Cleaned_Data!G102</f>
        <v/>
      </c>
      <c r="D102" s="2">
        <f>Cleaned_Data!I102</f>
        <v/>
      </c>
      <c r="E102" s="2">
        <f>Cleaned_Data!H102</f>
        <v/>
      </c>
      <c r="F102" s="2">
        <f>Cleaned_Data!F102</f>
        <v/>
      </c>
      <c r="G102" s="9">
        <f>SUMPRODUCT(($B$2:$B$1196=B102)*($F$2:$F$1196&lt;=F102))/SUMPRODUCT(($B$2:$B$1196=B102)*1)</f>
        <v/>
      </c>
      <c r="H102" s="2">
        <f>Cleaned_Data!J102</f>
        <v/>
      </c>
      <c r="I102" s="2">
        <f>Cleaned_Data!E102</f>
        <v/>
      </c>
      <c r="J102" s="2">
        <f>IF(C102="Yes",1,0)</f>
        <v/>
      </c>
      <c r="K102" s="2">
        <f>MIN(MAX(1-(D102-1)/4,0),1)</f>
        <v/>
      </c>
      <c r="L102" s="2">
        <f>MIN(E102/60,1)</f>
        <v/>
      </c>
      <c r="M102" s="2">
        <f>MIN(MAX(1-G102,0),1)</f>
        <v/>
      </c>
      <c r="N102" s="2">
        <f>MIN(MAX(1-(H102-1)/4,0),1)</f>
        <v/>
      </c>
      <c r="O102" s="2">
        <f>1-MIN(I102/8,1)</f>
        <v/>
      </c>
      <c r="P102" s="10">
        <f>ROUND(100*(J102*Assumptions!$B$6+K102*Assumptions!$B$7+L102*Assumptions!$B$8+M102*Assumptions!$B$9+N102*Assumptions!$B$10+O102*Assumptions!$B$11),1)</f>
        <v/>
      </c>
      <c r="Q102" s="2">
        <f>IF(P102&gt;=Assumptions!$B$14,"High",IF(P102&gt;=Assumptions!$B$15,"Medium","Low"))</f>
        <v/>
      </c>
      <c r="R102" s="2">
        <f>Cleaned_Data!L102</f>
        <v/>
      </c>
    </row>
    <row r="103">
      <c r="A103" s="2">
        <f>Cleaned_Data!A103</f>
        <v/>
      </c>
      <c r="B103" s="2">
        <f>Cleaned_Data!B103</f>
        <v/>
      </c>
      <c r="C103" s="2">
        <f>Cleaned_Data!G103</f>
        <v/>
      </c>
      <c r="D103" s="2">
        <f>Cleaned_Data!I103</f>
        <v/>
      </c>
      <c r="E103" s="2">
        <f>Cleaned_Data!H103</f>
        <v/>
      </c>
      <c r="F103" s="2">
        <f>Cleaned_Data!F103</f>
        <v/>
      </c>
      <c r="G103" s="9">
        <f>SUMPRODUCT(($B$2:$B$1196=B103)*($F$2:$F$1196&lt;=F103))/SUMPRODUCT(($B$2:$B$1196=B103)*1)</f>
        <v/>
      </c>
      <c r="H103" s="2">
        <f>Cleaned_Data!J103</f>
        <v/>
      </c>
      <c r="I103" s="2">
        <f>Cleaned_Data!E103</f>
        <v/>
      </c>
      <c r="J103" s="2">
        <f>IF(C103="Yes",1,0)</f>
        <v/>
      </c>
      <c r="K103" s="2">
        <f>MIN(MAX(1-(D103-1)/4,0),1)</f>
        <v/>
      </c>
      <c r="L103" s="2">
        <f>MIN(E103/60,1)</f>
        <v/>
      </c>
      <c r="M103" s="2">
        <f>MIN(MAX(1-G103,0),1)</f>
        <v/>
      </c>
      <c r="N103" s="2">
        <f>MIN(MAX(1-(H103-1)/4,0),1)</f>
        <v/>
      </c>
      <c r="O103" s="2">
        <f>1-MIN(I103/8,1)</f>
        <v/>
      </c>
      <c r="P103" s="10">
        <f>ROUND(100*(J103*Assumptions!$B$6+K103*Assumptions!$B$7+L103*Assumptions!$B$8+M103*Assumptions!$B$9+N103*Assumptions!$B$10+O103*Assumptions!$B$11),1)</f>
        <v/>
      </c>
      <c r="Q103" s="2">
        <f>IF(P103&gt;=Assumptions!$B$14,"High",IF(P103&gt;=Assumptions!$B$15,"Medium","Low"))</f>
        <v/>
      </c>
      <c r="R103" s="2">
        <f>Cleaned_Data!L103</f>
        <v/>
      </c>
    </row>
    <row r="104">
      <c r="A104" s="2">
        <f>Cleaned_Data!A104</f>
        <v/>
      </c>
      <c r="B104" s="2">
        <f>Cleaned_Data!B104</f>
        <v/>
      </c>
      <c r="C104" s="2">
        <f>Cleaned_Data!G104</f>
        <v/>
      </c>
      <c r="D104" s="2">
        <f>Cleaned_Data!I104</f>
        <v/>
      </c>
      <c r="E104" s="2">
        <f>Cleaned_Data!H104</f>
        <v/>
      </c>
      <c r="F104" s="2">
        <f>Cleaned_Data!F104</f>
        <v/>
      </c>
      <c r="G104" s="9">
        <f>SUMPRODUCT(($B$2:$B$1196=B104)*($F$2:$F$1196&lt;=F104))/SUMPRODUCT(($B$2:$B$1196=B104)*1)</f>
        <v/>
      </c>
      <c r="H104" s="2">
        <f>Cleaned_Data!J104</f>
        <v/>
      </c>
      <c r="I104" s="2">
        <f>Cleaned_Data!E104</f>
        <v/>
      </c>
      <c r="J104" s="2">
        <f>IF(C104="Yes",1,0)</f>
        <v/>
      </c>
      <c r="K104" s="2">
        <f>MIN(MAX(1-(D104-1)/4,0),1)</f>
        <v/>
      </c>
      <c r="L104" s="2">
        <f>MIN(E104/60,1)</f>
        <v/>
      </c>
      <c r="M104" s="2">
        <f>MIN(MAX(1-G104,0),1)</f>
        <v/>
      </c>
      <c r="N104" s="2">
        <f>MIN(MAX(1-(H104-1)/4,0),1)</f>
        <v/>
      </c>
      <c r="O104" s="2">
        <f>1-MIN(I104/8,1)</f>
        <v/>
      </c>
      <c r="P104" s="10">
        <f>ROUND(100*(J104*Assumptions!$B$6+K104*Assumptions!$B$7+L104*Assumptions!$B$8+M104*Assumptions!$B$9+N104*Assumptions!$B$10+O104*Assumptions!$B$11),1)</f>
        <v/>
      </c>
      <c r="Q104" s="2">
        <f>IF(P104&gt;=Assumptions!$B$14,"High",IF(P104&gt;=Assumptions!$B$15,"Medium","Low"))</f>
        <v/>
      </c>
      <c r="R104" s="2">
        <f>Cleaned_Data!L104</f>
        <v/>
      </c>
    </row>
    <row r="105">
      <c r="A105" s="2">
        <f>Cleaned_Data!A105</f>
        <v/>
      </c>
      <c r="B105" s="2">
        <f>Cleaned_Data!B105</f>
        <v/>
      </c>
      <c r="C105" s="2">
        <f>Cleaned_Data!G105</f>
        <v/>
      </c>
      <c r="D105" s="2">
        <f>Cleaned_Data!I105</f>
        <v/>
      </c>
      <c r="E105" s="2">
        <f>Cleaned_Data!H105</f>
        <v/>
      </c>
      <c r="F105" s="2">
        <f>Cleaned_Data!F105</f>
        <v/>
      </c>
      <c r="G105" s="9">
        <f>SUMPRODUCT(($B$2:$B$1196=B105)*($F$2:$F$1196&lt;=F105))/SUMPRODUCT(($B$2:$B$1196=B105)*1)</f>
        <v/>
      </c>
      <c r="H105" s="2">
        <f>Cleaned_Data!J105</f>
        <v/>
      </c>
      <c r="I105" s="2">
        <f>Cleaned_Data!E105</f>
        <v/>
      </c>
      <c r="J105" s="2">
        <f>IF(C105="Yes",1,0)</f>
        <v/>
      </c>
      <c r="K105" s="2">
        <f>MIN(MAX(1-(D105-1)/4,0),1)</f>
        <v/>
      </c>
      <c r="L105" s="2">
        <f>MIN(E105/60,1)</f>
        <v/>
      </c>
      <c r="M105" s="2">
        <f>MIN(MAX(1-G105,0),1)</f>
        <v/>
      </c>
      <c r="N105" s="2">
        <f>MIN(MAX(1-(H105-1)/4,0),1)</f>
        <v/>
      </c>
      <c r="O105" s="2">
        <f>1-MIN(I105/8,1)</f>
        <v/>
      </c>
      <c r="P105" s="10">
        <f>ROUND(100*(J105*Assumptions!$B$6+K105*Assumptions!$B$7+L105*Assumptions!$B$8+M105*Assumptions!$B$9+N105*Assumptions!$B$10+O105*Assumptions!$B$11),1)</f>
        <v/>
      </c>
      <c r="Q105" s="2">
        <f>IF(P105&gt;=Assumptions!$B$14,"High",IF(P105&gt;=Assumptions!$B$15,"Medium","Low"))</f>
        <v/>
      </c>
      <c r="R105" s="2">
        <f>Cleaned_Data!L105</f>
        <v/>
      </c>
    </row>
    <row r="106">
      <c r="A106" s="2">
        <f>Cleaned_Data!A106</f>
        <v/>
      </c>
      <c r="B106" s="2">
        <f>Cleaned_Data!B106</f>
        <v/>
      </c>
      <c r="C106" s="2">
        <f>Cleaned_Data!G106</f>
        <v/>
      </c>
      <c r="D106" s="2">
        <f>Cleaned_Data!I106</f>
        <v/>
      </c>
      <c r="E106" s="2">
        <f>Cleaned_Data!H106</f>
        <v/>
      </c>
      <c r="F106" s="2">
        <f>Cleaned_Data!F106</f>
        <v/>
      </c>
      <c r="G106" s="9">
        <f>SUMPRODUCT(($B$2:$B$1196=B106)*($F$2:$F$1196&lt;=F106))/SUMPRODUCT(($B$2:$B$1196=B106)*1)</f>
        <v/>
      </c>
      <c r="H106" s="2">
        <f>Cleaned_Data!J106</f>
        <v/>
      </c>
      <c r="I106" s="2">
        <f>Cleaned_Data!E106</f>
        <v/>
      </c>
      <c r="J106" s="2">
        <f>IF(C106="Yes",1,0)</f>
        <v/>
      </c>
      <c r="K106" s="2">
        <f>MIN(MAX(1-(D106-1)/4,0),1)</f>
        <v/>
      </c>
      <c r="L106" s="2">
        <f>MIN(E106/60,1)</f>
        <v/>
      </c>
      <c r="M106" s="2">
        <f>MIN(MAX(1-G106,0),1)</f>
        <v/>
      </c>
      <c r="N106" s="2">
        <f>MIN(MAX(1-(H106-1)/4,0),1)</f>
        <v/>
      </c>
      <c r="O106" s="2">
        <f>1-MIN(I106/8,1)</f>
        <v/>
      </c>
      <c r="P106" s="10">
        <f>ROUND(100*(J106*Assumptions!$B$6+K106*Assumptions!$B$7+L106*Assumptions!$B$8+M106*Assumptions!$B$9+N106*Assumptions!$B$10+O106*Assumptions!$B$11),1)</f>
        <v/>
      </c>
      <c r="Q106" s="2">
        <f>IF(P106&gt;=Assumptions!$B$14,"High",IF(P106&gt;=Assumptions!$B$15,"Medium","Low"))</f>
        <v/>
      </c>
      <c r="R106" s="2">
        <f>Cleaned_Data!L106</f>
        <v/>
      </c>
    </row>
    <row r="107">
      <c r="A107" s="2">
        <f>Cleaned_Data!A107</f>
        <v/>
      </c>
      <c r="B107" s="2">
        <f>Cleaned_Data!B107</f>
        <v/>
      </c>
      <c r="C107" s="2">
        <f>Cleaned_Data!G107</f>
        <v/>
      </c>
      <c r="D107" s="2">
        <f>Cleaned_Data!I107</f>
        <v/>
      </c>
      <c r="E107" s="2">
        <f>Cleaned_Data!H107</f>
        <v/>
      </c>
      <c r="F107" s="2">
        <f>Cleaned_Data!F107</f>
        <v/>
      </c>
      <c r="G107" s="9">
        <f>SUMPRODUCT(($B$2:$B$1196=B107)*($F$2:$F$1196&lt;=F107))/SUMPRODUCT(($B$2:$B$1196=B107)*1)</f>
        <v/>
      </c>
      <c r="H107" s="2">
        <f>Cleaned_Data!J107</f>
        <v/>
      </c>
      <c r="I107" s="2">
        <f>Cleaned_Data!E107</f>
        <v/>
      </c>
      <c r="J107" s="2">
        <f>IF(C107="Yes",1,0)</f>
        <v/>
      </c>
      <c r="K107" s="2">
        <f>MIN(MAX(1-(D107-1)/4,0),1)</f>
        <v/>
      </c>
      <c r="L107" s="2">
        <f>MIN(E107/60,1)</f>
        <v/>
      </c>
      <c r="M107" s="2">
        <f>MIN(MAX(1-G107,0),1)</f>
        <v/>
      </c>
      <c r="N107" s="2">
        <f>MIN(MAX(1-(H107-1)/4,0),1)</f>
        <v/>
      </c>
      <c r="O107" s="2">
        <f>1-MIN(I107/8,1)</f>
        <v/>
      </c>
      <c r="P107" s="10">
        <f>ROUND(100*(J107*Assumptions!$B$6+K107*Assumptions!$B$7+L107*Assumptions!$B$8+M107*Assumptions!$B$9+N107*Assumptions!$B$10+O107*Assumptions!$B$11),1)</f>
        <v/>
      </c>
      <c r="Q107" s="2">
        <f>IF(P107&gt;=Assumptions!$B$14,"High",IF(P107&gt;=Assumptions!$B$15,"Medium","Low"))</f>
        <v/>
      </c>
      <c r="R107" s="2">
        <f>Cleaned_Data!L107</f>
        <v/>
      </c>
    </row>
    <row r="108">
      <c r="A108" s="2">
        <f>Cleaned_Data!A108</f>
        <v/>
      </c>
      <c r="B108" s="2">
        <f>Cleaned_Data!B108</f>
        <v/>
      </c>
      <c r="C108" s="2">
        <f>Cleaned_Data!G108</f>
        <v/>
      </c>
      <c r="D108" s="2">
        <f>Cleaned_Data!I108</f>
        <v/>
      </c>
      <c r="E108" s="2">
        <f>Cleaned_Data!H108</f>
        <v/>
      </c>
      <c r="F108" s="2">
        <f>Cleaned_Data!F108</f>
        <v/>
      </c>
      <c r="G108" s="9">
        <f>SUMPRODUCT(($B$2:$B$1196=B108)*($F$2:$F$1196&lt;=F108))/SUMPRODUCT(($B$2:$B$1196=B108)*1)</f>
        <v/>
      </c>
      <c r="H108" s="2">
        <f>Cleaned_Data!J108</f>
        <v/>
      </c>
      <c r="I108" s="2">
        <f>Cleaned_Data!E108</f>
        <v/>
      </c>
      <c r="J108" s="2">
        <f>IF(C108="Yes",1,0)</f>
        <v/>
      </c>
      <c r="K108" s="2">
        <f>MIN(MAX(1-(D108-1)/4,0),1)</f>
        <v/>
      </c>
      <c r="L108" s="2">
        <f>MIN(E108/60,1)</f>
        <v/>
      </c>
      <c r="M108" s="2">
        <f>MIN(MAX(1-G108,0),1)</f>
        <v/>
      </c>
      <c r="N108" s="2">
        <f>MIN(MAX(1-(H108-1)/4,0),1)</f>
        <v/>
      </c>
      <c r="O108" s="2">
        <f>1-MIN(I108/8,1)</f>
        <v/>
      </c>
      <c r="P108" s="10">
        <f>ROUND(100*(J108*Assumptions!$B$6+K108*Assumptions!$B$7+L108*Assumptions!$B$8+M108*Assumptions!$B$9+N108*Assumptions!$B$10+O108*Assumptions!$B$11),1)</f>
        <v/>
      </c>
      <c r="Q108" s="2">
        <f>IF(P108&gt;=Assumptions!$B$14,"High",IF(P108&gt;=Assumptions!$B$15,"Medium","Low"))</f>
        <v/>
      </c>
      <c r="R108" s="2">
        <f>Cleaned_Data!L108</f>
        <v/>
      </c>
    </row>
    <row r="109">
      <c r="A109" s="2">
        <f>Cleaned_Data!A109</f>
        <v/>
      </c>
      <c r="B109" s="2">
        <f>Cleaned_Data!B109</f>
        <v/>
      </c>
      <c r="C109" s="2">
        <f>Cleaned_Data!G109</f>
        <v/>
      </c>
      <c r="D109" s="2">
        <f>Cleaned_Data!I109</f>
        <v/>
      </c>
      <c r="E109" s="2">
        <f>Cleaned_Data!H109</f>
        <v/>
      </c>
      <c r="F109" s="2">
        <f>Cleaned_Data!F109</f>
        <v/>
      </c>
      <c r="G109" s="9">
        <f>SUMPRODUCT(($B$2:$B$1196=B109)*($F$2:$F$1196&lt;=F109))/SUMPRODUCT(($B$2:$B$1196=B109)*1)</f>
        <v/>
      </c>
      <c r="H109" s="2">
        <f>Cleaned_Data!J109</f>
        <v/>
      </c>
      <c r="I109" s="2">
        <f>Cleaned_Data!E109</f>
        <v/>
      </c>
      <c r="J109" s="2">
        <f>IF(C109="Yes",1,0)</f>
        <v/>
      </c>
      <c r="K109" s="2">
        <f>MIN(MAX(1-(D109-1)/4,0),1)</f>
        <v/>
      </c>
      <c r="L109" s="2">
        <f>MIN(E109/60,1)</f>
        <v/>
      </c>
      <c r="M109" s="2">
        <f>MIN(MAX(1-G109,0),1)</f>
        <v/>
      </c>
      <c r="N109" s="2">
        <f>MIN(MAX(1-(H109-1)/4,0),1)</f>
        <v/>
      </c>
      <c r="O109" s="2">
        <f>1-MIN(I109/8,1)</f>
        <v/>
      </c>
      <c r="P109" s="10">
        <f>ROUND(100*(J109*Assumptions!$B$6+K109*Assumptions!$B$7+L109*Assumptions!$B$8+M109*Assumptions!$B$9+N109*Assumptions!$B$10+O109*Assumptions!$B$11),1)</f>
        <v/>
      </c>
      <c r="Q109" s="2">
        <f>IF(P109&gt;=Assumptions!$B$14,"High",IF(P109&gt;=Assumptions!$B$15,"Medium","Low"))</f>
        <v/>
      </c>
      <c r="R109" s="2">
        <f>Cleaned_Data!L109</f>
        <v/>
      </c>
    </row>
    <row r="110">
      <c r="A110" s="2">
        <f>Cleaned_Data!A110</f>
        <v/>
      </c>
      <c r="B110" s="2">
        <f>Cleaned_Data!B110</f>
        <v/>
      </c>
      <c r="C110" s="2">
        <f>Cleaned_Data!G110</f>
        <v/>
      </c>
      <c r="D110" s="2">
        <f>Cleaned_Data!I110</f>
        <v/>
      </c>
      <c r="E110" s="2">
        <f>Cleaned_Data!H110</f>
        <v/>
      </c>
      <c r="F110" s="2">
        <f>Cleaned_Data!F110</f>
        <v/>
      </c>
      <c r="G110" s="9">
        <f>SUMPRODUCT(($B$2:$B$1196=B110)*($F$2:$F$1196&lt;=F110))/SUMPRODUCT(($B$2:$B$1196=B110)*1)</f>
        <v/>
      </c>
      <c r="H110" s="2">
        <f>Cleaned_Data!J110</f>
        <v/>
      </c>
      <c r="I110" s="2">
        <f>Cleaned_Data!E110</f>
        <v/>
      </c>
      <c r="J110" s="2">
        <f>IF(C110="Yes",1,0)</f>
        <v/>
      </c>
      <c r="K110" s="2">
        <f>MIN(MAX(1-(D110-1)/4,0),1)</f>
        <v/>
      </c>
      <c r="L110" s="2">
        <f>MIN(E110/60,1)</f>
        <v/>
      </c>
      <c r="M110" s="2">
        <f>MIN(MAX(1-G110,0),1)</f>
        <v/>
      </c>
      <c r="N110" s="2">
        <f>MIN(MAX(1-(H110-1)/4,0),1)</f>
        <v/>
      </c>
      <c r="O110" s="2">
        <f>1-MIN(I110/8,1)</f>
        <v/>
      </c>
      <c r="P110" s="10">
        <f>ROUND(100*(J110*Assumptions!$B$6+K110*Assumptions!$B$7+L110*Assumptions!$B$8+M110*Assumptions!$B$9+N110*Assumptions!$B$10+O110*Assumptions!$B$11),1)</f>
        <v/>
      </c>
      <c r="Q110" s="2">
        <f>IF(P110&gt;=Assumptions!$B$14,"High",IF(P110&gt;=Assumptions!$B$15,"Medium","Low"))</f>
        <v/>
      </c>
      <c r="R110" s="2">
        <f>Cleaned_Data!L110</f>
        <v/>
      </c>
    </row>
    <row r="111">
      <c r="A111" s="2">
        <f>Cleaned_Data!A111</f>
        <v/>
      </c>
      <c r="B111" s="2">
        <f>Cleaned_Data!B111</f>
        <v/>
      </c>
      <c r="C111" s="2">
        <f>Cleaned_Data!G111</f>
        <v/>
      </c>
      <c r="D111" s="2">
        <f>Cleaned_Data!I111</f>
        <v/>
      </c>
      <c r="E111" s="2">
        <f>Cleaned_Data!H111</f>
        <v/>
      </c>
      <c r="F111" s="2">
        <f>Cleaned_Data!F111</f>
        <v/>
      </c>
      <c r="G111" s="9">
        <f>SUMPRODUCT(($B$2:$B$1196=B111)*($F$2:$F$1196&lt;=F111))/SUMPRODUCT(($B$2:$B$1196=B111)*1)</f>
        <v/>
      </c>
      <c r="H111" s="2">
        <f>Cleaned_Data!J111</f>
        <v/>
      </c>
      <c r="I111" s="2">
        <f>Cleaned_Data!E111</f>
        <v/>
      </c>
      <c r="J111" s="2">
        <f>IF(C111="Yes",1,0)</f>
        <v/>
      </c>
      <c r="K111" s="2">
        <f>MIN(MAX(1-(D111-1)/4,0),1)</f>
        <v/>
      </c>
      <c r="L111" s="2">
        <f>MIN(E111/60,1)</f>
        <v/>
      </c>
      <c r="M111" s="2">
        <f>MIN(MAX(1-G111,0),1)</f>
        <v/>
      </c>
      <c r="N111" s="2">
        <f>MIN(MAX(1-(H111-1)/4,0),1)</f>
        <v/>
      </c>
      <c r="O111" s="2">
        <f>1-MIN(I111/8,1)</f>
        <v/>
      </c>
      <c r="P111" s="10">
        <f>ROUND(100*(J111*Assumptions!$B$6+K111*Assumptions!$B$7+L111*Assumptions!$B$8+M111*Assumptions!$B$9+N111*Assumptions!$B$10+O111*Assumptions!$B$11),1)</f>
        <v/>
      </c>
      <c r="Q111" s="2">
        <f>IF(P111&gt;=Assumptions!$B$14,"High",IF(P111&gt;=Assumptions!$B$15,"Medium","Low"))</f>
        <v/>
      </c>
      <c r="R111" s="2">
        <f>Cleaned_Data!L111</f>
        <v/>
      </c>
    </row>
    <row r="112">
      <c r="A112" s="2">
        <f>Cleaned_Data!A112</f>
        <v/>
      </c>
      <c r="B112" s="2">
        <f>Cleaned_Data!B112</f>
        <v/>
      </c>
      <c r="C112" s="2">
        <f>Cleaned_Data!G112</f>
        <v/>
      </c>
      <c r="D112" s="2">
        <f>Cleaned_Data!I112</f>
        <v/>
      </c>
      <c r="E112" s="2">
        <f>Cleaned_Data!H112</f>
        <v/>
      </c>
      <c r="F112" s="2">
        <f>Cleaned_Data!F112</f>
        <v/>
      </c>
      <c r="G112" s="9">
        <f>SUMPRODUCT(($B$2:$B$1196=B112)*($F$2:$F$1196&lt;=F112))/SUMPRODUCT(($B$2:$B$1196=B112)*1)</f>
        <v/>
      </c>
      <c r="H112" s="2">
        <f>Cleaned_Data!J112</f>
        <v/>
      </c>
      <c r="I112" s="2">
        <f>Cleaned_Data!E112</f>
        <v/>
      </c>
      <c r="J112" s="2">
        <f>IF(C112="Yes",1,0)</f>
        <v/>
      </c>
      <c r="K112" s="2">
        <f>MIN(MAX(1-(D112-1)/4,0),1)</f>
        <v/>
      </c>
      <c r="L112" s="2">
        <f>MIN(E112/60,1)</f>
        <v/>
      </c>
      <c r="M112" s="2">
        <f>MIN(MAX(1-G112,0),1)</f>
        <v/>
      </c>
      <c r="N112" s="2">
        <f>MIN(MAX(1-(H112-1)/4,0),1)</f>
        <v/>
      </c>
      <c r="O112" s="2">
        <f>1-MIN(I112/8,1)</f>
        <v/>
      </c>
      <c r="P112" s="10">
        <f>ROUND(100*(J112*Assumptions!$B$6+K112*Assumptions!$B$7+L112*Assumptions!$B$8+M112*Assumptions!$B$9+N112*Assumptions!$B$10+O112*Assumptions!$B$11),1)</f>
        <v/>
      </c>
      <c r="Q112" s="2">
        <f>IF(P112&gt;=Assumptions!$B$14,"High",IF(P112&gt;=Assumptions!$B$15,"Medium","Low"))</f>
        <v/>
      </c>
      <c r="R112" s="2">
        <f>Cleaned_Data!L112</f>
        <v/>
      </c>
    </row>
    <row r="113">
      <c r="A113" s="2">
        <f>Cleaned_Data!A113</f>
        <v/>
      </c>
      <c r="B113" s="2">
        <f>Cleaned_Data!B113</f>
        <v/>
      </c>
      <c r="C113" s="2">
        <f>Cleaned_Data!G113</f>
        <v/>
      </c>
      <c r="D113" s="2">
        <f>Cleaned_Data!I113</f>
        <v/>
      </c>
      <c r="E113" s="2">
        <f>Cleaned_Data!H113</f>
        <v/>
      </c>
      <c r="F113" s="2">
        <f>Cleaned_Data!F113</f>
        <v/>
      </c>
      <c r="G113" s="9">
        <f>SUMPRODUCT(($B$2:$B$1196=B113)*($F$2:$F$1196&lt;=F113))/SUMPRODUCT(($B$2:$B$1196=B113)*1)</f>
        <v/>
      </c>
      <c r="H113" s="2">
        <f>Cleaned_Data!J113</f>
        <v/>
      </c>
      <c r="I113" s="2">
        <f>Cleaned_Data!E113</f>
        <v/>
      </c>
      <c r="J113" s="2">
        <f>IF(C113="Yes",1,0)</f>
        <v/>
      </c>
      <c r="K113" s="2">
        <f>MIN(MAX(1-(D113-1)/4,0),1)</f>
        <v/>
      </c>
      <c r="L113" s="2">
        <f>MIN(E113/60,1)</f>
        <v/>
      </c>
      <c r="M113" s="2">
        <f>MIN(MAX(1-G113,0),1)</f>
        <v/>
      </c>
      <c r="N113" s="2">
        <f>MIN(MAX(1-(H113-1)/4,0),1)</f>
        <v/>
      </c>
      <c r="O113" s="2">
        <f>1-MIN(I113/8,1)</f>
        <v/>
      </c>
      <c r="P113" s="10">
        <f>ROUND(100*(J113*Assumptions!$B$6+K113*Assumptions!$B$7+L113*Assumptions!$B$8+M113*Assumptions!$B$9+N113*Assumptions!$B$10+O113*Assumptions!$B$11),1)</f>
        <v/>
      </c>
      <c r="Q113" s="2">
        <f>IF(P113&gt;=Assumptions!$B$14,"High",IF(P113&gt;=Assumptions!$B$15,"Medium","Low"))</f>
        <v/>
      </c>
      <c r="R113" s="2">
        <f>Cleaned_Data!L113</f>
        <v/>
      </c>
    </row>
    <row r="114">
      <c r="A114" s="2">
        <f>Cleaned_Data!A114</f>
        <v/>
      </c>
      <c r="B114" s="2">
        <f>Cleaned_Data!B114</f>
        <v/>
      </c>
      <c r="C114" s="2">
        <f>Cleaned_Data!G114</f>
        <v/>
      </c>
      <c r="D114" s="2">
        <f>Cleaned_Data!I114</f>
        <v/>
      </c>
      <c r="E114" s="2">
        <f>Cleaned_Data!H114</f>
        <v/>
      </c>
      <c r="F114" s="2">
        <f>Cleaned_Data!F114</f>
        <v/>
      </c>
      <c r="G114" s="9">
        <f>SUMPRODUCT(($B$2:$B$1196=B114)*($F$2:$F$1196&lt;=F114))/SUMPRODUCT(($B$2:$B$1196=B114)*1)</f>
        <v/>
      </c>
      <c r="H114" s="2">
        <f>Cleaned_Data!J114</f>
        <v/>
      </c>
      <c r="I114" s="2">
        <f>Cleaned_Data!E114</f>
        <v/>
      </c>
      <c r="J114" s="2">
        <f>IF(C114="Yes",1,0)</f>
        <v/>
      </c>
      <c r="K114" s="2">
        <f>MIN(MAX(1-(D114-1)/4,0),1)</f>
        <v/>
      </c>
      <c r="L114" s="2">
        <f>MIN(E114/60,1)</f>
        <v/>
      </c>
      <c r="M114" s="2">
        <f>MIN(MAX(1-G114,0),1)</f>
        <v/>
      </c>
      <c r="N114" s="2">
        <f>MIN(MAX(1-(H114-1)/4,0),1)</f>
        <v/>
      </c>
      <c r="O114" s="2">
        <f>1-MIN(I114/8,1)</f>
        <v/>
      </c>
      <c r="P114" s="10">
        <f>ROUND(100*(J114*Assumptions!$B$6+K114*Assumptions!$B$7+L114*Assumptions!$B$8+M114*Assumptions!$B$9+N114*Assumptions!$B$10+O114*Assumptions!$B$11),1)</f>
        <v/>
      </c>
      <c r="Q114" s="2">
        <f>IF(P114&gt;=Assumptions!$B$14,"High",IF(P114&gt;=Assumptions!$B$15,"Medium","Low"))</f>
        <v/>
      </c>
      <c r="R114" s="2">
        <f>Cleaned_Data!L114</f>
        <v/>
      </c>
    </row>
    <row r="115">
      <c r="A115" s="2">
        <f>Cleaned_Data!A115</f>
        <v/>
      </c>
      <c r="B115" s="2">
        <f>Cleaned_Data!B115</f>
        <v/>
      </c>
      <c r="C115" s="2">
        <f>Cleaned_Data!G115</f>
        <v/>
      </c>
      <c r="D115" s="2">
        <f>Cleaned_Data!I115</f>
        <v/>
      </c>
      <c r="E115" s="2">
        <f>Cleaned_Data!H115</f>
        <v/>
      </c>
      <c r="F115" s="2">
        <f>Cleaned_Data!F115</f>
        <v/>
      </c>
      <c r="G115" s="9">
        <f>SUMPRODUCT(($B$2:$B$1196=B115)*($F$2:$F$1196&lt;=F115))/SUMPRODUCT(($B$2:$B$1196=B115)*1)</f>
        <v/>
      </c>
      <c r="H115" s="2">
        <f>Cleaned_Data!J115</f>
        <v/>
      </c>
      <c r="I115" s="2">
        <f>Cleaned_Data!E115</f>
        <v/>
      </c>
      <c r="J115" s="2">
        <f>IF(C115="Yes",1,0)</f>
        <v/>
      </c>
      <c r="K115" s="2">
        <f>MIN(MAX(1-(D115-1)/4,0),1)</f>
        <v/>
      </c>
      <c r="L115" s="2">
        <f>MIN(E115/60,1)</f>
        <v/>
      </c>
      <c r="M115" s="2">
        <f>MIN(MAX(1-G115,0),1)</f>
        <v/>
      </c>
      <c r="N115" s="2">
        <f>MIN(MAX(1-(H115-1)/4,0),1)</f>
        <v/>
      </c>
      <c r="O115" s="2">
        <f>1-MIN(I115/8,1)</f>
        <v/>
      </c>
      <c r="P115" s="10">
        <f>ROUND(100*(J115*Assumptions!$B$6+K115*Assumptions!$B$7+L115*Assumptions!$B$8+M115*Assumptions!$B$9+N115*Assumptions!$B$10+O115*Assumptions!$B$11),1)</f>
        <v/>
      </c>
      <c r="Q115" s="2">
        <f>IF(P115&gt;=Assumptions!$B$14,"High",IF(P115&gt;=Assumptions!$B$15,"Medium","Low"))</f>
        <v/>
      </c>
      <c r="R115" s="2">
        <f>Cleaned_Data!L115</f>
        <v/>
      </c>
    </row>
    <row r="116">
      <c r="A116" s="2">
        <f>Cleaned_Data!A116</f>
        <v/>
      </c>
      <c r="B116" s="2">
        <f>Cleaned_Data!B116</f>
        <v/>
      </c>
      <c r="C116" s="2">
        <f>Cleaned_Data!G116</f>
        <v/>
      </c>
      <c r="D116" s="2">
        <f>Cleaned_Data!I116</f>
        <v/>
      </c>
      <c r="E116" s="2">
        <f>Cleaned_Data!H116</f>
        <v/>
      </c>
      <c r="F116" s="2">
        <f>Cleaned_Data!F116</f>
        <v/>
      </c>
      <c r="G116" s="9">
        <f>SUMPRODUCT(($B$2:$B$1196=B116)*($F$2:$F$1196&lt;=F116))/SUMPRODUCT(($B$2:$B$1196=B116)*1)</f>
        <v/>
      </c>
      <c r="H116" s="2">
        <f>Cleaned_Data!J116</f>
        <v/>
      </c>
      <c r="I116" s="2">
        <f>Cleaned_Data!E116</f>
        <v/>
      </c>
      <c r="J116" s="2">
        <f>IF(C116="Yes",1,0)</f>
        <v/>
      </c>
      <c r="K116" s="2">
        <f>MIN(MAX(1-(D116-1)/4,0),1)</f>
        <v/>
      </c>
      <c r="L116" s="2">
        <f>MIN(E116/60,1)</f>
        <v/>
      </c>
      <c r="M116" s="2">
        <f>MIN(MAX(1-G116,0),1)</f>
        <v/>
      </c>
      <c r="N116" s="2">
        <f>MIN(MAX(1-(H116-1)/4,0),1)</f>
        <v/>
      </c>
      <c r="O116" s="2">
        <f>1-MIN(I116/8,1)</f>
        <v/>
      </c>
      <c r="P116" s="10">
        <f>ROUND(100*(J116*Assumptions!$B$6+K116*Assumptions!$B$7+L116*Assumptions!$B$8+M116*Assumptions!$B$9+N116*Assumptions!$B$10+O116*Assumptions!$B$11),1)</f>
        <v/>
      </c>
      <c r="Q116" s="2">
        <f>IF(P116&gt;=Assumptions!$B$14,"High",IF(P116&gt;=Assumptions!$B$15,"Medium","Low"))</f>
        <v/>
      </c>
      <c r="R116" s="2">
        <f>Cleaned_Data!L116</f>
        <v/>
      </c>
    </row>
    <row r="117">
      <c r="A117" s="2">
        <f>Cleaned_Data!A117</f>
        <v/>
      </c>
      <c r="B117" s="2">
        <f>Cleaned_Data!B117</f>
        <v/>
      </c>
      <c r="C117" s="2">
        <f>Cleaned_Data!G117</f>
        <v/>
      </c>
      <c r="D117" s="2">
        <f>Cleaned_Data!I117</f>
        <v/>
      </c>
      <c r="E117" s="2">
        <f>Cleaned_Data!H117</f>
        <v/>
      </c>
      <c r="F117" s="2">
        <f>Cleaned_Data!F117</f>
        <v/>
      </c>
      <c r="G117" s="9">
        <f>SUMPRODUCT(($B$2:$B$1196=B117)*($F$2:$F$1196&lt;=F117))/SUMPRODUCT(($B$2:$B$1196=B117)*1)</f>
        <v/>
      </c>
      <c r="H117" s="2">
        <f>Cleaned_Data!J117</f>
        <v/>
      </c>
      <c r="I117" s="2">
        <f>Cleaned_Data!E117</f>
        <v/>
      </c>
      <c r="J117" s="2">
        <f>IF(C117="Yes",1,0)</f>
        <v/>
      </c>
      <c r="K117" s="2">
        <f>MIN(MAX(1-(D117-1)/4,0),1)</f>
        <v/>
      </c>
      <c r="L117" s="2">
        <f>MIN(E117/60,1)</f>
        <v/>
      </c>
      <c r="M117" s="2">
        <f>MIN(MAX(1-G117,0),1)</f>
        <v/>
      </c>
      <c r="N117" s="2">
        <f>MIN(MAX(1-(H117-1)/4,0),1)</f>
        <v/>
      </c>
      <c r="O117" s="2">
        <f>1-MIN(I117/8,1)</f>
        <v/>
      </c>
      <c r="P117" s="10">
        <f>ROUND(100*(J117*Assumptions!$B$6+K117*Assumptions!$B$7+L117*Assumptions!$B$8+M117*Assumptions!$B$9+N117*Assumptions!$B$10+O117*Assumptions!$B$11),1)</f>
        <v/>
      </c>
      <c r="Q117" s="2">
        <f>IF(P117&gt;=Assumptions!$B$14,"High",IF(P117&gt;=Assumptions!$B$15,"Medium","Low"))</f>
        <v/>
      </c>
      <c r="R117" s="2">
        <f>Cleaned_Data!L117</f>
        <v/>
      </c>
    </row>
    <row r="118">
      <c r="A118" s="2">
        <f>Cleaned_Data!A118</f>
        <v/>
      </c>
      <c r="B118" s="2">
        <f>Cleaned_Data!B118</f>
        <v/>
      </c>
      <c r="C118" s="2">
        <f>Cleaned_Data!G118</f>
        <v/>
      </c>
      <c r="D118" s="2">
        <f>Cleaned_Data!I118</f>
        <v/>
      </c>
      <c r="E118" s="2">
        <f>Cleaned_Data!H118</f>
        <v/>
      </c>
      <c r="F118" s="2">
        <f>Cleaned_Data!F118</f>
        <v/>
      </c>
      <c r="G118" s="9">
        <f>SUMPRODUCT(($B$2:$B$1196=B118)*($F$2:$F$1196&lt;=F118))/SUMPRODUCT(($B$2:$B$1196=B118)*1)</f>
        <v/>
      </c>
      <c r="H118" s="2">
        <f>Cleaned_Data!J118</f>
        <v/>
      </c>
      <c r="I118" s="2">
        <f>Cleaned_Data!E118</f>
        <v/>
      </c>
      <c r="J118" s="2">
        <f>IF(C118="Yes",1,0)</f>
        <v/>
      </c>
      <c r="K118" s="2">
        <f>MIN(MAX(1-(D118-1)/4,0),1)</f>
        <v/>
      </c>
      <c r="L118" s="2">
        <f>MIN(E118/60,1)</f>
        <v/>
      </c>
      <c r="M118" s="2">
        <f>MIN(MAX(1-G118,0),1)</f>
        <v/>
      </c>
      <c r="N118" s="2">
        <f>MIN(MAX(1-(H118-1)/4,0),1)</f>
        <v/>
      </c>
      <c r="O118" s="2">
        <f>1-MIN(I118/8,1)</f>
        <v/>
      </c>
      <c r="P118" s="10">
        <f>ROUND(100*(J118*Assumptions!$B$6+K118*Assumptions!$B$7+L118*Assumptions!$B$8+M118*Assumptions!$B$9+N118*Assumptions!$B$10+O118*Assumptions!$B$11),1)</f>
        <v/>
      </c>
      <c r="Q118" s="2">
        <f>IF(P118&gt;=Assumptions!$B$14,"High",IF(P118&gt;=Assumptions!$B$15,"Medium","Low"))</f>
        <v/>
      </c>
      <c r="R118" s="2">
        <f>Cleaned_Data!L118</f>
        <v/>
      </c>
    </row>
    <row r="119">
      <c r="A119" s="2">
        <f>Cleaned_Data!A119</f>
        <v/>
      </c>
      <c r="B119" s="2">
        <f>Cleaned_Data!B119</f>
        <v/>
      </c>
      <c r="C119" s="2">
        <f>Cleaned_Data!G119</f>
        <v/>
      </c>
      <c r="D119" s="2">
        <f>Cleaned_Data!I119</f>
        <v/>
      </c>
      <c r="E119" s="2">
        <f>Cleaned_Data!H119</f>
        <v/>
      </c>
      <c r="F119" s="2">
        <f>Cleaned_Data!F119</f>
        <v/>
      </c>
      <c r="G119" s="9">
        <f>SUMPRODUCT(($B$2:$B$1196=B119)*($F$2:$F$1196&lt;=F119))/SUMPRODUCT(($B$2:$B$1196=B119)*1)</f>
        <v/>
      </c>
      <c r="H119" s="2">
        <f>Cleaned_Data!J119</f>
        <v/>
      </c>
      <c r="I119" s="2">
        <f>Cleaned_Data!E119</f>
        <v/>
      </c>
      <c r="J119" s="2">
        <f>IF(C119="Yes",1,0)</f>
        <v/>
      </c>
      <c r="K119" s="2">
        <f>MIN(MAX(1-(D119-1)/4,0),1)</f>
        <v/>
      </c>
      <c r="L119" s="2">
        <f>MIN(E119/60,1)</f>
        <v/>
      </c>
      <c r="M119" s="2">
        <f>MIN(MAX(1-G119,0),1)</f>
        <v/>
      </c>
      <c r="N119" s="2">
        <f>MIN(MAX(1-(H119-1)/4,0),1)</f>
        <v/>
      </c>
      <c r="O119" s="2">
        <f>1-MIN(I119/8,1)</f>
        <v/>
      </c>
      <c r="P119" s="10">
        <f>ROUND(100*(J119*Assumptions!$B$6+K119*Assumptions!$B$7+L119*Assumptions!$B$8+M119*Assumptions!$B$9+N119*Assumptions!$B$10+O119*Assumptions!$B$11),1)</f>
        <v/>
      </c>
      <c r="Q119" s="2">
        <f>IF(P119&gt;=Assumptions!$B$14,"High",IF(P119&gt;=Assumptions!$B$15,"Medium","Low"))</f>
        <v/>
      </c>
      <c r="R119" s="2">
        <f>Cleaned_Data!L119</f>
        <v/>
      </c>
    </row>
    <row r="120">
      <c r="A120" s="2">
        <f>Cleaned_Data!A120</f>
        <v/>
      </c>
      <c r="B120" s="2">
        <f>Cleaned_Data!B120</f>
        <v/>
      </c>
      <c r="C120" s="2">
        <f>Cleaned_Data!G120</f>
        <v/>
      </c>
      <c r="D120" s="2">
        <f>Cleaned_Data!I120</f>
        <v/>
      </c>
      <c r="E120" s="2">
        <f>Cleaned_Data!H120</f>
        <v/>
      </c>
      <c r="F120" s="2">
        <f>Cleaned_Data!F120</f>
        <v/>
      </c>
      <c r="G120" s="9">
        <f>SUMPRODUCT(($B$2:$B$1196=B120)*($F$2:$F$1196&lt;=F120))/SUMPRODUCT(($B$2:$B$1196=B120)*1)</f>
        <v/>
      </c>
      <c r="H120" s="2">
        <f>Cleaned_Data!J120</f>
        <v/>
      </c>
      <c r="I120" s="2">
        <f>Cleaned_Data!E120</f>
        <v/>
      </c>
      <c r="J120" s="2">
        <f>IF(C120="Yes",1,0)</f>
        <v/>
      </c>
      <c r="K120" s="2">
        <f>MIN(MAX(1-(D120-1)/4,0),1)</f>
        <v/>
      </c>
      <c r="L120" s="2">
        <f>MIN(E120/60,1)</f>
        <v/>
      </c>
      <c r="M120" s="2">
        <f>MIN(MAX(1-G120,0),1)</f>
        <v/>
      </c>
      <c r="N120" s="2">
        <f>MIN(MAX(1-(H120-1)/4,0),1)</f>
        <v/>
      </c>
      <c r="O120" s="2">
        <f>1-MIN(I120/8,1)</f>
        <v/>
      </c>
      <c r="P120" s="10">
        <f>ROUND(100*(J120*Assumptions!$B$6+K120*Assumptions!$B$7+L120*Assumptions!$B$8+M120*Assumptions!$B$9+N120*Assumptions!$B$10+O120*Assumptions!$B$11),1)</f>
        <v/>
      </c>
      <c r="Q120" s="2">
        <f>IF(P120&gt;=Assumptions!$B$14,"High",IF(P120&gt;=Assumptions!$B$15,"Medium","Low"))</f>
        <v/>
      </c>
      <c r="R120" s="2">
        <f>Cleaned_Data!L120</f>
        <v/>
      </c>
    </row>
    <row r="121">
      <c r="A121" s="2">
        <f>Cleaned_Data!A121</f>
        <v/>
      </c>
      <c r="B121" s="2">
        <f>Cleaned_Data!B121</f>
        <v/>
      </c>
      <c r="C121" s="2">
        <f>Cleaned_Data!G121</f>
        <v/>
      </c>
      <c r="D121" s="2">
        <f>Cleaned_Data!I121</f>
        <v/>
      </c>
      <c r="E121" s="2">
        <f>Cleaned_Data!H121</f>
        <v/>
      </c>
      <c r="F121" s="2">
        <f>Cleaned_Data!F121</f>
        <v/>
      </c>
      <c r="G121" s="9">
        <f>SUMPRODUCT(($B$2:$B$1196=B121)*($F$2:$F$1196&lt;=F121))/SUMPRODUCT(($B$2:$B$1196=B121)*1)</f>
        <v/>
      </c>
      <c r="H121" s="2">
        <f>Cleaned_Data!J121</f>
        <v/>
      </c>
      <c r="I121" s="2">
        <f>Cleaned_Data!E121</f>
        <v/>
      </c>
      <c r="J121" s="2">
        <f>IF(C121="Yes",1,0)</f>
        <v/>
      </c>
      <c r="K121" s="2">
        <f>MIN(MAX(1-(D121-1)/4,0),1)</f>
        <v/>
      </c>
      <c r="L121" s="2">
        <f>MIN(E121/60,1)</f>
        <v/>
      </c>
      <c r="M121" s="2">
        <f>MIN(MAX(1-G121,0),1)</f>
        <v/>
      </c>
      <c r="N121" s="2">
        <f>MIN(MAX(1-(H121-1)/4,0),1)</f>
        <v/>
      </c>
      <c r="O121" s="2">
        <f>1-MIN(I121/8,1)</f>
        <v/>
      </c>
      <c r="P121" s="10">
        <f>ROUND(100*(J121*Assumptions!$B$6+K121*Assumptions!$B$7+L121*Assumptions!$B$8+M121*Assumptions!$B$9+N121*Assumptions!$B$10+O121*Assumptions!$B$11),1)</f>
        <v/>
      </c>
      <c r="Q121" s="2">
        <f>IF(P121&gt;=Assumptions!$B$14,"High",IF(P121&gt;=Assumptions!$B$15,"Medium","Low"))</f>
        <v/>
      </c>
      <c r="R121" s="2">
        <f>Cleaned_Data!L121</f>
        <v/>
      </c>
    </row>
    <row r="122">
      <c r="A122" s="2">
        <f>Cleaned_Data!A122</f>
        <v/>
      </c>
      <c r="B122" s="2">
        <f>Cleaned_Data!B122</f>
        <v/>
      </c>
      <c r="C122" s="2">
        <f>Cleaned_Data!G122</f>
        <v/>
      </c>
      <c r="D122" s="2">
        <f>Cleaned_Data!I122</f>
        <v/>
      </c>
      <c r="E122" s="2">
        <f>Cleaned_Data!H122</f>
        <v/>
      </c>
      <c r="F122" s="2">
        <f>Cleaned_Data!F122</f>
        <v/>
      </c>
      <c r="G122" s="9">
        <f>SUMPRODUCT(($B$2:$B$1196=B122)*($F$2:$F$1196&lt;=F122))/SUMPRODUCT(($B$2:$B$1196=B122)*1)</f>
        <v/>
      </c>
      <c r="H122" s="2">
        <f>Cleaned_Data!J122</f>
        <v/>
      </c>
      <c r="I122" s="2">
        <f>Cleaned_Data!E122</f>
        <v/>
      </c>
      <c r="J122" s="2">
        <f>IF(C122="Yes",1,0)</f>
        <v/>
      </c>
      <c r="K122" s="2">
        <f>MIN(MAX(1-(D122-1)/4,0),1)</f>
        <v/>
      </c>
      <c r="L122" s="2">
        <f>MIN(E122/60,1)</f>
        <v/>
      </c>
      <c r="M122" s="2">
        <f>MIN(MAX(1-G122,0),1)</f>
        <v/>
      </c>
      <c r="N122" s="2">
        <f>MIN(MAX(1-(H122-1)/4,0),1)</f>
        <v/>
      </c>
      <c r="O122" s="2">
        <f>1-MIN(I122/8,1)</f>
        <v/>
      </c>
      <c r="P122" s="10">
        <f>ROUND(100*(J122*Assumptions!$B$6+K122*Assumptions!$B$7+L122*Assumptions!$B$8+M122*Assumptions!$B$9+N122*Assumptions!$B$10+O122*Assumptions!$B$11),1)</f>
        <v/>
      </c>
      <c r="Q122" s="2">
        <f>IF(P122&gt;=Assumptions!$B$14,"High",IF(P122&gt;=Assumptions!$B$15,"Medium","Low"))</f>
        <v/>
      </c>
      <c r="R122" s="2">
        <f>Cleaned_Data!L122</f>
        <v/>
      </c>
    </row>
    <row r="123">
      <c r="A123" s="2">
        <f>Cleaned_Data!A123</f>
        <v/>
      </c>
      <c r="B123" s="2">
        <f>Cleaned_Data!B123</f>
        <v/>
      </c>
      <c r="C123" s="2">
        <f>Cleaned_Data!G123</f>
        <v/>
      </c>
      <c r="D123" s="2">
        <f>Cleaned_Data!I123</f>
        <v/>
      </c>
      <c r="E123" s="2">
        <f>Cleaned_Data!H123</f>
        <v/>
      </c>
      <c r="F123" s="2">
        <f>Cleaned_Data!F123</f>
        <v/>
      </c>
      <c r="G123" s="9">
        <f>SUMPRODUCT(($B$2:$B$1196=B123)*($F$2:$F$1196&lt;=F123))/SUMPRODUCT(($B$2:$B$1196=B123)*1)</f>
        <v/>
      </c>
      <c r="H123" s="2">
        <f>Cleaned_Data!J123</f>
        <v/>
      </c>
      <c r="I123" s="2">
        <f>Cleaned_Data!E123</f>
        <v/>
      </c>
      <c r="J123" s="2">
        <f>IF(C123="Yes",1,0)</f>
        <v/>
      </c>
      <c r="K123" s="2">
        <f>MIN(MAX(1-(D123-1)/4,0),1)</f>
        <v/>
      </c>
      <c r="L123" s="2">
        <f>MIN(E123/60,1)</f>
        <v/>
      </c>
      <c r="M123" s="2">
        <f>MIN(MAX(1-G123,0),1)</f>
        <v/>
      </c>
      <c r="N123" s="2">
        <f>MIN(MAX(1-(H123-1)/4,0),1)</f>
        <v/>
      </c>
      <c r="O123" s="2">
        <f>1-MIN(I123/8,1)</f>
        <v/>
      </c>
      <c r="P123" s="10">
        <f>ROUND(100*(J123*Assumptions!$B$6+K123*Assumptions!$B$7+L123*Assumptions!$B$8+M123*Assumptions!$B$9+N123*Assumptions!$B$10+O123*Assumptions!$B$11),1)</f>
        <v/>
      </c>
      <c r="Q123" s="2">
        <f>IF(P123&gt;=Assumptions!$B$14,"High",IF(P123&gt;=Assumptions!$B$15,"Medium","Low"))</f>
        <v/>
      </c>
      <c r="R123" s="2">
        <f>Cleaned_Data!L123</f>
        <v/>
      </c>
    </row>
    <row r="124">
      <c r="A124" s="2">
        <f>Cleaned_Data!A124</f>
        <v/>
      </c>
      <c r="B124" s="2">
        <f>Cleaned_Data!B124</f>
        <v/>
      </c>
      <c r="C124" s="2">
        <f>Cleaned_Data!G124</f>
        <v/>
      </c>
      <c r="D124" s="2">
        <f>Cleaned_Data!I124</f>
        <v/>
      </c>
      <c r="E124" s="2">
        <f>Cleaned_Data!H124</f>
        <v/>
      </c>
      <c r="F124" s="2">
        <f>Cleaned_Data!F124</f>
        <v/>
      </c>
      <c r="G124" s="9">
        <f>SUMPRODUCT(($B$2:$B$1196=B124)*($F$2:$F$1196&lt;=F124))/SUMPRODUCT(($B$2:$B$1196=B124)*1)</f>
        <v/>
      </c>
      <c r="H124" s="2">
        <f>Cleaned_Data!J124</f>
        <v/>
      </c>
      <c r="I124" s="2">
        <f>Cleaned_Data!E124</f>
        <v/>
      </c>
      <c r="J124" s="2">
        <f>IF(C124="Yes",1,0)</f>
        <v/>
      </c>
      <c r="K124" s="2">
        <f>MIN(MAX(1-(D124-1)/4,0),1)</f>
        <v/>
      </c>
      <c r="L124" s="2">
        <f>MIN(E124/60,1)</f>
        <v/>
      </c>
      <c r="M124" s="2">
        <f>MIN(MAX(1-G124,0),1)</f>
        <v/>
      </c>
      <c r="N124" s="2">
        <f>MIN(MAX(1-(H124-1)/4,0),1)</f>
        <v/>
      </c>
      <c r="O124" s="2">
        <f>1-MIN(I124/8,1)</f>
        <v/>
      </c>
      <c r="P124" s="10">
        <f>ROUND(100*(J124*Assumptions!$B$6+K124*Assumptions!$B$7+L124*Assumptions!$B$8+M124*Assumptions!$B$9+N124*Assumptions!$B$10+O124*Assumptions!$B$11),1)</f>
        <v/>
      </c>
      <c r="Q124" s="2">
        <f>IF(P124&gt;=Assumptions!$B$14,"High",IF(P124&gt;=Assumptions!$B$15,"Medium","Low"))</f>
        <v/>
      </c>
      <c r="R124" s="2">
        <f>Cleaned_Data!L124</f>
        <v/>
      </c>
    </row>
    <row r="125">
      <c r="A125" s="2">
        <f>Cleaned_Data!A125</f>
        <v/>
      </c>
      <c r="B125" s="2">
        <f>Cleaned_Data!B125</f>
        <v/>
      </c>
      <c r="C125" s="2">
        <f>Cleaned_Data!G125</f>
        <v/>
      </c>
      <c r="D125" s="2">
        <f>Cleaned_Data!I125</f>
        <v/>
      </c>
      <c r="E125" s="2">
        <f>Cleaned_Data!H125</f>
        <v/>
      </c>
      <c r="F125" s="2">
        <f>Cleaned_Data!F125</f>
        <v/>
      </c>
      <c r="G125" s="9">
        <f>SUMPRODUCT(($B$2:$B$1196=B125)*($F$2:$F$1196&lt;=F125))/SUMPRODUCT(($B$2:$B$1196=B125)*1)</f>
        <v/>
      </c>
      <c r="H125" s="2">
        <f>Cleaned_Data!J125</f>
        <v/>
      </c>
      <c r="I125" s="2">
        <f>Cleaned_Data!E125</f>
        <v/>
      </c>
      <c r="J125" s="2">
        <f>IF(C125="Yes",1,0)</f>
        <v/>
      </c>
      <c r="K125" s="2">
        <f>MIN(MAX(1-(D125-1)/4,0),1)</f>
        <v/>
      </c>
      <c r="L125" s="2">
        <f>MIN(E125/60,1)</f>
        <v/>
      </c>
      <c r="M125" s="2">
        <f>MIN(MAX(1-G125,0),1)</f>
        <v/>
      </c>
      <c r="N125" s="2">
        <f>MIN(MAX(1-(H125-1)/4,0),1)</f>
        <v/>
      </c>
      <c r="O125" s="2">
        <f>1-MIN(I125/8,1)</f>
        <v/>
      </c>
      <c r="P125" s="10">
        <f>ROUND(100*(J125*Assumptions!$B$6+K125*Assumptions!$B$7+L125*Assumptions!$B$8+M125*Assumptions!$B$9+N125*Assumptions!$B$10+O125*Assumptions!$B$11),1)</f>
        <v/>
      </c>
      <c r="Q125" s="2">
        <f>IF(P125&gt;=Assumptions!$B$14,"High",IF(P125&gt;=Assumptions!$B$15,"Medium","Low"))</f>
        <v/>
      </c>
      <c r="R125" s="2">
        <f>Cleaned_Data!L125</f>
        <v/>
      </c>
    </row>
    <row r="126">
      <c r="A126" s="2">
        <f>Cleaned_Data!A126</f>
        <v/>
      </c>
      <c r="B126" s="2">
        <f>Cleaned_Data!B126</f>
        <v/>
      </c>
      <c r="C126" s="2">
        <f>Cleaned_Data!G126</f>
        <v/>
      </c>
      <c r="D126" s="2">
        <f>Cleaned_Data!I126</f>
        <v/>
      </c>
      <c r="E126" s="2">
        <f>Cleaned_Data!H126</f>
        <v/>
      </c>
      <c r="F126" s="2">
        <f>Cleaned_Data!F126</f>
        <v/>
      </c>
      <c r="G126" s="9">
        <f>SUMPRODUCT(($B$2:$B$1196=B126)*($F$2:$F$1196&lt;=F126))/SUMPRODUCT(($B$2:$B$1196=B126)*1)</f>
        <v/>
      </c>
      <c r="H126" s="2">
        <f>Cleaned_Data!J126</f>
        <v/>
      </c>
      <c r="I126" s="2">
        <f>Cleaned_Data!E126</f>
        <v/>
      </c>
      <c r="J126" s="2">
        <f>IF(C126="Yes",1,0)</f>
        <v/>
      </c>
      <c r="K126" s="2">
        <f>MIN(MAX(1-(D126-1)/4,0),1)</f>
        <v/>
      </c>
      <c r="L126" s="2">
        <f>MIN(E126/60,1)</f>
        <v/>
      </c>
      <c r="M126" s="2">
        <f>MIN(MAX(1-G126,0),1)</f>
        <v/>
      </c>
      <c r="N126" s="2">
        <f>MIN(MAX(1-(H126-1)/4,0),1)</f>
        <v/>
      </c>
      <c r="O126" s="2">
        <f>1-MIN(I126/8,1)</f>
        <v/>
      </c>
      <c r="P126" s="10">
        <f>ROUND(100*(J126*Assumptions!$B$6+K126*Assumptions!$B$7+L126*Assumptions!$B$8+M126*Assumptions!$B$9+N126*Assumptions!$B$10+O126*Assumptions!$B$11),1)</f>
        <v/>
      </c>
      <c r="Q126" s="2">
        <f>IF(P126&gt;=Assumptions!$B$14,"High",IF(P126&gt;=Assumptions!$B$15,"Medium","Low"))</f>
        <v/>
      </c>
      <c r="R126" s="2">
        <f>Cleaned_Data!L126</f>
        <v/>
      </c>
    </row>
    <row r="127">
      <c r="A127" s="2">
        <f>Cleaned_Data!A127</f>
        <v/>
      </c>
      <c r="B127" s="2">
        <f>Cleaned_Data!B127</f>
        <v/>
      </c>
      <c r="C127" s="2">
        <f>Cleaned_Data!G127</f>
        <v/>
      </c>
      <c r="D127" s="2">
        <f>Cleaned_Data!I127</f>
        <v/>
      </c>
      <c r="E127" s="2">
        <f>Cleaned_Data!H127</f>
        <v/>
      </c>
      <c r="F127" s="2">
        <f>Cleaned_Data!F127</f>
        <v/>
      </c>
      <c r="G127" s="9">
        <f>SUMPRODUCT(($B$2:$B$1196=B127)*($F$2:$F$1196&lt;=F127))/SUMPRODUCT(($B$2:$B$1196=B127)*1)</f>
        <v/>
      </c>
      <c r="H127" s="2">
        <f>Cleaned_Data!J127</f>
        <v/>
      </c>
      <c r="I127" s="2">
        <f>Cleaned_Data!E127</f>
        <v/>
      </c>
      <c r="J127" s="2">
        <f>IF(C127="Yes",1,0)</f>
        <v/>
      </c>
      <c r="K127" s="2">
        <f>MIN(MAX(1-(D127-1)/4,0),1)</f>
        <v/>
      </c>
      <c r="L127" s="2">
        <f>MIN(E127/60,1)</f>
        <v/>
      </c>
      <c r="M127" s="2">
        <f>MIN(MAX(1-G127,0),1)</f>
        <v/>
      </c>
      <c r="N127" s="2">
        <f>MIN(MAX(1-(H127-1)/4,0),1)</f>
        <v/>
      </c>
      <c r="O127" s="2">
        <f>1-MIN(I127/8,1)</f>
        <v/>
      </c>
      <c r="P127" s="10">
        <f>ROUND(100*(J127*Assumptions!$B$6+K127*Assumptions!$B$7+L127*Assumptions!$B$8+M127*Assumptions!$B$9+N127*Assumptions!$B$10+O127*Assumptions!$B$11),1)</f>
        <v/>
      </c>
      <c r="Q127" s="2">
        <f>IF(P127&gt;=Assumptions!$B$14,"High",IF(P127&gt;=Assumptions!$B$15,"Medium","Low"))</f>
        <v/>
      </c>
      <c r="R127" s="2">
        <f>Cleaned_Data!L127</f>
        <v/>
      </c>
    </row>
    <row r="128">
      <c r="A128" s="2">
        <f>Cleaned_Data!A128</f>
        <v/>
      </c>
      <c r="B128" s="2">
        <f>Cleaned_Data!B128</f>
        <v/>
      </c>
      <c r="C128" s="2">
        <f>Cleaned_Data!G128</f>
        <v/>
      </c>
      <c r="D128" s="2">
        <f>Cleaned_Data!I128</f>
        <v/>
      </c>
      <c r="E128" s="2">
        <f>Cleaned_Data!H128</f>
        <v/>
      </c>
      <c r="F128" s="2">
        <f>Cleaned_Data!F128</f>
        <v/>
      </c>
      <c r="G128" s="9">
        <f>SUMPRODUCT(($B$2:$B$1196=B128)*($F$2:$F$1196&lt;=F128))/SUMPRODUCT(($B$2:$B$1196=B128)*1)</f>
        <v/>
      </c>
      <c r="H128" s="2">
        <f>Cleaned_Data!J128</f>
        <v/>
      </c>
      <c r="I128" s="2">
        <f>Cleaned_Data!E128</f>
        <v/>
      </c>
      <c r="J128" s="2">
        <f>IF(C128="Yes",1,0)</f>
        <v/>
      </c>
      <c r="K128" s="2">
        <f>MIN(MAX(1-(D128-1)/4,0),1)</f>
        <v/>
      </c>
      <c r="L128" s="2">
        <f>MIN(E128/60,1)</f>
        <v/>
      </c>
      <c r="M128" s="2">
        <f>MIN(MAX(1-G128,0),1)</f>
        <v/>
      </c>
      <c r="N128" s="2">
        <f>MIN(MAX(1-(H128-1)/4,0),1)</f>
        <v/>
      </c>
      <c r="O128" s="2">
        <f>1-MIN(I128/8,1)</f>
        <v/>
      </c>
      <c r="P128" s="10">
        <f>ROUND(100*(J128*Assumptions!$B$6+K128*Assumptions!$B$7+L128*Assumptions!$B$8+M128*Assumptions!$B$9+N128*Assumptions!$B$10+O128*Assumptions!$B$11),1)</f>
        <v/>
      </c>
      <c r="Q128" s="2">
        <f>IF(P128&gt;=Assumptions!$B$14,"High",IF(P128&gt;=Assumptions!$B$15,"Medium","Low"))</f>
        <v/>
      </c>
      <c r="R128" s="2">
        <f>Cleaned_Data!L128</f>
        <v/>
      </c>
    </row>
    <row r="129">
      <c r="A129" s="2">
        <f>Cleaned_Data!A129</f>
        <v/>
      </c>
      <c r="B129" s="2">
        <f>Cleaned_Data!B129</f>
        <v/>
      </c>
      <c r="C129" s="2">
        <f>Cleaned_Data!G129</f>
        <v/>
      </c>
      <c r="D129" s="2">
        <f>Cleaned_Data!I129</f>
        <v/>
      </c>
      <c r="E129" s="2">
        <f>Cleaned_Data!H129</f>
        <v/>
      </c>
      <c r="F129" s="2">
        <f>Cleaned_Data!F129</f>
        <v/>
      </c>
      <c r="G129" s="9">
        <f>SUMPRODUCT(($B$2:$B$1196=B129)*($F$2:$F$1196&lt;=F129))/SUMPRODUCT(($B$2:$B$1196=B129)*1)</f>
        <v/>
      </c>
      <c r="H129" s="2">
        <f>Cleaned_Data!J129</f>
        <v/>
      </c>
      <c r="I129" s="2">
        <f>Cleaned_Data!E129</f>
        <v/>
      </c>
      <c r="J129" s="2">
        <f>IF(C129="Yes",1,0)</f>
        <v/>
      </c>
      <c r="K129" s="2">
        <f>MIN(MAX(1-(D129-1)/4,0),1)</f>
        <v/>
      </c>
      <c r="L129" s="2">
        <f>MIN(E129/60,1)</f>
        <v/>
      </c>
      <c r="M129" s="2">
        <f>MIN(MAX(1-G129,0),1)</f>
        <v/>
      </c>
      <c r="N129" s="2">
        <f>MIN(MAX(1-(H129-1)/4,0),1)</f>
        <v/>
      </c>
      <c r="O129" s="2">
        <f>1-MIN(I129/8,1)</f>
        <v/>
      </c>
      <c r="P129" s="10">
        <f>ROUND(100*(J129*Assumptions!$B$6+K129*Assumptions!$B$7+L129*Assumptions!$B$8+M129*Assumptions!$B$9+N129*Assumptions!$B$10+O129*Assumptions!$B$11),1)</f>
        <v/>
      </c>
      <c r="Q129" s="2">
        <f>IF(P129&gt;=Assumptions!$B$14,"High",IF(P129&gt;=Assumptions!$B$15,"Medium","Low"))</f>
        <v/>
      </c>
      <c r="R129" s="2">
        <f>Cleaned_Data!L129</f>
        <v/>
      </c>
    </row>
    <row r="130">
      <c r="A130" s="2">
        <f>Cleaned_Data!A130</f>
        <v/>
      </c>
      <c r="B130" s="2">
        <f>Cleaned_Data!B130</f>
        <v/>
      </c>
      <c r="C130" s="2">
        <f>Cleaned_Data!G130</f>
        <v/>
      </c>
      <c r="D130" s="2">
        <f>Cleaned_Data!I130</f>
        <v/>
      </c>
      <c r="E130" s="2">
        <f>Cleaned_Data!H130</f>
        <v/>
      </c>
      <c r="F130" s="2">
        <f>Cleaned_Data!F130</f>
        <v/>
      </c>
      <c r="G130" s="9">
        <f>SUMPRODUCT(($B$2:$B$1196=B130)*($F$2:$F$1196&lt;=F130))/SUMPRODUCT(($B$2:$B$1196=B130)*1)</f>
        <v/>
      </c>
      <c r="H130" s="2">
        <f>Cleaned_Data!J130</f>
        <v/>
      </c>
      <c r="I130" s="2">
        <f>Cleaned_Data!E130</f>
        <v/>
      </c>
      <c r="J130" s="2">
        <f>IF(C130="Yes",1,0)</f>
        <v/>
      </c>
      <c r="K130" s="2">
        <f>MIN(MAX(1-(D130-1)/4,0),1)</f>
        <v/>
      </c>
      <c r="L130" s="2">
        <f>MIN(E130/60,1)</f>
        <v/>
      </c>
      <c r="M130" s="2">
        <f>MIN(MAX(1-G130,0),1)</f>
        <v/>
      </c>
      <c r="N130" s="2">
        <f>MIN(MAX(1-(H130-1)/4,0),1)</f>
        <v/>
      </c>
      <c r="O130" s="2">
        <f>1-MIN(I130/8,1)</f>
        <v/>
      </c>
      <c r="P130" s="10">
        <f>ROUND(100*(J130*Assumptions!$B$6+K130*Assumptions!$B$7+L130*Assumptions!$B$8+M130*Assumptions!$B$9+N130*Assumptions!$B$10+O130*Assumptions!$B$11),1)</f>
        <v/>
      </c>
      <c r="Q130" s="2">
        <f>IF(P130&gt;=Assumptions!$B$14,"High",IF(P130&gt;=Assumptions!$B$15,"Medium","Low"))</f>
        <v/>
      </c>
      <c r="R130" s="2">
        <f>Cleaned_Data!L130</f>
        <v/>
      </c>
    </row>
    <row r="131">
      <c r="A131" s="2">
        <f>Cleaned_Data!A131</f>
        <v/>
      </c>
      <c r="B131" s="2">
        <f>Cleaned_Data!B131</f>
        <v/>
      </c>
      <c r="C131" s="2">
        <f>Cleaned_Data!G131</f>
        <v/>
      </c>
      <c r="D131" s="2">
        <f>Cleaned_Data!I131</f>
        <v/>
      </c>
      <c r="E131" s="2">
        <f>Cleaned_Data!H131</f>
        <v/>
      </c>
      <c r="F131" s="2">
        <f>Cleaned_Data!F131</f>
        <v/>
      </c>
      <c r="G131" s="9">
        <f>SUMPRODUCT(($B$2:$B$1196=B131)*($F$2:$F$1196&lt;=F131))/SUMPRODUCT(($B$2:$B$1196=B131)*1)</f>
        <v/>
      </c>
      <c r="H131" s="2">
        <f>Cleaned_Data!J131</f>
        <v/>
      </c>
      <c r="I131" s="2">
        <f>Cleaned_Data!E131</f>
        <v/>
      </c>
      <c r="J131" s="2">
        <f>IF(C131="Yes",1,0)</f>
        <v/>
      </c>
      <c r="K131" s="2">
        <f>MIN(MAX(1-(D131-1)/4,0),1)</f>
        <v/>
      </c>
      <c r="L131" s="2">
        <f>MIN(E131/60,1)</f>
        <v/>
      </c>
      <c r="M131" s="2">
        <f>MIN(MAX(1-G131,0),1)</f>
        <v/>
      </c>
      <c r="N131" s="2">
        <f>MIN(MAX(1-(H131-1)/4,0),1)</f>
        <v/>
      </c>
      <c r="O131" s="2">
        <f>1-MIN(I131/8,1)</f>
        <v/>
      </c>
      <c r="P131" s="10">
        <f>ROUND(100*(J131*Assumptions!$B$6+K131*Assumptions!$B$7+L131*Assumptions!$B$8+M131*Assumptions!$B$9+N131*Assumptions!$B$10+O131*Assumptions!$B$11),1)</f>
        <v/>
      </c>
      <c r="Q131" s="2">
        <f>IF(P131&gt;=Assumptions!$B$14,"High",IF(P131&gt;=Assumptions!$B$15,"Medium","Low"))</f>
        <v/>
      </c>
      <c r="R131" s="2">
        <f>Cleaned_Data!L131</f>
        <v/>
      </c>
    </row>
    <row r="132">
      <c r="A132" s="2">
        <f>Cleaned_Data!A132</f>
        <v/>
      </c>
      <c r="B132" s="2">
        <f>Cleaned_Data!B132</f>
        <v/>
      </c>
      <c r="C132" s="2">
        <f>Cleaned_Data!G132</f>
        <v/>
      </c>
      <c r="D132" s="2">
        <f>Cleaned_Data!I132</f>
        <v/>
      </c>
      <c r="E132" s="2">
        <f>Cleaned_Data!H132</f>
        <v/>
      </c>
      <c r="F132" s="2">
        <f>Cleaned_Data!F132</f>
        <v/>
      </c>
      <c r="G132" s="9">
        <f>SUMPRODUCT(($B$2:$B$1196=B132)*($F$2:$F$1196&lt;=F132))/SUMPRODUCT(($B$2:$B$1196=B132)*1)</f>
        <v/>
      </c>
      <c r="H132" s="2">
        <f>Cleaned_Data!J132</f>
        <v/>
      </c>
      <c r="I132" s="2">
        <f>Cleaned_Data!E132</f>
        <v/>
      </c>
      <c r="J132" s="2">
        <f>IF(C132="Yes",1,0)</f>
        <v/>
      </c>
      <c r="K132" s="2">
        <f>MIN(MAX(1-(D132-1)/4,0),1)</f>
        <v/>
      </c>
      <c r="L132" s="2">
        <f>MIN(E132/60,1)</f>
        <v/>
      </c>
      <c r="M132" s="2">
        <f>MIN(MAX(1-G132,0),1)</f>
        <v/>
      </c>
      <c r="N132" s="2">
        <f>MIN(MAX(1-(H132-1)/4,0),1)</f>
        <v/>
      </c>
      <c r="O132" s="2">
        <f>1-MIN(I132/8,1)</f>
        <v/>
      </c>
      <c r="P132" s="10">
        <f>ROUND(100*(J132*Assumptions!$B$6+K132*Assumptions!$B$7+L132*Assumptions!$B$8+M132*Assumptions!$B$9+N132*Assumptions!$B$10+O132*Assumptions!$B$11),1)</f>
        <v/>
      </c>
      <c r="Q132" s="2">
        <f>IF(P132&gt;=Assumptions!$B$14,"High",IF(P132&gt;=Assumptions!$B$15,"Medium","Low"))</f>
        <v/>
      </c>
      <c r="R132" s="2">
        <f>Cleaned_Data!L132</f>
        <v/>
      </c>
    </row>
    <row r="133">
      <c r="A133" s="2">
        <f>Cleaned_Data!A133</f>
        <v/>
      </c>
      <c r="B133" s="2">
        <f>Cleaned_Data!B133</f>
        <v/>
      </c>
      <c r="C133" s="2">
        <f>Cleaned_Data!G133</f>
        <v/>
      </c>
      <c r="D133" s="2">
        <f>Cleaned_Data!I133</f>
        <v/>
      </c>
      <c r="E133" s="2">
        <f>Cleaned_Data!H133</f>
        <v/>
      </c>
      <c r="F133" s="2">
        <f>Cleaned_Data!F133</f>
        <v/>
      </c>
      <c r="G133" s="9">
        <f>SUMPRODUCT(($B$2:$B$1196=B133)*($F$2:$F$1196&lt;=F133))/SUMPRODUCT(($B$2:$B$1196=B133)*1)</f>
        <v/>
      </c>
      <c r="H133" s="2">
        <f>Cleaned_Data!J133</f>
        <v/>
      </c>
      <c r="I133" s="2">
        <f>Cleaned_Data!E133</f>
        <v/>
      </c>
      <c r="J133" s="2">
        <f>IF(C133="Yes",1,0)</f>
        <v/>
      </c>
      <c r="K133" s="2">
        <f>MIN(MAX(1-(D133-1)/4,0),1)</f>
        <v/>
      </c>
      <c r="L133" s="2">
        <f>MIN(E133/60,1)</f>
        <v/>
      </c>
      <c r="M133" s="2">
        <f>MIN(MAX(1-G133,0),1)</f>
        <v/>
      </c>
      <c r="N133" s="2">
        <f>MIN(MAX(1-(H133-1)/4,0),1)</f>
        <v/>
      </c>
      <c r="O133" s="2">
        <f>1-MIN(I133/8,1)</f>
        <v/>
      </c>
      <c r="P133" s="10">
        <f>ROUND(100*(J133*Assumptions!$B$6+K133*Assumptions!$B$7+L133*Assumptions!$B$8+M133*Assumptions!$B$9+N133*Assumptions!$B$10+O133*Assumptions!$B$11),1)</f>
        <v/>
      </c>
      <c r="Q133" s="2">
        <f>IF(P133&gt;=Assumptions!$B$14,"High",IF(P133&gt;=Assumptions!$B$15,"Medium","Low"))</f>
        <v/>
      </c>
      <c r="R133" s="2">
        <f>Cleaned_Data!L133</f>
        <v/>
      </c>
    </row>
    <row r="134">
      <c r="A134" s="2">
        <f>Cleaned_Data!A134</f>
        <v/>
      </c>
      <c r="B134" s="2">
        <f>Cleaned_Data!B134</f>
        <v/>
      </c>
      <c r="C134" s="2">
        <f>Cleaned_Data!G134</f>
        <v/>
      </c>
      <c r="D134" s="2">
        <f>Cleaned_Data!I134</f>
        <v/>
      </c>
      <c r="E134" s="2">
        <f>Cleaned_Data!H134</f>
        <v/>
      </c>
      <c r="F134" s="2">
        <f>Cleaned_Data!F134</f>
        <v/>
      </c>
      <c r="G134" s="9">
        <f>SUMPRODUCT(($B$2:$B$1196=B134)*($F$2:$F$1196&lt;=F134))/SUMPRODUCT(($B$2:$B$1196=B134)*1)</f>
        <v/>
      </c>
      <c r="H134" s="2">
        <f>Cleaned_Data!J134</f>
        <v/>
      </c>
      <c r="I134" s="2">
        <f>Cleaned_Data!E134</f>
        <v/>
      </c>
      <c r="J134" s="2">
        <f>IF(C134="Yes",1,0)</f>
        <v/>
      </c>
      <c r="K134" s="2">
        <f>MIN(MAX(1-(D134-1)/4,0),1)</f>
        <v/>
      </c>
      <c r="L134" s="2">
        <f>MIN(E134/60,1)</f>
        <v/>
      </c>
      <c r="M134" s="2">
        <f>MIN(MAX(1-G134,0),1)</f>
        <v/>
      </c>
      <c r="N134" s="2">
        <f>MIN(MAX(1-(H134-1)/4,0),1)</f>
        <v/>
      </c>
      <c r="O134" s="2">
        <f>1-MIN(I134/8,1)</f>
        <v/>
      </c>
      <c r="P134" s="10">
        <f>ROUND(100*(J134*Assumptions!$B$6+K134*Assumptions!$B$7+L134*Assumptions!$B$8+M134*Assumptions!$B$9+N134*Assumptions!$B$10+O134*Assumptions!$B$11),1)</f>
        <v/>
      </c>
      <c r="Q134" s="2">
        <f>IF(P134&gt;=Assumptions!$B$14,"High",IF(P134&gt;=Assumptions!$B$15,"Medium","Low"))</f>
        <v/>
      </c>
      <c r="R134" s="2">
        <f>Cleaned_Data!L134</f>
        <v/>
      </c>
    </row>
    <row r="135">
      <c r="A135" s="2">
        <f>Cleaned_Data!A135</f>
        <v/>
      </c>
      <c r="B135" s="2">
        <f>Cleaned_Data!B135</f>
        <v/>
      </c>
      <c r="C135" s="2">
        <f>Cleaned_Data!G135</f>
        <v/>
      </c>
      <c r="D135" s="2">
        <f>Cleaned_Data!I135</f>
        <v/>
      </c>
      <c r="E135" s="2">
        <f>Cleaned_Data!H135</f>
        <v/>
      </c>
      <c r="F135" s="2">
        <f>Cleaned_Data!F135</f>
        <v/>
      </c>
      <c r="G135" s="9">
        <f>SUMPRODUCT(($B$2:$B$1196=B135)*($F$2:$F$1196&lt;=F135))/SUMPRODUCT(($B$2:$B$1196=B135)*1)</f>
        <v/>
      </c>
      <c r="H135" s="2">
        <f>Cleaned_Data!J135</f>
        <v/>
      </c>
      <c r="I135" s="2">
        <f>Cleaned_Data!E135</f>
        <v/>
      </c>
      <c r="J135" s="2">
        <f>IF(C135="Yes",1,0)</f>
        <v/>
      </c>
      <c r="K135" s="2">
        <f>MIN(MAX(1-(D135-1)/4,0),1)</f>
        <v/>
      </c>
      <c r="L135" s="2">
        <f>MIN(E135/60,1)</f>
        <v/>
      </c>
      <c r="M135" s="2">
        <f>MIN(MAX(1-G135,0),1)</f>
        <v/>
      </c>
      <c r="N135" s="2">
        <f>MIN(MAX(1-(H135-1)/4,0),1)</f>
        <v/>
      </c>
      <c r="O135" s="2">
        <f>1-MIN(I135/8,1)</f>
        <v/>
      </c>
      <c r="P135" s="10">
        <f>ROUND(100*(J135*Assumptions!$B$6+K135*Assumptions!$B$7+L135*Assumptions!$B$8+M135*Assumptions!$B$9+N135*Assumptions!$B$10+O135*Assumptions!$B$11),1)</f>
        <v/>
      </c>
      <c r="Q135" s="2">
        <f>IF(P135&gt;=Assumptions!$B$14,"High",IF(P135&gt;=Assumptions!$B$15,"Medium","Low"))</f>
        <v/>
      </c>
      <c r="R135" s="2">
        <f>Cleaned_Data!L135</f>
        <v/>
      </c>
    </row>
    <row r="136">
      <c r="A136" s="2">
        <f>Cleaned_Data!A136</f>
        <v/>
      </c>
      <c r="B136" s="2">
        <f>Cleaned_Data!B136</f>
        <v/>
      </c>
      <c r="C136" s="2">
        <f>Cleaned_Data!G136</f>
        <v/>
      </c>
      <c r="D136" s="2">
        <f>Cleaned_Data!I136</f>
        <v/>
      </c>
      <c r="E136" s="2">
        <f>Cleaned_Data!H136</f>
        <v/>
      </c>
      <c r="F136" s="2">
        <f>Cleaned_Data!F136</f>
        <v/>
      </c>
      <c r="G136" s="9">
        <f>SUMPRODUCT(($B$2:$B$1196=B136)*($F$2:$F$1196&lt;=F136))/SUMPRODUCT(($B$2:$B$1196=B136)*1)</f>
        <v/>
      </c>
      <c r="H136" s="2">
        <f>Cleaned_Data!J136</f>
        <v/>
      </c>
      <c r="I136" s="2">
        <f>Cleaned_Data!E136</f>
        <v/>
      </c>
      <c r="J136" s="2">
        <f>IF(C136="Yes",1,0)</f>
        <v/>
      </c>
      <c r="K136" s="2">
        <f>MIN(MAX(1-(D136-1)/4,0),1)</f>
        <v/>
      </c>
      <c r="L136" s="2">
        <f>MIN(E136/60,1)</f>
        <v/>
      </c>
      <c r="M136" s="2">
        <f>MIN(MAX(1-G136,0),1)</f>
        <v/>
      </c>
      <c r="N136" s="2">
        <f>MIN(MAX(1-(H136-1)/4,0),1)</f>
        <v/>
      </c>
      <c r="O136" s="2">
        <f>1-MIN(I136/8,1)</f>
        <v/>
      </c>
      <c r="P136" s="10">
        <f>ROUND(100*(J136*Assumptions!$B$6+K136*Assumptions!$B$7+L136*Assumptions!$B$8+M136*Assumptions!$B$9+N136*Assumptions!$B$10+O136*Assumptions!$B$11),1)</f>
        <v/>
      </c>
      <c r="Q136" s="2">
        <f>IF(P136&gt;=Assumptions!$B$14,"High",IF(P136&gt;=Assumptions!$B$15,"Medium","Low"))</f>
        <v/>
      </c>
      <c r="R136" s="2">
        <f>Cleaned_Data!L136</f>
        <v/>
      </c>
    </row>
    <row r="137">
      <c r="A137" s="2">
        <f>Cleaned_Data!A137</f>
        <v/>
      </c>
      <c r="B137" s="2">
        <f>Cleaned_Data!B137</f>
        <v/>
      </c>
      <c r="C137" s="2">
        <f>Cleaned_Data!G137</f>
        <v/>
      </c>
      <c r="D137" s="2">
        <f>Cleaned_Data!I137</f>
        <v/>
      </c>
      <c r="E137" s="2">
        <f>Cleaned_Data!H137</f>
        <v/>
      </c>
      <c r="F137" s="2">
        <f>Cleaned_Data!F137</f>
        <v/>
      </c>
      <c r="G137" s="9">
        <f>SUMPRODUCT(($B$2:$B$1196=B137)*($F$2:$F$1196&lt;=F137))/SUMPRODUCT(($B$2:$B$1196=B137)*1)</f>
        <v/>
      </c>
      <c r="H137" s="2">
        <f>Cleaned_Data!J137</f>
        <v/>
      </c>
      <c r="I137" s="2">
        <f>Cleaned_Data!E137</f>
        <v/>
      </c>
      <c r="J137" s="2">
        <f>IF(C137="Yes",1,0)</f>
        <v/>
      </c>
      <c r="K137" s="2">
        <f>MIN(MAX(1-(D137-1)/4,0),1)</f>
        <v/>
      </c>
      <c r="L137" s="2">
        <f>MIN(E137/60,1)</f>
        <v/>
      </c>
      <c r="M137" s="2">
        <f>MIN(MAX(1-G137,0),1)</f>
        <v/>
      </c>
      <c r="N137" s="2">
        <f>MIN(MAX(1-(H137-1)/4,0),1)</f>
        <v/>
      </c>
      <c r="O137" s="2">
        <f>1-MIN(I137/8,1)</f>
        <v/>
      </c>
      <c r="P137" s="10">
        <f>ROUND(100*(J137*Assumptions!$B$6+K137*Assumptions!$B$7+L137*Assumptions!$B$8+M137*Assumptions!$B$9+N137*Assumptions!$B$10+O137*Assumptions!$B$11),1)</f>
        <v/>
      </c>
      <c r="Q137" s="2">
        <f>IF(P137&gt;=Assumptions!$B$14,"High",IF(P137&gt;=Assumptions!$B$15,"Medium","Low"))</f>
        <v/>
      </c>
      <c r="R137" s="2">
        <f>Cleaned_Data!L137</f>
        <v/>
      </c>
    </row>
    <row r="138">
      <c r="A138" s="2">
        <f>Cleaned_Data!A138</f>
        <v/>
      </c>
      <c r="B138" s="2">
        <f>Cleaned_Data!B138</f>
        <v/>
      </c>
      <c r="C138" s="2">
        <f>Cleaned_Data!G138</f>
        <v/>
      </c>
      <c r="D138" s="2">
        <f>Cleaned_Data!I138</f>
        <v/>
      </c>
      <c r="E138" s="2">
        <f>Cleaned_Data!H138</f>
        <v/>
      </c>
      <c r="F138" s="2">
        <f>Cleaned_Data!F138</f>
        <v/>
      </c>
      <c r="G138" s="9">
        <f>SUMPRODUCT(($B$2:$B$1196=B138)*($F$2:$F$1196&lt;=F138))/SUMPRODUCT(($B$2:$B$1196=B138)*1)</f>
        <v/>
      </c>
      <c r="H138" s="2">
        <f>Cleaned_Data!J138</f>
        <v/>
      </c>
      <c r="I138" s="2">
        <f>Cleaned_Data!E138</f>
        <v/>
      </c>
      <c r="J138" s="2">
        <f>IF(C138="Yes",1,0)</f>
        <v/>
      </c>
      <c r="K138" s="2">
        <f>MIN(MAX(1-(D138-1)/4,0),1)</f>
        <v/>
      </c>
      <c r="L138" s="2">
        <f>MIN(E138/60,1)</f>
        <v/>
      </c>
      <c r="M138" s="2">
        <f>MIN(MAX(1-G138,0),1)</f>
        <v/>
      </c>
      <c r="N138" s="2">
        <f>MIN(MAX(1-(H138-1)/4,0),1)</f>
        <v/>
      </c>
      <c r="O138" s="2">
        <f>1-MIN(I138/8,1)</f>
        <v/>
      </c>
      <c r="P138" s="10">
        <f>ROUND(100*(J138*Assumptions!$B$6+K138*Assumptions!$B$7+L138*Assumptions!$B$8+M138*Assumptions!$B$9+N138*Assumptions!$B$10+O138*Assumptions!$B$11),1)</f>
        <v/>
      </c>
      <c r="Q138" s="2">
        <f>IF(P138&gt;=Assumptions!$B$14,"High",IF(P138&gt;=Assumptions!$B$15,"Medium","Low"))</f>
        <v/>
      </c>
      <c r="R138" s="2">
        <f>Cleaned_Data!L138</f>
        <v/>
      </c>
    </row>
    <row r="139">
      <c r="A139" s="2">
        <f>Cleaned_Data!A139</f>
        <v/>
      </c>
      <c r="B139" s="2">
        <f>Cleaned_Data!B139</f>
        <v/>
      </c>
      <c r="C139" s="2">
        <f>Cleaned_Data!G139</f>
        <v/>
      </c>
      <c r="D139" s="2">
        <f>Cleaned_Data!I139</f>
        <v/>
      </c>
      <c r="E139" s="2">
        <f>Cleaned_Data!H139</f>
        <v/>
      </c>
      <c r="F139" s="2">
        <f>Cleaned_Data!F139</f>
        <v/>
      </c>
      <c r="G139" s="9">
        <f>SUMPRODUCT(($B$2:$B$1196=B139)*($F$2:$F$1196&lt;=F139))/SUMPRODUCT(($B$2:$B$1196=B139)*1)</f>
        <v/>
      </c>
      <c r="H139" s="2">
        <f>Cleaned_Data!J139</f>
        <v/>
      </c>
      <c r="I139" s="2">
        <f>Cleaned_Data!E139</f>
        <v/>
      </c>
      <c r="J139" s="2">
        <f>IF(C139="Yes",1,0)</f>
        <v/>
      </c>
      <c r="K139" s="2">
        <f>MIN(MAX(1-(D139-1)/4,0),1)</f>
        <v/>
      </c>
      <c r="L139" s="2">
        <f>MIN(E139/60,1)</f>
        <v/>
      </c>
      <c r="M139" s="2">
        <f>MIN(MAX(1-G139,0),1)</f>
        <v/>
      </c>
      <c r="N139" s="2">
        <f>MIN(MAX(1-(H139-1)/4,0),1)</f>
        <v/>
      </c>
      <c r="O139" s="2">
        <f>1-MIN(I139/8,1)</f>
        <v/>
      </c>
      <c r="P139" s="10">
        <f>ROUND(100*(J139*Assumptions!$B$6+K139*Assumptions!$B$7+L139*Assumptions!$B$8+M139*Assumptions!$B$9+N139*Assumptions!$B$10+O139*Assumptions!$B$11),1)</f>
        <v/>
      </c>
      <c r="Q139" s="2">
        <f>IF(P139&gt;=Assumptions!$B$14,"High",IF(P139&gt;=Assumptions!$B$15,"Medium","Low"))</f>
        <v/>
      </c>
      <c r="R139" s="2">
        <f>Cleaned_Data!L139</f>
        <v/>
      </c>
    </row>
    <row r="140">
      <c r="A140" s="2">
        <f>Cleaned_Data!A140</f>
        <v/>
      </c>
      <c r="B140" s="2">
        <f>Cleaned_Data!B140</f>
        <v/>
      </c>
      <c r="C140" s="2">
        <f>Cleaned_Data!G140</f>
        <v/>
      </c>
      <c r="D140" s="2">
        <f>Cleaned_Data!I140</f>
        <v/>
      </c>
      <c r="E140" s="2">
        <f>Cleaned_Data!H140</f>
        <v/>
      </c>
      <c r="F140" s="2">
        <f>Cleaned_Data!F140</f>
        <v/>
      </c>
      <c r="G140" s="9">
        <f>SUMPRODUCT(($B$2:$B$1196=B140)*($F$2:$F$1196&lt;=F140))/SUMPRODUCT(($B$2:$B$1196=B140)*1)</f>
        <v/>
      </c>
      <c r="H140" s="2">
        <f>Cleaned_Data!J140</f>
        <v/>
      </c>
      <c r="I140" s="2">
        <f>Cleaned_Data!E140</f>
        <v/>
      </c>
      <c r="J140" s="2">
        <f>IF(C140="Yes",1,0)</f>
        <v/>
      </c>
      <c r="K140" s="2">
        <f>MIN(MAX(1-(D140-1)/4,0),1)</f>
        <v/>
      </c>
      <c r="L140" s="2">
        <f>MIN(E140/60,1)</f>
        <v/>
      </c>
      <c r="M140" s="2">
        <f>MIN(MAX(1-G140,0),1)</f>
        <v/>
      </c>
      <c r="N140" s="2">
        <f>MIN(MAX(1-(H140-1)/4,0),1)</f>
        <v/>
      </c>
      <c r="O140" s="2">
        <f>1-MIN(I140/8,1)</f>
        <v/>
      </c>
      <c r="P140" s="10">
        <f>ROUND(100*(J140*Assumptions!$B$6+K140*Assumptions!$B$7+L140*Assumptions!$B$8+M140*Assumptions!$B$9+N140*Assumptions!$B$10+O140*Assumptions!$B$11),1)</f>
        <v/>
      </c>
      <c r="Q140" s="2">
        <f>IF(P140&gt;=Assumptions!$B$14,"High",IF(P140&gt;=Assumptions!$B$15,"Medium","Low"))</f>
        <v/>
      </c>
      <c r="R140" s="2">
        <f>Cleaned_Data!L140</f>
        <v/>
      </c>
    </row>
    <row r="141">
      <c r="A141" s="2">
        <f>Cleaned_Data!A141</f>
        <v/>
      </c>
      <c r="B141" s="2">
        <f>Cleaned_Data!B141</f>
        <v/>
      </c>
      <c r="C141" s="2">
        <f>Cleaned_Data!G141</f>
        <v/>
      </c>
      <c r="D141" s="2">
        <f>Cleaned_Data!I141</f>
        <v/>
      </c>
      <c r="E141" s="2">
        <f>Cleaned_Data!H141</f>
        <v/>
      </c>
      <c r="F141" s="2">
        <f>Cleaned_Data!F141</f>
        <v/>
      </c>
      <c r="G141" s="9">
        <f>SUMPRODUCT(($B$2:$B$1196=B141)*($F$2:$F$1196&lt;=F141))/SUMPRODUCT(($B$2:$B$1196=B141)*1)</f>
        <v/>
      </c>
      <c r="H141" s="2">
        <f>Cleaned_Data!J141</f>
        <v/>
      </c>
      <c r="I141" s="2">
        <f>Cleaned_Data!E141</f>
        <v/>
      </c>
      <c r="J141" s="2">
        <f>IF(C141="Yes",1,0)</f>
        <v/>
      </c>
      <c r="K141" s="2">
        <f>MIN(MAX(1-(D141-1)/4,0),1)</f>
        <v/>
      </c>
      <c r="L141" s="2">
        <f>MIN(E141/60,1)</f>
        <v/>
      </c>
      <c r="M141" s="2">
        <f>MIN(MAX(1-G141,0),1)</f>
        <v/>
      </c>
      <c r="N141" s="2">
        <f>MIN(MAX(1-(H141-1)/4,0),1)</f>
        <v/>
      </c>
      <c r="O141" s="2">
        <f>1-MIN(I141/8,1)</f>
        <v/>
      </c>
      <c r="P141" s="10">
        <f>ROUND(100*(J141*Assumptions!$B$6+K141*Assumptions!$B$7+L141*Assumptions!$B$8+M141*Assumptions!$B$9+N141*Assumptions!$B$10+O141*Assumptions!$B$11),1)</f>
        <v/>
      </c>
      <c r="Q141" s="2">
        <f>IF(P141&gt;=Assumptions!$B$14,"High",IF(P141&gt;=Assumptions!$B$15,"Medium","Low"))</f>
        <v/>
      </c>
      <c r="R141" s="2">
        <f>Cleaned_Data!L141</f>
        <v/>
      </c>
    </row>
    <row r="142">
      <c r="A142" s="2">
        <f>Cleaned_Data!A142</f>
        <v/>
      </c>
      <c r="B142" s="2">
        <f>Cleaned_Data!B142</f>
        <v/>
      </c>
      <c r="C142" s="2">
        <f>Cleaned_Data!G142</f>
        <v/>
      </c>
      <c r="D142" s="2">
        <f>Cleaned_Data!I142</f>
        <v/>
      </c>
      <c r="E142" s="2">
        <f>Cleaned_Data!H142</f>
        <v/>
      </c>
      <c r="F142" s="2">
        <f>Cleaned_Data!F142</f>
        <v/>
      </c>
      <c r="G142" s="9">
        <f>SUMPRODUCT(($B$2:$B$1196=B142)*($F$2:$F$1196&lt;=F142))/SUMPRODUCT(($B$2:$B$1196=B142)*1)</f>
        <v/>
      </c>
      <c r="H142" s="2">
        <f>Cleaned_Data!J142</f>
        <v/>
      </c>
      <c r="I142" s="2">
        <f>Cleaned_Data!E142</f>
        <v/>
      </c>
      <c r="J142" s="2">
        <f>IF(C142="Yes",1,0)</f>
        <v/>
      </c>
      <c r="K142" s="2">
        <f>MIN(MAX(1-(D142-1)/4,0),1)</f>
        <v/>
      </c>
      <c r="L142" s="2">
        <f>MIN(E142/60,1)</f>
        <v/>
      </c>
      <c r="M142" s="2">
        <f>MIN(MAX(1-G142,0),1)</f>
        <v/>
      </c>
      <c r="N142" s="2">
        <f>MIN(MAX(1-(H142-1)/4,0),1)</f>
        <v/>
      </c>
      <c r="O142" s="2">
        <f>1-MIN(I142/8,1)</f>
        <v/>
      </c>
      <c r="P142" s="10">
        <f>ROUND(100*(J142*Assumptions!$B$6+K142*Assumptions!$B$7+L142*Assumptions!$B$8+M142*Assumptions!$B$9+N142*Assumptions!$B$10+O142*Assumptions!$B$11),1)</f>
        <v/>
      </c>
      <c r="Q142" s="2">
        <f>IF(P142&gt;=Assumptions!$B$14,"High",IF(P142&gt;=Assumptions!$B$15,"Medium","Low"))</f>
        <v/>
      </c>
      <c r="R142" s="2">
        <f>Cleaned_Data!L142</f>
        <v/>
      </c>
    </row>
    <row r="143">
      <c r="A143" s="2">
        <f>Cleaned_Data!A143</f>
        <v/>
      </c>
      <c r="B143" s="2">
        <f>Cleaned_Data!B143</f>
        <v/>
      </c>
      <c r="C143" s="2">
        <f>Cleaned_Data!G143</f>
        <v/>
      </c>
      <c r="D143" s="2">
        <f>Cleaned_Data!I143</f>
        <v/>
      </c>
      <c r="E143" s="2">
        <f>Cleaned_Data!H143</f>
        <v/>
      </c>
      <c r="F143" s="2">
        <f>Cleaned_Data!F143</f>
        <v/>
      </c>
      <c r="G143" s="9">
        <f>SUMPRODUCT(($B$2:$B$1196=B143)*($F$2:$F$1196&lt;=F143))/SUMPRODUCT(($B$2:$B$1196=B143)*1)</f>
        <v/>
      </c>
      <c r="H143" s="2">
        <f>Cleaned_Data!J143</f>
        <v/>
      </c>
      <c r="I143" s="2">
        <f>Cleaned_Data!E143</f>
        <v/>
      </c>
      <c r="J143" s="2">
        <f>IF(C143="Yes",1,0)</f>
        <v/>
      </c>
      <c r="K143" s="2">
        <f>MIN(MAX(1-(D143-1)/4,0),1)</f>
        <v/>
      </c>
      <c r="L143" s="2">
        <f>MIN(E143/60,1)</f>
        <v/>
      </c>
      <c r="M143" s="2">
        <f>MIN(MAX(1-G143,0),1)</f>
        <v/>
      </c>
      <c r="N143" s="2">
        <f>MIN(MAX(1-(H143-1)/4,0),1)</f>
        <v/>
      </c>
      <c r="O143" s="2">
        <f>1-MIN(I143/8,1)</f>
        <v/>
      </c>
      <c r="P143" s="10">
        <f>ROUND(100*(J143*Assumptions!$B$6+K143*Assumptions!$B$7+L143*Assumptions!$B$8+M143*Assumptions!$B$9+N143*Assumptions!$B$10+O143*Assumptions!$B$11),1)</f>
        <v/>
      </c>
      <c r="Q143" s="2">
        <f>IF(P143&gt;=Assumptions!$B$14,"High",IF(P143&gt;=Assumptions!$B$15,"Medium","Low"))</f>
        <v/>
      </c>
      <c r="R143" s="2">
        <f>Cleaned_Data!L143</f>
        <v/>
      </c>
    </row>
    <row r="144">
      <c r="A144" s="2">
        <f>Cleaned_Data!A144</f>
        <v/>
      </c>
      <c r="B144" s="2">
        <f>Cleaned_Data!B144</f>
        <v/>
      </c>
      <c r="C144" s="2">
        <f>Cleaned_Data!G144</f>
        <v/>
      </c>
      <c r="D144" s="2">
        <f>Cleaned_Data!I144</f>
        <v/>
      </c>
      <c r="E144" s="2">
        <f>Cleaned_Data!H144</f>
        <v/>
      </c>
      <c r="F144" s="2">
        <f>Cleaned_Data!F144</f>
        <v/>
      </c>
      <c r="G144" s="9">
        <f>SUMPRODUCT(($B$2:$B$1196=B144)*($F$2:$F$1196&lt;=F144))/SUMPRODUCT(($B$2:$B$1196=B144)*1)</f>
        <v/>
      </c>
      <c r="H144" s="2">
        <f>Cleaned_Data!J144</f>
        <v/>
      </c>
      <c r="I144" s="2">
        <f>Cleaned_Data!E144</f>
        <v/>
      </c>
      <c r="J144" s="2">
        <f>IF(C144="Yes",1,0)</f>
        <v/>
      </c>
      <c r="K144" s="2">
        <f>MIN(MAX(1-(D144-1)/4,0),1)</f>
        <v/>
      </c>
      <c r="L144" s="2">
        <f>MIN(E144/60,1)</f>
        <v/>
      </c>
      <c r="M144" s="2">
        <f>MIN(MAX(1-G144,0),1)</f>
        <v/>
      </c>
      <c r="N144" s="2">
        <f>MIN(MAX(1-(H144-1)/4,0),1)</f>
        <v/>
      </c>
      <c r="O144" s="2">
        <f>1-MIN(I144/8,1)</f>
        <v/>
      </c>
      <c r="P144" s="10">
        <f>ROUND(100*(J144*Assumptions!$B$6+K144*Assumptions!$B$7+L144*Assumptions!$B$8+M144*Assumptions!$B$9+N144*Assumptions!$B$10+O144*Assumptions!$B$11),1)</f>
        <v/>
      </c>
      <c r="Q144" s="2">
        <f>IF(P144&gt;=Assumptions!$B$14,"High",IF(P144&gt;=Assumptions!$B$15,"Medium","Low"))</f>
        <v/>
      </c>
      <c r="R144" s="2">
        <f>Cleaned_Data!L144</f>
        <v/>
      </c>
    </row>
    <row r="145">
      <c r="A145" s="2">
        <f>Cleaned_Data!A145</f>
        <v/>
      </c>
      <c r="B145" s="2">
        <f>Cleaned_Data!B145</f>
        <v/>
      </c>
      <c r="C145" s="2">
        <f>Cleaned_Data!G145</f>
        <v/>
      </c>
      <c r="D145" s="2">
        <f>Cleaned_Data!I145</f>
        <v/>
      </c>
      <c r="E145" s="2">
        <f>Cleaned_Data!H145</f>
        <v/>
      </c>
      <c r="F145" s="2">
        <f>Cleaned_Data!F145</f>
        <v/>
      </c>
      <c r="G145" s="9">
        <f>SUMPRODUCT(($B$2:$B$1196=B145)*($F$2:$F$1196&lt;=F145))/SUMPRODUCT(($B$2:$B$1196=B145)*1)</f>
        <v/>
      </c>
      <c r="H145" s="2">
        <f>Cleaned_Data!J145</f>
        <v/>
      </c>
      <c r="I145" s="2">
        <f>Cleaned_Data!E145</f>
        <v/>
      </c>
      <c r="J145" s="2">
        <f>IF(C145="Yes",1,0)</f>
        <v/>
      </c>
      <c r="K145" s="2">
        <f>MIN(MAX(1-(D145-1)/4,0),1)</f>
        <v/>
      </c>
      <c r="L145" s="2">
        <f>MIN(E145/60,1)</f>
        <v/>
      </c>
      <c r="M145" s="2">
        <f>MIN(MAX(1-G145,0),1)</f>
        <v/>
      </c>
      <c r="N145" s="2">
        <f>MIN(MAX(1-(H145-1)/4,0),1)</f>
        <v/>
      </c>
      <c r="O145" s="2">
        <f>1-MIN(I145/8,1)</f>
        <v/>
      </c>
      <c r="P145" s="10">
        <f>ROUND(100*(J145*Assumptions!$B$6+K145*Assumptions!$B$7+L145*Assumptions!$B$8+M145*Assumptions!$B$9+N145*Assumptions!$B$10+O145*Assumptions!$B$11),1)</f>
        <v/>
      </c>
      <c r="Q145" s="2">
        <f>IF(P145&gt;=Assumptions!$B$14,"High",IF(P145&gt;=Assumptions!$B$15,"Medium","Low"))</f>
        <v/>
      </c>
      <c r="R145" s="2">
        <f>Cleaned_Data!L145</f>
        <v/>
      </c>
    </row>
    <row r="146">
      <c r="A146" s="2">
        <f>Cleaned_Data!A146</f>
        <v/>
      </c>
      <c r="B146" s="2">
        <f>Cleaned_Data!B146</f>
        <v/>
      </c>
      <c r="C146" s="2">
        <f>Cleaned_Data!G146</f>
        <v/>
      </c>
      <c r="D146" s="2">
        <f>Cleaned_Data!I146</f>
        <v/>
      </c>
      <c r="E146" s="2">
        <f>Cleaned_Data!H146</f>
        <v/>
      </c>
      <c r="F146" s="2">
        <f>Cleaned_Data!F146</f>
        <v/>
      </c>
      <c r="G146" s="9">
        <f>SUMPRODUCT(($B$2:$B$1196=B146)*($F$2:$F$1196&lt;=F146))/SUMPRODUCT(($B$2:$B$1196=B146)*1)</f>
        <v/>
      </c>
      <c r="H146" s="2">
        <f>Cleaned_Data!J146</f>
        <v/>
      </c>
      <c r="I146" s="2">
        <f>Cleaned_Data!E146</f>
        <v/>
      </c>
      <c r="J146" s="2">
        <f>IF(C146="Yes",1,0)</f>
        <v/>
      </c>
      <c r="K146" s="2">
        <f>MIN(MAX(1-(D146-1)/4,0),1)</f>
        <v/>
      </c>
      <c r="L146" s="2">
        <f>MIN(E146/60,1)</f>
        <v/>
      </c>
      <c r="M146" s="2">
        <f>MIN(MAX(1-G146,0),1)</f>
        <v/>
      </c>
      <c r="N146" s="2">
        <f>MIN(MAX(1-(H146-1)/4,0),1)</f>
        <v/>
      </c>
      <c r="O146" s="2">
        <f>1-MIN(I146/8,1)</f>
        <v/>
      </c>
      <c r="P146" s="10">
        <f>ROUND(100*(J146*Assumptions!$B$6+K146*Assumptions!$B$7+L146*Assumptions!$B$8+M146*Assumptions!$B$9+N146*Assumptions!$B$10+O146*Assumptions!$B$11),1)</f>
        <v/>
      </c>
      <c r="Q146" s="2">
        <f>IF(P146&gt;=Assumptions!$B$14,"High",IF(P146&gt;=Assumptions!$B$15,"Medium","Low"))</f>
        <v/>
      </c>
      <c r="R146" s="2">
        <f>Cleaned_Data!L146</f>
        <v/>
      </c>
    </row>
    <row r="147">
      <c r="A147" s="2">
        <f>Cleaned_Data!A147</f>
        <v/>
      </c>
      <c r="B147" s="2">
        <f>Cleaned_Data!B147</f>
        <v/>
      </c>
      <c r="C147" s="2">
        <f>Cleaned_Data!G147</f>
        <v/>
      </c>
      <c r="D147" s="2">
        <f>Cleaned_Data!I147</f>
        <v/>
      </c>
      <c r="E147" s="2">
        <f>Cleaned_Data!H147</f>
        <v/>
      </c>
      <c r="F147" s="2">
        <f>Cleaned_Data!F147</f>
        <v/>
      </c>
      <c r="G147" s="9">
        <f>SUMPRODUCT(($B$2:$B$1196=B147)*($F$2:$F$1196&lt;=F147))/SUMPRODUCT(($B$2:$B$1196=B147)*1)</f>
        <v/>
      </c>
      <c r="H147" s="2">
        <f>Cleaned_Data!J147</f>
        <v/>
      </c>
      <c r="I147" s="2">
        <f>Cleaned_Data!E147</f>
        <v/>
      </c>
      <c r="J147" s="2">
        <f>IF(C147="Yes",1,0)</f>
        <v/>
      </c>
      <c r="K147" s="2">
        <f>MIN(MAX(1-(D147-1)/4,0),1)</f>
        <v/>
      </c>
      <c r="L147" s="2">
        <f>MIN(E147/60,1)</f>
        <v/>
      </c>
      <c r="M147" s="2">
        <f>MIN(MAX(1-G147,0),1)</f>
        <v/>
      </c>
      <c r="N147" s="2">
        <f>MIN(MAX(1-(H147-1)/4,0),1)</f>
        <v/>
      </c>
      <c r="O147" s="2">
        <f>1-MIN(I147/8,1)</f>
        <v/>
      </c>
      <c r="P147" s="10">
        <f>ROUND(100*(J147*Assumptions!$B$6+K147*Assumptions!$B$7+L147*Assumptions!$B$8+M147*Assumptions!$B$9+N147*Assumptions!$B$10+O147*Assumptions!$B$11),1)</f>
        <v/>
      </c>
      <c r="Q147" s="2">
        <f>IF(P147&gt;=Assumptions!$B$14,"High",IF(P147&gt;=Assumptions!$B$15,"Medium","Low"))</f>
        <v/>
      </c>
      <c r="R147" s="2">
        <f>Cleaned_Data!L147</f>
        <v/>
      </c>
    </row>
    <row r="148">
      <c r="A148" s="2">
        <f>Cleaned_Data!A148</f>
        <v/>
      </c>
      <c r="B148" s="2">
        <f>Cleaned_Data!B148</f>
        <v/>
      </c>
      <c r="C148" s="2">
        <f>Cleaned_Data!G148</f>
        <v/>
      </c>
      <c r="D148" s="2">
        <f>Cleaned_Data!I148</f>
        <v/>
      </c>
      <c r="E148" s="2">
        <f>Cleaned_Data!H148</f>
        <v/>
      </c>
      <c r="F148" s="2">
        <f>Cleaned_Data!F148</f>
        <v/>
      </c>
      <c r="G148" s="9">
        <f>SUMPRODUCT(($B$2:$B$1196=B148)*($F$2:$F$1196&lt;=F148))/SUMPRODUCT(($B$2:$B$1196=B148)*1)</f>
        <v/>
      </c>
      <c r="H148" s="2">
        <f>Cleaned_Data!J148</f>
        <v/>
      </c>
      <c r="I148" s="2">
        <f>Cleaned_Data!E148</f>
        <v/>
      </c>
      <c r="J148" s="2">
        <f>IF(C148="Yes",1,0)</f>
        <v/>
      </c>
      <c r="K148" s="2">
        <f>MIN(MAX(1-(D148-1)/4,0),1)</f>
        <v/>
      </c>
      <c r="L148" s="2">
        <f>MIN(E148/60,1)</f>
        <v/>
      </c>
      <c r="M148" s="2">
        <f>MIN(MAX(1-G148,0),1)</f>
        <v/>
      </c>
      <c r="N148" s="2">
        <f>MIN(MAX(1-(H148-1)/4,0),1)</f>
        <v/>
      </c>
      <c r="O148" s="2">
        <f>1-MIN(I148/8,1)</f>
        <v/>
      </c>
      <c r="P148" s="10">
        <f>ROUND(100*(J148*Assumptions!$B$6+K148*Assumptions!$B$7+L148*Assumptions!$B$8+M148*Assumptions!$B$9+N148*Assumptions!$B$10+O148*Assumptions!$B$11),1)</f>
        <v/>
      </c>
      <c r="Q148" s="2">
        <f>IF(P148&gt;=Assumptions!$B$14,"High",IF(P148&gt;=Assumptions!$B$15,"Medium","Low"))</f>
        <v/>
      </c>
      <c r="R148" s="2">
        <f>Cleaned_Data!L148</f>
        <v/>
      </c>
    </row>
    <row r="149">
      <c r="A149" s="2">
        <f>Cleaned_Data!A149</f>
        <v/>
      </c>
      <c r="B149" s="2">
        <f>Cleaned_Data!B149</f>
        <v/>
      </c>
      <c r="C149" s="2">
        <f>Cleaned_Data!G149</f>
        <v/>
      </c>
      <c r="D149" s="2">
        <f>Cleaned_Data!I149</f>
        <v/>
      </c>
      <c r="E149" s="2">
        <f>Cleaned_Data!H149</f>
        <v/>
      </c>
      <c r="F149" s="2">
        <f>Cleaned_Data!F149</f>
        <v/>
      </c>
      <c r="G149" s="9">
        <f>SUMPRODUCT(($B$2:$B$1196=B149)*($F$2:$F$1196&lt;=F149))/SUMPRODUCT(($B$2:$B$1196=B149)*1)</f>
        <v/>
      </c>
      <c r="H149" s="2">
        <f>Cleaned_Data!J149</f>
        <v/>
      </c>
      <c r="I149" s="2">
        <f>Cleaned_Data!E149</f>
        <v/>
      </c>
      <c r="J149" s="2">
        <f>IF(C149="Yes",1,0)</f>
        <v/>
      </c>
      <c r="K149" s="2">
        <f>MIN(MAX(1-(D149-1)/4,0),1)</f>
        <v/>
      </c>
      <c r="L149" s="2">
        <f>MIN(E149/60,1)</f>
        <v/>
      </c>
      <c r="M149" s="2">
        <f>MIN(MAX(1-G149,0),1)</f>
        <v/>
      </c>
      <c r="N149" s="2">
        <f>MIN(MAX(1-(H149-1)/4,0),1)</f>
        <v/>
      </c>
      <c r="O149" s="2">
        <f>1-MIN(I149/8,1)</f>
        <v/>
      </c>
      <c r="P149" s="10">
        <f>ROUND(100*(J149*Assumptions!$B$6+K149*Assumptions!$B$7+L149*Assumptions!$B$8+M149*Assumptions!$B$9+N149*Assumptions!$B$10+O149*Assumptions!$B$11),1)</f>
        <v/>
      </c>
      <c r="Q149" s="2">
        <f>IF(P149&gt;=Assumptions!$B$14,"High",IF(P149&gt;=Assumptions!$B$15,"Medium","Low"))</f>
        <v/>
      </c>
      <c r="R149" s="2">
        <f>Cleaned_Data!L149</f>
        <v/>
      </c>
    </row>
    <row r="150">
      <c r="A150" s="2">
        <f>Cleaned_Data!A150</f>
        <v/>
      </c>
      <c r="B150" s="2">
        <f>Cleaned_Data!B150</f>
        <v/>
      </c>
      <c r="C150" s="2">
        <f>Cleaned_Data!G150</f>
        <v/>
      </c>
      <c r="D150" s="2">
        <f>Cleaned_Data!I150</f>
        <v/>
      </c>
      <c r="E150" s="2">
        <f>Cleaned_Data!H150</f>
        <v/>
      </c>
      <c r="F150" s="2">
        <f>Cleaned_Data!F150</f>
        <v/>
      </c>
      <c r="G150" s="9">
        <f>SUMPRODUCT(($B$2:$B$1196=B150)*($F$2:$F$1196&lt;=F150))/SUMPRODUCT(($B$2:$B$1196=B150)*1)</f>
        <v/>
      </c>
      <c r="H150" s="2">
        <f>Cleaned_Data!J150</f>
        <v/>
      </c>
      <c r="I150" s="2">
        <f>Cleaned_Data!E150</f>
        <v/>
      </c>
      <c r="J150" s="2">
        <f>IF(C150="Yes",1,0)</f>
        <v/>
      </c>
      <c r="K150" s="2">
        <f>MIN(MAX(1-(D150-1)/4,0),1)</f>
        <v/>
      </c>
      <c r="L150" s="2">
        <f>MIN(E150/60,1)</f>
        <v/>
      </c>
      <c r="M150" s="2">
        <f>MIN(MAX(1-G150,0),1)</f>
        <v/>
      </c>
      <c r="N150" s="2">
        <f>MIN(MAX(1-(H150-1)/4,0),1)</f>
        <v/>
      </c>
      <c r="O150" s="2">
        <f>1-MIN(I150/8,1)</f>
        <v/>
      </c>
      <c r="P150" s="10">
        <f>ROUND(100*(J150*Assumptions!$B$6+K150*Assumptions!$B$7+L150*Assumptions!$B$8+M150*Assumptions!$B$9+N150*Assumptions!$B$10+O150*Assumptions!$B$11),1)</f>
        <v/>
      </c>
      <c r="Q150" s="2">
        <f>IF(P150&gt;=Assumptions!$B$14,"High",IF(P150&gt;=Assumptions!$B$15,"Medium","Low"))</f>
        <v/>
      </c>
      <c r="R150" s="2">
        <f>Cleaned_Data!L150</f>
        <v/>
      </c>
    </row>
    <row r="151">
      <c r="A151" s="2">
        <f>Cleaned_Data!A151</f>
        <v/>
      </c>
      <c r="B151" s="2">
        <f>Cleaned_Data!B151</f>
        <v/>
      </c>
      <c r="C151" s="2">
        <f>Cleaned_Data!G151</f>
        <v/>
      </c>
      <c r="D151" s="2">
        <f>Cleaned_Data!I151</f>
        <v/>
      </c>
      <c r="E151" s="2">
        <f>Cleaned_Data!H151</f>
        <v/>
      </c>
      <c r="F151" s="2">
        <f>Cleaned_Data!F151</f>
        <v/>
      </c>
      <c r="G151" s="9">
        <f>SUMPRODUCT(($B$2:$B$1196=B151)*($F$2:$F$1196&lt;=F151))/SUMPRODUCT(($B$2:$B$1196=B151)*1)</f>
        <v/>
      </c>
      <c r="H151" s="2">
        <f>Cleaned_Data!J151</f>
        <v/>
      </c>
      <c r="I151" s="2">
        <f>Cleaned_Data!E151</f>
        <v/>
      </c>
      <c r="J151" s="2">
        <f>IF(C151="Yes",1,0)</f>
        <v/>
      </c>
      <c r="K151" s="2">
        <f>MIN(MAX(1-(D151-1)/4,0),1)</f>
        <v/>
      </c>
      <c r="L151" s="2">
        <f>MIN(E151/60,1)</f>
        <v/>
      </c>
      <c r="M151" s="2">
        <f>MIN(MAX(1-G151,0),1)</f>
        <v/>
      </c>
      <c r="N151" s="2">
        <f>MIN(MAX(1-(H151-1)/4,0),1)</f>
        <v/>
      </c>
      <c r="O151" s="2">
        <f>1-MIN(I151/8,1)</f>
        <v/>
      </c>
      <c r="P151" s="10">
        <f>ROUND(100*(J151*Assumptions!$B$6+K151*Assumptions!$B$7+L151*Assumptions!$B$8+M151*Assumptions!$B$9+N151*Assumptions!$B$10+O151*Assumptions!$B$11),1)</f>
        <v/>
      </c>
      <c r="Q151" s="2">
        <f>IF(P151&gt;=Assumptions!$B$14,"High",IF(P151&gt;=Assumptions!$B$15,"Medium","Low"))</f>
        <v/>
      </c>
      <c r="R151" s="2">
        <f>Cleaned_Data!L151</f>
        <v/>
      </c>
    </row>
    <row r="152">
      <c r="A152" s="2">
        <f>Cleaned_Data!A152</f>
        <v/>
      </c>
      <c r="B152" s="2">
        <f>Cleaned_Data!B152</f>
        <v/>
      </c>
      <c r="C152" s="2">
        <f>Cleaned_Data!G152</f>
        <v/>
      </c>
      <c r="D152" s="2">
        <f>Cleaned_Data!I152</f>
        <v/>
      </c>
      <c r="E152" s="2">
        <f>Cleaned_Data!H152</f>
        <v/>
      </c>
      <c r="F152" s="2">
        <f>Cleaned_Data!F152</f>
        <v/>
      </c>
      <c r="G152" s="9">
        <f>SUMPRODUCT(($B$2:$B$1196=B152)*($F$2:$F$1196&lt;=F152))/SUMPRODUCT(($B$2:$B$1196=B152)*1)</f>
        <v/>
      </c>
      <c r="H152" s="2">
        <f>Cleaned_Data!J152</f>
        <v/>
      </c>
      <c r="I152" s="2">
        <f>Cleaned_Data!E152</f>
        <v/>
      </c>
      <c r="J152" s="2">
        <f>IF(C152="Yes",1,0)</f>
        <v/>
      </c>
      <c r="K152" s="2">
        <f>MIN(MAX(1-(D152-1)/4,0),1)</f>
        <v/>
      </c>
      <c r="L152" s="2">
        <f>MIN(E152/60,1)</f>
        <v/>
      </c>
      <c r="M152" s="2">
        <f>MIN(MAX(1-G152,0),1)</f>
        <v/>
      </c>
      <c r="N152" s="2">
        <f>MIN(MAX(1-(H152-1)/4,0),1)</f>
        <v/>
      </c>
      <c r="O152" s="2">
        <f>1-MIN(I152/8,1)</f>
        <v/>
      </c>
      <c r="P152" s="10">
        <f>ROUND(100*(J152*Assumptions!$B$6+K152*Assumptions!$B$7+L152*Assumptions!$B$8+M152*Assumptions!$B$9+N152*Assumptions!$B$10+O152*Assumptions!$B$11),1)</f>
        <v/>
      </c>
      <c r="Q152" s="2">
        <f>IF(P152&gt;=Assumptions!$B$14,"High",IF(P152&gt;=Assumptions!$B$15,"Medium","Low"))</f>
        <v/>
      </c>
      <c r="R152" s="2">
        <f>Cleaned_Data!L152</f>
        <v/>
      </c>
    </row>
    <row r="153">
      <c r="A153" s="2">
        <f>Cleaned_Data!A153</f>
        <v/>
      </c>
      <c r="B153" s="2">
        <f>Cleaned_Data!B153</f>
        <v/>
      </c>
      <c r="C153" s="2">
        <f>Cleaned_Data!G153</f>
        <v/>
      </c>
      <c r="D153" s="2">
        <f>Cleaned_Data!I153</f>
        <v/>
      </c>
      <c r="E153" s="2">
        <f>Cleaned_Data!H153</f>
        <v/>
      </c>
      <c r="F153" s="2">
        <f>Cleaned_Data!F153</f>
        <v/>
      </c>
      <c r="G153" s="9">
        <f>SUMPRODUCT(($B$2:$B$1196=B153)*($F$2:$F$1196&lt;=F153))/SUMPRODUCT(($B$2:$B$1196=B153)*1)</f>
        <v/>
      </c>
      <c r="H153" s="2">
        <f>Cleaned_Data!J153</f>
        <v/>
      </c>
      <c r="I153" s="2">
        <f>Cleaned_Data!E153</f>
        <v/>
      </c>
      <c r="J153" s="2">
        <f>IF(C153="Yes",1,0)</f>
        <v/>
      </c>
      <c r="K153" s="2">
        <f>MIN(MAX(1-(D153-1)/4,0),1)</f>
        <v/>
      </c>
      <c r="L153" s="2">
        <f>MIN(E153/60,1)</f>
        <v/>
      </c>
      <c r="M153" s="2">
        <f>MIN(MAX(1-G153,0),1)</f>
        <v/>
      </c>
      <c r="N153" s="2">
        <f>MIN(MAX(1-(H153-1)/4,0),1)</f>
        <v/>
      </c>
      <c r="O153" s="2">
        <f>1-MIN(I153/8,1)</f>
        <v/>
      </c>
      <c r="P153" s="10">
        <f>ROUND(100*(J153*Assumptions!$B$6+K153*Assumptions!$B$7+L153*Assumptions!$B$8+M153*Assumptions!$B$9+N153*Assumptions!$B$10+O153*Assumptions!$B$11),1)</f>
        <v/>
      </c>
      <c r="Q153" s="2">
        <f>IF(P153&gt;=Assumptions!$B$14,"High",IF(P153&gt;=Assumptions!$B$15,"Medium","Low"))</f>
        <v/>
      </c>
      <c r="R153" s="2">
        <f>Cleaned_Data!L153</f>
        <v/>
      </c>
    </row>
    <row r="154">
      <c r="A154" s="2">
        <f>Cleaned_Data!A154</f>
        <v/>
      </c>
      <c r="B154" s="2">
        <f>Cleaned_Data!B154</f>
        <v/>
      </c>
      <c r="C154" s="2">
        <f>Cleaned_Data!G154</f>
        <v/>
      </c>
      <c r="D154" s="2">
        <f>Cleaned_Data!I154</f>
        <v/>
      </c>
      <c r="E154" s="2">
        <f>Cleaned_Data!H154</f>
        <v/>
      </c>
      <c r="F154" s="2">
        <f>Cleaned_Data!F154</f>
        <v/>
      </c>
      <c r="G154" s="9">
        <f>SUMPRODUCT(($B$2:$B$1196=B154)*($F$2:$F$1196&lt;=F154))/SUMPRODUCT(($B$2:$B$1196=B154)*1)</f>
        <v/>
      </c>
      <c r="H154" s="2">
        <f>Cleaned_Data!J154</f>
        <v/>
      </c>
      <c r="I154" s="2">
        <f>Cleaned_Data!E154</f>
        <v/>
      </c>
      <c r="J154" s="2">
        <f>IF(C154="Yes",1,0)</f>
        <v/>
      </c>
      <c r="K154" s="2">
        <f>MIN(MAX(1-(D154-1)/4,0),1)</f>
        <v/>
      </c>
      <c r="L154" s="2">
        <f>MIN(E154/60,1)</f>
        <v/>
      </c>
      <c r="M154" s="2">
        <f>MIN(MAX(1-G154,0),1)</f>
        <v/>
      </c>
      <c r="N154" s="2">
        <f>MIN(MAX(1-(H154-1)/4,0),1)</f>
        <v/>
      </c>
      <c r="O154" s="2">
        <f>1-MIN(I154/8,1)</f>
        <v/>
      </c>
      <c r="P154" s="10">
        <f>ROUND(100*(J154*Assumptions!$B$6+K154*Assumptions!$B$7+L154*Assumptions!$B$8+M154*Assumptions!$B$9+N154*Assumptions!$B$10+O154*Assumptions!$B$11),1)</f>
        <v/>
      </c>
      <c r="Q154" s="2">
        <f>IF(P154&gt;=Assumptions!$B$14,"High",IF(P154&gt;=Assumptions!$B$15,"Medium","Low"))</f>
        <v/>
      </c>
      <c r="R154" s="2">
        <f>Cleaned_Data!L154</f>
        <v/>
      </c>
    </row>
    <row r="155">
      <c r="A155" s="2">
        <f>Cleaned_Data!A155</f>
        <v/>
      </c>
      <c r="B155" s="2">
        <f>Cleaned_Data!B155</f>
        <v/>
      </c>
      <c r="C155" s="2">
        <f>Cleaned_Data!G155</f>
        <v/>
      </c>
      <c r="D155" s="2">
        <f>Cleaned_Data!I155</f>
        <v/>
      </c>
      <c r="E155" s="2">
        <f>Cleaned_Data!H155</f>
        <v/>
      </c>
      <c r="F155" s="2">
        <f>Cleaned_Data!F155</f>
        <v/>
      </c>
      <c r="G155" s="9">
        <f>SUMPRODUCT(($B$2:$B$1196=B155)*($F$2:$F$1196&lt;=F155))/SUMPRODUCT(($B$2:$B$1196=B155)*1)</f>
        <v/>
      </c>
      <c r="H155" s="2">
        <f>Cleaned_Data!J155</f>
        <v/>
      </c>
      <c r="I155" s="2">
        <f>Cleaned_Data!E155</f>
        <v/>
      </c>
      <c r="J155" s="2">
        <f>IF(C155="Yes",1,0)</f>
        <v/>
      </c>
      <c r="K155" s="2">
        <f>MIN(MAX(1-(D155-1)/4,0),1)</f>
        <v/>
      </c>
      <c r="L155" s="2">
        <f>MIN(E155/60,1)</f>
        <v/>
      </c>
      <c r="M155" s="2">
        <f>MIN(MAX(1-G155,0),1)</f>
        <v/>
      </c>
      <c r="N155" s="2">
        <f>MIN(MAX(1-(H155-1)/4,0),1)</f>
        <v/>
      </c>
      <c r="O155" s="2">
        <f>1-MIN(I155/8,1)</f>
        <v/>
      </c>
      <c r="P155" s="10">
        <f>ROUND(100*(J155*Assumptions!$B$6+K155*Assumptions!$B$7+L155*Assumptions!$B$8+M155*Assumptions!$B$9+N155*Assumptions!$B$10+O155*Assumptions!$B$11),1)</f>
        <v/>
      </c>
      <c r="Q155" s="2">
        <f>IF(P155&gt;=Assumptions!$B$14,"High",IF(P155&gt;=Assumptions!$B$15,"Medium","Low"))</f>
        <v/>
      </c>
      <c r="R155" s="2">
        <f>Cleaned_Data!L155</f>
        <v/>
      </c>
    </row>
    <row r="156">
      <c r="A156" s="2">
        <f>Cleaned_Data!A156</f>
        <v/>
      </c>
      <c r="B156" s="2">
        <f>Cleaned_Data!B156</f>
        <v/>
      </c>
      <c r="C156" s="2">
        <f>Cleaned_Data!G156</f>
        <v/>
      </c>
      <c r="D156" s="2">
        <f>Cleaned_Data!I156</f>
        <v/>
      </c>
      <c r="E156" s="2">
        <f>Cleaned_Data!H156</f>
        <v/>
      </c>
      <c r="F156" s="2">
        <f>Cleaned_Data!F156</f>
        <v/>
      </c>
      <c r="G156" s="9">
        <f>SUMPRODUCT(($B$2:$B$1196=B156)*($F$2:$F$1196&lt;=F156))/SUMPRODUCT(($B$2:$B$1196=B156)*1)</f>
        <v/>
      </c>
      <c r="H156" s="2">
        <f>Cleaned_Data!J156</f>
        <v/>
      </c>
      <c r="I156" s="2">
        <f>Cleaned_Data!E156</f>
        <v/>
      </c>
      <c r="J156" s="2">
        <f>IF(C156="Yes",1,0)</f>
        <v/>
      </c>
      <c r="K156" s="2">
        <f>MIN(MAX(1-(D156-1)/4,0),1)</f>
        <v/>
      </c>
      <c r="L156" s="2">
        <f>MIN(E156/60,1)</f>
        <v/>
      </c>
      <c r="M156" s="2">
        <f>MIN(MAX(1-G156,0),1)</f>
        <v/>
      </c>
      <c r="N156" s="2">
        <f>MIN(MAX(1-(H156-1)/4,0),1)</f>
        <v/>
      </c>
      <c r="O156" s="2">
        <f>1-MIN(I156/8,1)</f>
        <v/>
      </c>
      <c r="P156" s="10">
        <f>ROUND(100*(J156*Assumptions!$B$6+K156*Assumptions!$B$7+L156*Assumptions!$B$8+M156*Assumptions!$B$9+N156*Assumptions!$B$10+O156*Assumptions!$B$11),1)</f>
        <v/>
      </c>
      <c r="Q156" s="2">
        <f>IF(P156&gt;=Assumptions!$B$14,"High",IF(P156&gt;=Assumptions!$B$15,"Medium","Low"))</f>
        <v/>
      </c>
      <c r="R156" s="2">
        <f>Cleaned_Data!L156</f>
        <v/>
      </c>
    </row>
    <row r="157">
      <c r="A157" s="2">
        <f>Cleaned_Data!A157</f>
        <v/>
      </c>
      <c r="B157" s="2">
        <f>Cleaned_Data!B157</f>
        <v/>
      </c>
      <c r="C157" s="2">
        <f>Cleaned_Data!G157</f>
        <v/>
      </c>
      <c r="D157" s="2">
        <f>Cleaned_Data!I157</f>
        <v/>
      </c>
      <c r="E157" s="2">
        <f>Cleaned_Data!H157</f>
        <v/>
      </c>
      <c r="F157" s="2">
        <f>Cleaned_Data!F157</f>
        <v/>
      </c>
      <c r="G157" s="9">
        <f>SUMPRODUCT(($B$2:$B$1196=B157)*($F$2:$F$1196&lt;=F157))/SUMPRODUCT(($B$2:$B$1196=B157)*1)</f>
        <v/>
      </c>
      <c r="H157" s="2">
        <f>Cleaned_Data!J157</f>
        <v/>
      </c>
      <c r="I157" s="2">
        <f>Cleaned_Data!E157</f>
        <v/>
      </c>
      <c r="J157" s="2">
        <f>IF(C157="Yes",1,0)</f>
        <v/>
      </c>
      <c r="K157" s="2">
        <f>MIN(MAX(1-(D157-1)/4,0),1)</f>
        <v/>
      </c>
      <c r="L157" s="2">
        <f>MIN(E157/60,1)</f>
        <v/>
      </c>
      <c r="M157" s="2">
        <f>MIN(MAX(1-G157,0),1)</f>
        <v/>
      </c>
      <c r="N157" s="2">
        <f>MIN(MAX(1-(H157-1)/4,0),1)</f>
        <v/>
      </c>
      <c r="O157" s="2">
        <f>1-MIN(I157/8,1)</f>
        <v/>
      </c>
      <c r="P157" s="10">
        <f>ROUND(100*(J157*Assumptions!$B$6+K157*Assumptions!$B$7+L157*Assumptions!$B$8+M157*Assumptions!$B$9+N157*Assumptions!$B$10+O157*Assumptions!$B$11),1)</f>
        <v/>
      </c>
      <c r="Q157" s="2">
        <f>IF(P157&gt;=Assumptions!$B$14,"High",IF(P157&gt;=Assumptions!$B$15,"Medium","Low"))</f>
        <v/>
      </c>
      <c r="R157" s="2">
        <f>Cleaned_Data!L157</f>
        <v/>
      </c>
    </row>
    <row r="158">
      <c r="A158" s="2">
        <f>Cleaned_Data!A158</f>
        <v/>
      </c>
      <c r="B158" s="2">
        <f>Cleaned_Data!B158</f>
        <v/>
      </c>
      <c r="C158" s="2">
        <f>Cleaned_Data!G158</f>
        <v/>
      </c>
      <c r="D158" s="2">
        <f>Cleaned_Data!I158</f>
        <v/>
      </c>
      <c r="E158" s="2">
        <f>Cleaned_Data!H158</f>
        <v/>
      </c>
      <c r="F158" s="2">
        <f>Cleaned_Data!F158</f>
        <v/>
      </c>
      <c r="G158" s="9">
        <f>SUMPRODUCT(($B$2:$B$1196=B158)*($F$2:$F$1196&lt;=F158))/SUMPRODUCT(($B$2:$B$1196=B158)*1)</f>
        <v/>
      </c>
      <c r="H158" s="2">
        <f>Cleaned_Data!J158</f>
        <v/>
      </c>
      <c r="I158" s="2">
        <f>Cleaned_Data!E158</f>
        <v/>
      </c>
      <c r="J158" s="2">
        <f>IF(C158="Yes",1,0)</f>
        <v/>
      </c>
      <c r="K158" s="2">
        <f>MIN(MAX(1-(D158-1)/4,0),1)</f>
        <v/>
      </c>
      <c r="L158" s="2">
        <f>MIN(E158/60,1)</f>
        <v/>
      </c>
      <c r="M158" s="2">
        <f>MIN(MAX(1-G158,0),1)</f>
        <v/>
      </c>
      <c r="N158" s="2">
        <f>MIN(MAX(1-(H158-1)/4,0),1)</f>
        <v/>
      </c>
      <c r="O158" s="2">
        <f>1-MIN(I158/8,1)</f>
        <v/>
      </c>
      <c r="P158" s="10">
        <f>ROUND(100*(J158*Assumptions!$B$6+K158*Assumptions!$B$7+L158*Assumptions!$B$8+M158*Assumptions!$B$9+N158*Assumptions!$B$10+O158*Assumptions!$B$11),1)</f>
        <v/>
      </c>
      <c r="Q158" s="2">
        <f>IF(P158&gt;=Assumptions!$B$14,"High",IF(P158&gt;=Assumptions!$B$15,"Medium","Low"))</f>
        <v/>
      </c>
      <c r="R158" s="2">
        <f>Cleaned_Data!L158</f>
        <v/>
      </c>
    </row>
    <row r="159">
      <c r="A159" s="2">
        <f>Cleaned_Data!A159</f>
        <v/>
      </c>
      <c r="B159" s="2">
        <f>Cleaned_Data!B159</f>
        <v/>
      </c>
      <c r="C159" s="2">
        <f>Cleaned_Data!G159</f>
        <v/>
      </c>
      <c r="D159" s="2">
        <f>Cleaned_Data!I159</f>
        <v/>
      </c>
      <c r="E159" s="2">
        <f>Cleaned_Data!H159</f>
        <v/>
      </c>
      <c r="F159" s="2">
        <f>Cleaned_Data!F159</f>
        <v/>
      </c>
      <c r="G159" s="9">
        <f>SUMPRODUCT(($B$2:$B$1196=B159)*($F$2:$F$1196&lt;=F159))/SUMPRODUCT(($B$2:$B$1196=B159)*1)</f>
        <v/>
      </c>
      <c r="H159" s="2">
        <f>Cleaned_Data!J159</f>
        <v/>
      </c>
      <c r="I159" s="2">
        <f>Cleaned_Data!E159</f>
        <v/>
      </c>
      <c r="J159" s="2">
        <f>IF(C159="Yes",1,0)</f>
        <v/>
      </c>
      <c r="K159" s="2">
        <f>MIN(MAX(1-(D159-1)/4,0),1)</f>
        <v/>
      </c>
      <c r="L159" s="2">
        <f>MIN(E159/60,1)</f>
        <v/>
      </c>
      <c r="M159" s="2">
        <f>MIN(MAX(1-G159,0),1)</f>
        <v/>
      </c>
      <c r="N159" s="2">
        <f>MIN(MAX(1-(H159-1)/4,0),1)</f>
        <v/>
      </c>
      <c r="O159" s="2">
        <f>1-MIN(I159/8,1)</f>
        <v/>
      </c>
      <c r="P159" s="10">
        <f>ROUND(100*(J159*Assumptions!$B$6+K159*Assumptions!$B$7+L159*Assumptions!$B$8+M159*Assumptions!$B$9+N159*Assumptions!$B$10+O159*Assumptions!$B$11),1)</f>
        <v/>
      </c>
      <c r="Q159" s="2">
        <f>IF(P159&gt;=Assumptions!$B$14,"High",IF(P159&gt;=Assumptions!$B$15,"Medium","Low"))</f>
        <v/>
      </c>
      <c r="R159" s="2">
        <f>Cleaned_Data!L159</f>
        <v/>
      </c>
    </row>
    <row r="160">
      <c r="A160" s="2">
        <f>Cleaned_Data!A160</f>
        <v/>
      </c>
      <c r="B160" s="2">
        <f>Cleaned_Data!B160</f>
        <v/>
      </c>
      <c r="C160" s="2">
        <f>Cleaned_Data!G160</f>
        <v/>
      </c>
      <c r="D160" s="2">
        <f>Cleaned_Data!I160</f>
        <v/>
      </c>
      <c r="E160" s="2">
        <f>Cleaned_Data!H160</f>
        <v/>
      </c>
      <c r="F160" s="2">
        <f>Cleaned_Data!F160</f>
        <v/>
      </c>
      <c r="G160" s="9">
        <f>SUMPRODUCT(($B$2:$B$1196=B160)*($F$2:$F$1196&lt;=F160))/SUMPRODUCT(($B$2:$B$1196=B160)*1)</f>
        <v/>
      </c>
      <c r="H160" s="2">
        <f>Cleaned_Data!J160</f>
        <v/>
      </c>
      <c r="I160" s="2">
        <f>Cleaned_Data!E160</f>
        <v/>
      </c>
      <c r="J160" s="2">
        <f>IF(C160="Yes",1,0)</f>
        <v/>
      </c>
      <c r="K160" s="2">
        <f>MIN(MAX(1-(D160-1)/4,0),1)</f>
        <v/>
      </c>
      <c r="L160" s="2">
        <f>MIN(E160/60,1)</f>
        <v/>
      </c>
      <c r="M160" s="2">
        <f>MIN(MAX(1-G160,0),1)</f>
        <v/>
      </c>
      <c r="N160" s="2">
        <f>MIN(MAX(1-(H160-1)/4,0),1)</f>
        <v/>
      </c>
      <c r="O160" s="2">
        <f>1-MIN(I160/8,1)</f>
        <v/>
      </c>
      <c r="P160" s="10">
        <f>ROUND(100*(J160*Assumptions!$B$6+K160*Assumptions!$B$7+L160*Assumptions!$B$8+M160*Assumptions!$B$9+N160*Assumptions!$B$10+O160*Assumptions!$B$11),1)</f>
        <v/>
      </c>
      <c r="Q160" s="2">
        <f>IF(P160&gt;=Assumptions!$B$14,"High",IF(P160&gt;=Assumptions!$B$15,"Medium","Low"))</f>
        <v/>
      </c>
      <c r="R160" s="2">
        <f>Cleaned_Data!L160</f>
        <v/>
      </c>
    </row>
    <row r="161">
      <c r="A161" s="2">
        <f>Cleaned_Data!A161</f>
        <v/>
      </c>
      <c r="B161" s="2">
        <f>Cleaned_Data!B161</f>
        <v/>
      </c>
      <c r="C161" s="2">
        <f>Cleaned_Data!G161</f>
        <v/>
      </c>
      <c r="D161" s="2">
        <f>Cleaned_Data!I161</f>
        <v/>
      </c>
      <c r="E161" s="2">
        <f>Cleaned_Data!H161</f>
        <v/>
      </c>
      <c r="F161" s="2">
        <f>Cleaned_Data!F161</f>
        <v/>
      </c>
      <c r="G161" s="9">
        <f>SUMPRODUCT(($B$2:$B$1196=B161)*($F$2:$F$1196&lt;=F161))/SUMPRODUCT(($B$2:$B$1196=B161)*1)</f>
        <v/>
      </c>
      <c r="H161" s="2">
        <f>Cleaned_Data!J161</f>
        <v/>
      </c>
      <c r="I161" s="2">
        <f>Cleaned_Data!E161</f>
        <v/>
      </c>
      <c r="J161" s="2">
        <f>IF(C161="Yes",1,0)</f>
        <v/>
      </c>
      <c r="K161" s="2">
        <f>MIN(MAX(1-(D161-1)/4,0),1)</f>
        <v/>
      </c>
      <c r="L161" s="2">
        <f>MIN(E161/60,1)</f>
        <v/>
      </c>
      <c r="M161" s="2">
        <f>MIN(MAX(1-G161,0),1)</f>
        <v/>
      </c>
      <c r="N161" s="2">
        <f>MIN(MAX(1-(H161-1)/4,0),1)</f>
        <v/>
      </c>
      <c r="O161" s="2">
        <f>1-MIN(I161/8,1)</f>
        <v/>
      </c>
      <c r="P161" s="10">
        <f>ROUND(100*(J161*Assumptions!$B$6+K161*Assumptions!$B$7+L161*Assumptions!$B$8+M161*Assumptions!$B$9+N161*Assumptions!$B$10+O161*Assumptions!$B$11),1)</f>
        <v/>
      </c>
      <c r="Q161" s="2">
        <f>IF(P161&gt;=Assumptions!$B$14,"High",IF(P161&gt;=Assumptions!$B$15,"Medium","Low"))</f>
        <v/>
      </c>
      <c r="R161" s="2">
        <f>Cleaned_Data!L161</f>
        <v/>
      </c>
    </row>
    <row r="162">
      <c r="A162" s="2">
        <f>Cleaned_Data!A162</f>
        <v/>
      </c>
      <c r="B162" s="2">
        <f>Cleaned_Data!B162</f>
        <v/>
      </c>
      <c r="C162" s="2">
        <f>Cleaned_Data!G162</f>
        <v/>
      </c>
      <c r="D162" s="2">
        <f>Cleaned_Data!I162</f>
        <v/>
      </c>
      <c r="E162" s="2">
        <f>Cleaned_Data!H162</f>
        <v/>
      </c>
      <c r="F162" s="2">
        <f>Cleaned_Data!F162</f>
        <v/>
      </c>
      <c r="G162" s="9">
        <f>SUMPRODUCT(($B$2:$B$1196=B162)*($F$2:$F$1196&lt;=F162))/SUMPRODUCT(($B$2:$B$1196=B162)*1)</f>
        <v/>
      </c>
      <c r="H162" s="2">
        <f>Cleaned_Data!J162</f>
        <v/>
      </c>
      <c r="I162" s="2">
        <f>Cleaned_Data!E162</f>
        <v/>
      </c>
      <c r="J162" s="2">
        <f>IF(C162="Yes",1,0)</f>
        <v/>
      </c>
      <c r="K162" s="2">
        <f>MIN(MAX(1-(D162-1)/4,0),1)</f>
        <v/>
      </c>
      <c r="L162" s="2">
        <f>MIN(E162/60,1)</f>
        <v/>
      </c>
      <c r="M162" s="2">
        <f>MIN(MAX(1-G162,0),1)</f>
        <v/>
      </c>
      <c r="N162" s="2">
        <f>MIN(MAX(1-(H162-1)/4,0),1)</f>
        <v/>
      </c>
      <c r="O162" s="2">
        <f>1-MIN(I162/8,1)</f>
        <v/>
      </c>
      <c r="P162" s="10">
        <f>ROUND(100*(J162*Assumptions!$B$6+K162*Assumptions!$B$7+L162*Assumptions!$B$8+M162*Assumptions!$B$9+N162*Assumptions!$B$10+O162*Assumptions!$B$11),1)</f>
        <v/>
      </c>
      <c r="Q162" s="2">
        <f>IF(P162&gt;=Assumptions!$B$14,"High",IF(P162&gt;=Assumptions!$B$15,"Medium","Low"))</f>
        <v/>
      </c>
      <c r="R162" s="2">
        <f>Cleaned_Data!L162</f>
        <v/>
      </c>
    </row>
    <row r="163">
      <c r="A163" s="2">
        <f>Cleaned_Data!A163</f>
        <v/>
      </c>
      <c r="B163" s="2">
        <f>Cleaned_Data!B163</f>
        <v/>
      </c>
      <c r="C163" s="2">
        <f>Cleaned_Data!G163</f>
        <v/>
      </c>
      <c r="D163" s="2">
        <f>Cleaned_Data!I163</f>
        <v/>
      </c>
      <c r="E163" s="2">
        <f>Cleaned_Data!H163</f>
        <v/>
      </c>
      <c r="F163" s="2">
        <f>Cleaned_Data!F163</f>
        <v/>
      </c>
      <c r="G163" s="9">
        <f>SUMPRODUCT(($B$2:$B$1196=B163)*($F$2:$F$1196&lt;=F163))/SUMPRODUCT(($B$2:$B$1196=B163)*1)</f>
        <v/>
      </c>
      <c r="H163" s="2">
        <f>Cleaned_Data!J163</f>
        <v/>
      </c>
      <c r="I163" s="2">
        <f>Cleaned_Data!E163</f>
        <v/>
      </c>
      <c r="J163" s="2">
        <f>IF(C163="Yes",1,0)</f>
        <v/>
      </c>
      <c r="K163" s="2">
        <f>MIN(MAX(1-(D163-1)/4,0),1)</f>
        <v/>
      </c>
      <c r="L163" s="2">
        <f>MIN(E163/60,1)</f>
        <v/>
      </c>
      <c r="M163" s="2">
        <f>MIN(MAX(1-G163,0),1)</f>
        <v/>
      </c>
      <c r="N163" s="2">
        <f>MIN(MAX(1-(H163-1)/4,0),1)</f>
        <v/>
      </c>
      <c r="O163" s="2">
        <f>1-MIN(I163/8,1)</f>
        <v/>
      </c>
      <c r="P163" s="10">
        <f>ROUND(100*(J163*Assumptions!$B$6+K163*Assumptions!$B$7+L163*Assumptions!$B$8+M163*Assumptions!$B$9+N163*Assumptions!$B$10+O163*Assumptions!$B$11),1)</f>
        <v/>
      </c>
      <c r="Q163" s="2">
        <f>IF(P163&gt;=Assumptions!$B$14,"High",IF(P163&gt;=Assumptions!$B$15,"Medium","Low"))</f>
        <v/>
      </c>
      <c r="R163" s="2">
        <f>Cleaned_Data!L163</f>
        <v/>
      </c>
    </row>
    <row r="164">
      <c r="A164" s="2">
        <f>Cleaned_Data!A164</f>
        <v/>
      </c>
      <c r="B164" s="2">
        <f>Cleaned_Data!B164</f>
        <v/>
      </c>
      <c r="C164" s="2">
        <f>Cleaned_Data!G164</f>
        <v/>
      </c>
      <c r="D164" s="2">
        <f>Cleaned_Data!I164</f>
        <v/>
      </c>
      <c r="E164" s="2">
        <f>Cleaned_Data!H164</f>
        <v/>
      </c>
      <c r="F164" s="2">
        <f>Cleaned_Data!F164</f>
        <v/>
      </c>
      <c r="G164" s="9">
        <f>SUMPRODUCT(($B$2:$B$1196=B164)*($F$2:$F$1196&lt;=F164))/SUMPRODUCT(($B$2:$B$1196=B164)*1)</f>
        <v/>
      </c>
      <c r="H164" s="2">
        <f>Cleaned_Data!J164</f>
        <v/>
      </c>
      <c r="I164" s="2">
        <f>Cleaned_Data!E164</f>
        <v/>
      </c>
      <c r="J164" s="2">
        <f>IF(C164="Yes",1,0)</f>
        <v/>
      </c>
      <c r="K164" s="2">
        <f>MIN(MAX(1-(D164-1)/4,0),1)</f>
        <v/>
      </c>
      <c r="L164" s="2">
        <f>MIN(E164/60,1)</f>
        <v/>
      </c>
      <c r="M164" s="2">
        <f>MIN(MAX(1-G164,0),1)</f>
        <v/>
      </c>
      <c r="N164" s="2">
        <f>MIN(MAX(1-(H164-1)/4,0),1)</f>
        <v/>
      </c>
      <c r="O164" s="2">
        <f>1-MIN(I164/8,1)</f>
        <v/>
      </c>
      <c r="P164" s="10">
        <f>ROUND(100*(J164*Assumptions!$B$6+K164*Assumptions!$B$7+L164*Assumptions!$B$8+M164*Assumptions!$B$9+N164*Assumptions!$B$10+O164*Assumptions!$B$11),1)</f>
        <v/>
      </c>
      <c r="Q164" s="2">
        <f>IF(P164&gt;=Assumptions!$B$14,"High",IF(P164&gt;=Assumptions!$B$15,"Medium","Low"))</f>
        <v/>
      </c>
      <c r="R164" s="2">
        <f>Cleaned_Data!L164</f>
        <v/>
      </c>
    </row>
    <row r="165">
      <c r="A165" s="2">
        <f>Cleaned_Data!A165</f>
        <v/>
      </c>
      <c r="B165" s="2">
        <f>Cleaned_Data!B165</f>
        <v/>
      </c>
      <c r="C165" s="2">
        <f>Cleaned_Data!G165</f>
        <v/>
      </c>
      <c r="D165" s="2">
        <f>Cleaned_Data!I165</f>
        <v/>
      </c>
      <c r="E165" s="2">
        <f>Cleaned_Data!H165</f>
        <v/>
      </c>
      <c r="F165" s="2">
        <f>Cleaned_Data!F165</f>
        <v/>
      </c>
      <c r="G165" s="9">
        <f>SUMPRODUCT(($B$2:$B$1196=B165)*($F$2:$F$1196&lt;=F165))/SUMPRODUCT(($B$2:$B$1196=B165)*1)</f>
        <v/>
      </c>
      <c r="H165" s="2">
        <f>Cleaned_Data!J165</f>
        <v/>
      </c>
      <c r="I165" s="2">
        <f>Cleaned_Data!E165</f>
        <v/>
      </c>
      <c r="J165" s="2">
        <f>IF(C165="Yes",1,0)</f>
        <v/>
      </c>
      <c r="K165" s="2">
        <f>MIN(MAX(1-(D165-1)/4,0),1)</f>
        <v/>
      </c>
      <c r="L165" s="2">
        <f>MIN(E165/60,1)</f>
        <v/>
      </c>
      <c r="M165" s="2">
        <f>MIN(MAX(1-G165,0),1)</f>
        <v/>
      </c>
      <c r="N165" s="2">
        <f>MIN(MAX(1-(H165-1)/4,0),1)</f>
        <v/>
      </c>
      <c r="O165" s="2">
        <f>1-MIN(I165/8,1)</f>
        <v/>
      </c>
      <c r="P165" s="10">
        <f>ROUND(100*(J165*Assumptions!$B$6+K165*Assumptions!$B$7+L165*Assumptions!$B$8+M165*Assumptions!$B$9+N165*Assumptions!$B$10+O165*Assumptions!$B$11),1)</f>
        <v/>
      </c>
      <c r="Q165" s="2">
        <f>IF(P165&gt;=Assumptions!$B$14,"High",IF(P165&gt;=Assumptions!$B$15,"Medium","Low"))</f>
        <v/>
      </c>
      <c r="R165" s="2">
        <f>Cleaned_Data!L165</f>
        <v/>
      </c>
    </row>
    <row r="166">
      <c r="A166" s="2">
        <f>Cleaned_Data!A166</f>
        <v/>
      </c>
      <c r="B166" s="2">
        <f>Cleaned_Data!B166</f>
        <v/>
      </c>
      <c r="C166" s="2">
        <f>Cleaned_Data!G166</f>
        <v/>
      </c>
      <c r="D166" s="2">
        <f>Cleaned_Data!I166</f>
        <v/>
      </c>
      <c r="E166" s="2">
        <f>Cleaned_Data!H166</f>
        <v/>
      </c>
      <c r="F166" s="2">
        <f>Cleaned_Data!F166</f>
        <v/>
      </c>
      <c r="G166" s="9">
        <f>SUMPRODUCT(($B$2:$B$1196=B166)*($F$2:$F$1196&lt;=F166))/SUMPRODUCT(($B$2:$B$1196=B166)*1)</f>
        <v/>
      </c>
      <c r="H166" s="2">
        <f>Cleaned_Data!J166</f>
        <v/>
      </c>
      <c r="I166" s="2">
        <f>Cleaned_Data!E166</f>
        <v/>
      </c>
      <c r="J166" s="2">
        <f>IF(C166="Yes",1,0)</f>
        <v/>
      </c>
      <c r="K166" s="2">
        <f>MIN(MAX(1-(D166-1)/4,0),1)</f>
        <v/>
      </c>
      <c r="L166" s="2">
        <f>MIN(E166/60,1)</f>
        <v/>
      </c>
      <c r="M166" s="2">
        <f>MIN(MAX(1-G166,0),1)</f>
        <v/>
      </c>
      <c r="N166" s="2">
        <f>MIN(MAX(1-(H166-1)/4,0),1)</f>
        <v/>
      </c>
      <c r="O166" s="2">
        <f>1-MIN(I166/8,1)</f>
        <v/>
      </c>
      <c r="P166" s="10">
        <f>ROUND(100*(J166*Assumptions!$B$6+K166*Assumptions!$B$7+L166*Assumptions!$B$8+M166*Assumptions!$B$9+N166*Assumptions!$B$10+O166*Assumptions!$B$11),1)</f>
        <v/>
      </c>
      <c r="Q166" s="2">
        <f>IF(P166&gt;=Assumptions!$B$14,"High",IF(P166&gt;=Assumptions!$B$15,"Medium","Low"))</f>
        <v/>
      </c>
      <c r="R166" s="2">
        <f>Cleaned_Data!L166</f>
        <v/>
      </c>
    </row>
    <row r="167">
      <c r="A167" s="2">
        <f>Cleaned_Data!A167</f>
        <v/>
      </c>
      <c r="B167" s="2">
        <f>Cleaned_Data!B167</f>
        <v/>
      </c>
      <c r="C167" s="2">
        <f>Cleaned_Data!G167</f>
        <v/>
      </c>
      <c r="D167" s="2">
        <f>Cleaned_Data!I167</f>
        <v/>
      </c>
      <c r="E167" s="2">
        <f>Cleaned_Data!H167</f>
        <v/>
      </c>
      <c r="F167" s="2">
        <f>Cleaned_Data!F167</f>
        <v/>
      </c>
      <c r="G167" s="9">
        <f>SUMPRODUCT(($B$2:$B$1196=B167)*($F$2:$F$1196&lt;=F167))/SUMPRODUCT(($B$2:$B$1196=B167)*1)</f>
        <v/>
      </c>
      <c r="H167" s="2">
        <f>Cleaned_Data!J167</f>
        <v/>
      </c>
      <c r="I167" s="2">
        <f>Cleaned_Data!E167</f>
        <v/>
      </c>
      <c r="J167" s="2">
        <f>IF(C167="Yes",1,0)</f>
        <v/>
      </c>
      <c r="K167" s="2">
        <f>MIN(MAX(1-(D167-1)/4,0),1)</f>
        <v/>
      </c>
      <c r="L167" s="2">
        <f>MIN(E167/60,1)</f>
        <v/>
      </c>
      <c r="M167" s="2">
        <f>MIN(MAX(1-G167,0),1)</f>
        <v/>
      </c>
      <c r="N167" s="2">
        <f>MIN(MAX(1-(H167-1)/4,0),1)</f>
        <v/>
      </c>
      <c r="O167" s="2">
        <f>1-MIN(I167/8,1)</f>
        <v/>
      </c>
      <c r="P167" s="10">
        <f>ROUND(100*(J167*Assumptions!$B$6+K167*Assumptions!$B$7+L167*Assumptions!$B$8+M167*Assumptions!$B$9+N167*Assumptions!$B$10+O167*Assumptions!$B$11),1)</f>
        <v/>
      </c>
      <c r="Q167" s="2">
        <f>IF(P167&gt;=Assumptions!$B$14,"High",IF(P167&gt;=Assumptions!$B$15,"Medium","Low"))</f>
        <v/>
      </c>
      <c r="R167" s="2">
        <f>Cleaned_Data!L167</f>
        <v/>
      </c>
    </row>
    <row r="168">
      <c r="A168" s="2">
        <f>Cleaned_Data!A168</f>
        <v/>
      </c>
      <c r="B168" s="2">
        <f>Cleaned_Data!B168</f>
        <v/>
      </c>
      <c r="C168" s="2">
        <f>Cleaned_Data!G168</f>
        <v/>
      </c>
      <c r="D168" s="2">
        <f>Cleaned_Data!I168</f>
        <v/>
      </c>
      <c r="E168" s="2">
        <f>Cleaned_Data!H168</f>
        <v/>
      </c>
      <c r="F168" s="2">
        <f>Cleaned_Data!F168</f>
        <v/>
      </c>
      <c r="G168" s="9">
        <f>SUMPRODUCT(($B$2:$B$1196=B168)*($F$2:$F$1196&lt;=F168))/SUMPRODUCT(($B$2:$B$1196=B168)*1)</f>
        <v/>
      </c>
      <c r="H168" s="2">
        <f>Cleaned_Data!J168</f>
        <v/>
      </c>
      <c r="I168" s="2">
        <f>Cleaned_Data!E168</f>
        <v/>
      </c>
      <c r="J168" s="2">
        <f>IF(C168="Yes",1,0)</f>
        <v/>
      </c>
      <c r="K168" s="2">
        <f>MIN(MAX(1-(D168-1)/4,0),1)</f>
        <v/>
      </c>
      <c r="L168" s="2">
        <f>MIN(E168/60,1)</f>
        <v/>
      </c>
      <c r="M168" s="2">
        <f>MIN(MAX(1-G168,0),1)</f>
        <v/>
      </c>
      <c r="N168" s="2">
        <f>MIN(MAX(1-(H168-1)/4,0),1)</f>
        <v/>
      </c>
      <c r="O168" s="2">
        <f>1-MIN(I168/8,1)</f>
        <v/>
      </c>
      <c r="P168" s="10">
        <f>ROUND(100*(J168*Assumptions!$B$6+K168*Assumptions!$B$7+L168*Assumptions!$B$8+M168*Assumptions!$B$9+N168*Assumptions!$B$10+O168*Assumptions!$B$11),1)</f>
        <v/>
      </c>
      <c r="Q168" s="2">
        <f>IF(P168&gt;=Assumptions!$B$14,"High",IF(P168&gt;=Assumptions!$B$15,"Medium","Low"))</f>
        <v/>
      </c>
      <c r="R168" s="2">
        <f>Cleaned_Data!L168</f>
        <v/>
      </c>
    </row>
    <row r="169">
      <c r="A169" s="2">
        <f>Cleaned_Data!A169</f>
        <v/>
      </c>
      <c r="B169" s="2">
        <f>Cleaned_Data!B169</f>
        <v/>
      </c>
      <c r="C169" s="2">
        <f>Cleaned_Data!G169</f>
        <v/>
      </c>
      <c r="D169" s="2">
        <f>Cleaned_Data!I169</f>
        <v/>
      </c>
      <c r="E169" s="2">
        <f>Cleaned_Data!H169</f>
        <v/>
      </c>
      <c r="F169" s="2">
        <f>Cleaned_Data!F169</f>
        <v/>
      </c>
      <c r="G169" s="9">
        <f>SUMPRODUCT(($B$2:$B$1196=B169)*($F$2:$F$1196&lt;=F169))/SUMPRODUCT(($B$2:$B$1196=B169)*1)</f>
        <v/>
      </c>
      <c r="H169" s="2">
        <f>Cleaned_Data!J169</f>
        <v/>
      </c>
      <c r="I169" s="2">
        <f>Cleaned_Data!E169</f>
        <v/>
      </c>
      <c r="J169" s="2">
        <f>IF(C169="Yes",1,0)</f>
        <v/>
      </c>
      <c r="K169" s="2">
        <f>MIN(MAX(1-(D169-1)/4,0),1)</f>
        <v/>
      </c>
      <c r="L169" s="2">
        <f>MIN(E169/60,1)</f>
        <v/>
      </c>
      <c r="M169" s="2">
        <f>MIN(MAX(1-G169,0),1)</f>
        <v/>
      </c>
      <c r="N169" s="2">
        <f>MIN(MAX(1-(H169-1)/4,0),1)</f>
        <v/>
      </c>
      <c r="O169" s="2">
        <f>1-MIN(I169/8,1)</f>
        <v/>
      </c>
      <c r="P169" s="10">
        <f>ROUND(100*(J169*Assumptions!$B$6+K169*Assumptions!$B$7+L169*Assumptions!$B$8+M169*Assumptions!$B$9+N169*Assumptions!$B$10+O169*Assumptions!$B$11),1)</f>
        <v/>
      </c>
      <c r="Q169" s="2">
        <f>IF(P169&gt;=Assumptions!$B$14,"High",IF(P169&gt;=Assumptions!$B$15,"Medium","Low"))</f>
        <v/>
      </c>
      <c r="R169" s="2">
        <f>Cleaned_Data!L169</f>
        <v/>
      </c>
    </row>
    <row r="170">
      <c r="A170" s="2">
        <f>Cleaned_Data!A170</f>
        <v/>
      </c>
      <c r="B170" s="2">
        <f>Cleaned_Data!B170</f>
        <v/>
      </c>
      <c r="C170" s="2">
        <f>Cleaned_Data!G170</f>
        <v/>
      </c>
      <c r="D170" s="2">
        <f>Cleaned_Data!I170</f>
        <v/>
      </c>
      <c r="E170" s="2">
        <f>Cleaned_Data!H170</f>
        <v/>
      </c>
      <c r="F170" s="2">
        <f>Cleaned_Data!F170</f>
        <v/>
      </c>
      <c r="G170" s="9">
        <f>SUMPRODUCT(($B$2:$B$1196=B170)*($F$2:$F$1196&lt;=F170))/SUMPRODUCT(($B$2:$B$1196=B170)*1)</f>
        <v/>
      </c>
      <c r="H170" s="2">
        <f>Cleaned_Data!J170</f>
        <v/>
      </c>
      <c r="I170" s="2">
        <f>Cleaned_Data!E170</f>
        <v/>
      </c>
      <c r="J170" s="2">
        <f>IF(C170="Yes",1,0)</f>
        <v/>
      </c>
      <c r="K170" s="2">
        <f>MIN(MAX(1-(D170-1)/4,0),1)</f>
        <v/>
      </c>
      <c r="L170" s="2">
        <f>MIN(E170/60,1)</f>
        <v/>
      </c>
      <c r="M170" s="2">
        <f>MIN(MAX(1-G170,0),1)</f>
        <v/>
      </c>
      <c r="N170" s="2">
        <f>MIN(MAX(1-(H170-1)/4,0),1)</f>
        <v/>
      </c>
      <c r="O170" s="2">
        <f>1-MIN(I170/8,1)</f>
        <v/>
      </c>
      <c r="P170" s="10">
        <f>ROUND(100*(J170*Assumptions!$B$6+K170*Assumptions!$B$7+L170*Assumptions!$B$8+M170*Assumptions!$B$9+N170*Assumptions!$B$10+O170*Assumptions!$B$11),1)</f>
        <v/>
      </c>
      <c r="Q170" s="2">
        <f>IF(P170&gt;=Assumptions!$B$14,"High",IF(P170&gt;=Assumptions!$B$15,"Medium","Low"))</f>
        <v/>
      </c>
      <c r="R170" s="2">
        <f>Cleaned_Data!L170</f>
        <v/>
      </c>
    </row>
    <row r="171">
      <c r="A171" s="2">
        <f>Cleaned_Data!A171</f>
        <v/>
      </c>
      <c r="B171" s="2">
        <f>Cleaned_Data!B171</f>
        <v/>
      </c>
      <c r="C171" s="2">
        <f>Cleaned_Data!G171</f>
        <v/>
      </c>
      <c r="D171" s="2">
        <f>Cleaned_Data!I171</f>
        <v/>
      </c>
      <c r="E171" s="2">
        <f>Cleaned_Data!H171</f>
        <v/>
      </c>
      <c r="F171" s="2">
        <f>Cleaned_Data!F171</f>
        <v/>
      </c>
      <c r="G171" s="9">
        <f>SUMPRODUCT(($B$2:$B$1196=B171)*($F$2:$F$1196&lt;=F171))/SUMPRODUCT(($B$2:$B$1196=B171)*1)</f>
        <v/>
      </c>
      <c r="H171" s="2">
        <f>Cleaned_Data!J171</f>
        <v/>
      </c>
      <c r="I171" s="2">
        <f>Cleaned_Data!E171</f>
        <v/>
      </c>
      <c r="J171" s="2">
        <f>IF(C171="Yes",1,0)</f>
        <v/>
      </c>
      <c r="K171" s="2">
        <f>MIN(MAX(1-(D171-1)/4,0),1)</f>
        <v/>
      </c>
      <c r="L171" s="2">
        <f>MIN(E171/60,1)</f>
        <v/>
      </c>
      <c r="M171" s="2">
        <f>MIN(MAX(1-G171,0),1)</f>
        <v/>
      </c>
      <c r="N171" s="2">
        <f>MIN(MAX(1-(H171-1)/4,0),1)</f>
        <v/>
      </c>
      <c r="O171" s="2">
        <f>1-MIN(I171/8,1)</f>
        <v/>
      </c>
      <c r="P171" s="10">
        <f>ROUND(100*(J171*Assumptions!$B$6+K171*Assumptions!$B$7+L171*Assumptions!$B$8+M171*Assumptions!$B$9+N171*Assumptions!$B$10+O171*Assumptions!$B$11),1)</f>
        <v/>
      </c>
      <c r="Q171" s="2">
        <f>IF(P171&gt;=Assumptions!$B$14,"High",IF(P171&gt;=Assumptions!$B$15,"Medium","Low"))</f>
        <v/>
      </c>
      <c r="R171" s="2">
        <f>Cleaned_Data!L171</f>
        <v/>
      </c>
    </row>
    <row r="172">
      <c r="A172" s="2">
        <f>Cleaned_Data!A172</f>
        <v/>
      </c>
      <c r="B172" s="2">
        <f>Cleaned_Data!B172</f>
        <v/>
      </c>
      <c r="C172" s="2">
        <f>Cleaned_Data!G172</f>
        <v/>
      </c>
      <c r="D172" s="2">
        <f>Cleaned_Data!I172</f>
        <v/>
      </c>
      <c r="E172" s="2">
        <f>Cleaned_Data!H172</f>
        <v/>
      </c>
      <c r="F172" s="2">
        <f>Cleaned_Data!F172</f>
        <v/>
      </c>
      <c r="G172" s="9">
        <f>SUMPRODUCT(($B$2:$B$1196=B172)*($F$2:$F$1196&lt;=F172))/SUMPRODUCT(($B$2:$B$1196=B172)*1)</f>
        <v/>
      </c>
      <c r="H172" s="2">
        <f>Cleaned_Data!J172</f>
        <v/>
      </c>
      <c r="I172" s="2">
        <f>Cleaned_Data!E172</f>
        <v/>
      </c>
      <c r="J172" s="2">
        <f>IF(C172="Yes",1,0)</f>
        <v/>
      </c>
      <c r="K172" s="2">
        <f>MIN(MAX(1-(D172-1)/4,0),1)</f>
        <v/>
      </c>
      <c r="L172" s="2">
        <f>MIN(E172/60,1)</f>
        <v/>
      </c>
      <c r="M172" s="2">
        <f>MIN(MAX(1-G172,0),1)</f>
        <v/>
      </c>
      <c r="N172" s="2">
        <f>MIN(MAX(1-(H172-1)/4,0),1)</f>
        <v/>
      </c>
      <c r="O172" s="2">
        <f>1-MIN(I172/8,1)</f>
        <v/>
      </c>
      <c r="P172" s="10">
        <f>ROUND(100*(J172*Assumptions!$B$6+K172*Assumptions!$B$7+L172*Assumptions!$B$8+M172*Assumptions!$B$9+N172*Assumptions!$B$10+O172*Assumptions!$B$11),1)</f>
        <v/>
      </c>
      <c r="Q172" s="2">
        <f>IF(P172&gt;=Assumptions!$B$14,"High",IF(P172&gt;=Assumptions!$B$15,"Medium","Low"))</f>
        <v/>
      </c>
      <c r="R172" s="2">
        <f>Cleaned_Data!L172</f>
        <v/>
      </c>
    </row>
    <row r="173">
      <c r="A173" s="2">
        <f>Cleaned_Data!A173</f>
        <v/>
      </c>
      <c r="B173" s="2">
        <f>Cleaned_Data!B173</f>
        <v/>
      </c>
      <c r="C173" s="2">
        <f>Cleaned_Data!G173</f>
        <v/>
      </c>
      <c r="D173" s="2">
        <f>Cleaned_Data!I173</f>
        <v/>
      </c>
      <c r="E173" s="2">
        <f>Cleaned_Data!H173</f>
        <v/>
      </c>
      <c r="F173" s="2">
        <f>Cleaned_Data!F173</f>
        <v/>
      </c>
      <c r="G173" s="9">
        <f>SUMPRODUCT(($B$2:$B$1196=B173)*($F$2:$F$1196&lt;=F173))/SUMPRODUCT(($B$2:$B$1196=B173)*1)</f>
        <v/>
      </c>
      <c r="H173" s="2">
        <f>Cleaned_Data!J173</f>
        <v/>
      </c>
      <c r="I173" s="2">
        <f>Cleaned_Data!E173</f>
        <v/>
      </c>
      <c r="J173" s="2">
        <f>IF(C173="Yes",1,0)</f>
        <v/>
      </c>
      <c r="K173" s="2">
        <f>MIN(MAX(1-(D173-1)/4,0),1)</f>
        <v/>
      </c>
      <c r="L173" s="2">
        <f>MIN(E173/60,1)</f>
        <v/>
      </c>
      <c r="M173" s="2">
        <f>MIN(MAX(1-G173,0),1)</f>
        <v/>
      </c>
      <c r="N173" s="2">
        <f>MIN(MAX(1-(H173-1)/4,0),1)</f>
        <v/>
      </c>
      <c r="O173" s="2">
        <f>1-MIN(I173/8,1)</f>
        <v/>
      </c>
      <c r="P173" s="10">
        <f>ROUND(100*(J173*Assumptions!$B$6+K173*Assumptions!$B$7+L173*Assumptions!$B$8+M173*Assumptions!$B$9+N173*Assumptions!$B$10+O173*Assumptions!$B$11),1)</f>
        <v/>
      </c>
      <c r="Q173" s="2">
        <f>IF(P173&gt;=Assumptions!$B$14,"High",IF(P173&gt;=Assumptions!$B$15,"Medium","Low"))</f>
        <v/>
      </c>
      <c r="R173" s="2">
        <f>Cleaned_Data!L173</f>
        <v/>
      </c>
    </row>
    <row r="174">
      <c r="A174" s="2">
        <f>Cleaned_Data!A174</f>
        <v/>
      </c>
      <c r="B174" s="2">
        <f>Cleaned_Data!B174</f>
        <v/>
      </c>
      <c r="C174" s="2">
        <f>Cleaned_Data!G174</f>
        <v/>
      </c>
      <c r="D174" s="2">
        <f>Cleaned_Data!I174</f>
        <v/>
      </c>
      <c r="E174" s="2">
        <f>Cleaned_Data!H174</f>
        <v/>
      </c>
      <c r="F174" s="2">
        <f>Cleaned_Data!F174</f>
        <v/>
      </c>
      <c r="G174" s="9">
        <f>SUMPRODUCT(($B$2:$B$1196=B174)*($F$2:$F$1196&lt;=F174))/SUMPRODUCT(($B$2:$B$1196=B174)*1)</f>
        <v/>
      </c>
      <c r="H174" s="2">
        <f>Cleaned_Data!J174</f>
        <v/>
      </c>
      <c r="I174" s="2">
        <f>Cleaned_Data!E174</f>
        <v/>
      </c>
      <c r="J174" s="2">
        <f>IF(C174="Yes",1,0)</f>
        <v/>
      </c>
      <c r="K174" s="2">
        <f>MIN(MAX(1-(D174-1)/4,0),1)</f>
        <v/>
      </c>
      <c r="L174" s="2">
        <f>MIN(E174/60,1)</f>
        <v/>
      </c>
      <c r="M174" s="2">
        <f>MIN(MAX(1-G174,0),1)</f>
        <v/>
      </c>
      <c r="N174" s="2">
        <f>MIN(MAX(1-(H174-1)/4,0),1)</f>
        <v/>
      </c>
      <c r="O174" s="2">
        <f>1-MIN(I174/8,1)</f>
        <v/>
      </c>
      <c r="P174" s="10">
        <f>ROUND(100*(J174*Assumptions!$B$6+K174*Assumptions!$B$7+L174*Assumptions!$B$8+M174*Assumptions!$B$9+N174*Assumptions!$B$10+O174*Assumptions!$B$11),1)</f>
        <v/>
      </c>
      <c r="Q174" s="2">
        <f>IF(P174&gt;=Assumptions!$B$14,"High",IF(P174&gt;=Assumptions!$B$15,"Medium","Low"))</f>
        <v/>
      </c>
      <c r="R174" s="2">
        <f>Cleaned_Data!L174</f>
        <v/>
      </c>
    </row>
    <row r="175">
      <c r="A175" s="2">
        <f>Cleaned_Data!A175</f>
        <v/>
      </c>
      <c r="B175" s="2">
        <f>Cleaned_Data!B175</f>
        <v/>
      </c>
      <c r="C175" s="2">
        <f>Cleaned_Data!G175</f>
        <v/>
      </c>
      <c r="D175" s="2">
        <f>Cleaned_Data!I175</f>
        <v/>
      </c>
      <c r="E175" s="2">
        <f>Cleaned_Data!H175</f>
        <v/>
      </c>
      <c r="F175" s="2">
        <f>Cleaned_Data!F175</f>
        <v/>
      </c>
      <c r="G175" s="9">
        <f>SUMPRODUCT(($B$2:$B$1196=B175)*($F$2:$F$1196&lt;=F175))/SUMPRODUCT(($B$2:$B$1196=B175)*1)</f>
        <v/>
      </c>
      <c r="H175" s="2">
        <f>Cleaned_Data!J175</f>
        <v/>
      </c>
      <c r="I175" s="2">
        <f>Cleaned_Data!E175</f>
        <v/>
      </c>
      <c r="J175" s="2">
        <f>IF(C175="Yes",1,0)</f>
        <v/>
      </c>
      <c r="K175" s="2">
        <f>MIN(MAX(1-(D175-1)/4,0),1)</f>
        <v/>
      </c>
      <c r="L175" s="2">
        <f>MIN(E175/60,1)</f>
        <v/>
      </c>
      <c r="M175" s="2">
        <f>MIN(MAX(1-G175,0),1)</f>
        <v/>
      </c>
      <c r="N175" s="2">
        <f>MIN(MAX(1-(H175-1)/4,0),1)</f>
        <v/>
      </c>
      <c r="O175" s="2">
        <f>1-MIN(I175/8,1)</f>
        <v/>
      </c>
      <c r="P175" s="10">
        <f>ROUND(100*(J175*Assumptions!$B$6+K175*Assumptions!$B$7+L175*Assumptions!$B$8+M175*Assumptions!$B$9+N175*Assumptions!$B$10+O175*Assumptions!$B$11),1)</f>
        <v/>
      </c>
      <c r="Q175" s="2">
        <f>IF(P175&gt;=Assumptions!$B$14,"High",IF(P175&gt;=Assumptions!$B$15,"Medium","Low"))</f>
        <v/>
      </c>
      <c r="R175" s="2">
        <f>Cleaned_Data!L175</f>
        <v/>
      </c>
    </row>
    <row r="176">
      <c r="A176" s="2">
        <f>Cleaned_Data!A176</f>
        <v/>
      </c>
      <c r="B176" s="2">
        <f>Cleaned_Data!B176</f>
        <v/>
      </c>
      <c r="C176" s="2">
        <f>Cleaned_Data!G176</f>
        <v/>
      </c>
      <c r="D176" s="2">
        <f>Cleaned_Data!I176</f>
        <v/>
      </c>
      <c r="E176" s="2">
        <f>Cleaned_Data!H176</f>
        <v/>
      </c>
      <c r="F176" s="2">
        <f>Cleaned_Data!F176</f>
        <v/>
      </c>
      <c r="G176" s="9">
        <f>SUMPRODUCT(($B$2:$B$1196=B176)*($F$2:$F$1196&lt;=F176))/SUMPRODUCT(($B$2:$B$1196=B176)*1)</f>
        <v/>
      </c>
      <c r="H176" s="2">
        <f>Cleaned_Data!J176</f>
        <v/>
      </c>
      <c r="I176" s="2">
        <f>Cleaned_Data!E176</f>
        <v/>
      </c>
      <c r="J176" s="2">
        <f>IF(C176="Yes",1,0)</f>
        <v/>
      </c>
      <c r="K176" s="2">
        <f>MIN(MAX(1-(D176-1)/4,0),1)</f>
        <v/>
      </c>
      <c r="L176" s="2">
        <f>MIN(E176/60,1)</f>
        <v/>
      </c>
      <c r="M176" s="2">
        <f>MIN(MAX(1-G176,0),1)</f>
        <v/>
      </c>
      <c r="N176" s="2">
        <f>MIN(MAX(1-(H176-1)/4,0),1)</f>
        <v/>
      </c>
      <c r="O176" s="2">
        <f>1-MIN(I176/8,1)</f>
        <v/>
      </c>
      <c r="P176" s="10">
        <f>ROUND(100*(J176*Assumptions!$B$6+K176*Assumptions!$B$7+L176*Assumptions!$B$8+M176*Assumptions!$B$9+N176*Assumptions!$B$10+O176*Assumptions!$B$11),1)</f>
        <v/>
      </c>
      <c r="Q176" s="2">
        <f>IF(P176&gt;=Assumptions!$B$14,"High",IF(P176&gt;=Assumptions!$B$15,"Medium","Low"))</f>
        <v/>
      </c>
      <c r="R176" s="2">
        <f>Cleaned_Data!L176</f>
        <v/>
      </c>
    </row>
    <row r="177">
      <c r="A177" s="2">
        <f>Cleaned_Data!A177</f>
        <v/>
      </c>
      <c r="B177" s="2">
        <f>Cleaned_Data!B177</f>
        <v/>
      </c>
      <c r="C177" s="2">
        <f>Cleaned_Data!G177</f>
        <v/>
      </c>
      <c r="D177" s="2">
        <f>Cleaned_Data!I177</f>
        <v/>
      </c>
      <c r="E177" s="2">
        <f>Cleaned_Data!H177</f>
        <v/>
      </c>
      <c r="F177" s="2">
        <f>Cleaned_Data!F177</f>
        <v/>
      </c>
      <c r="G177" s="9">
        <f>SUMPRODUCT(($B$2:$B$1196=B177)*($F$2:$F$1196&lt;=F177))/SUMPRODUCT(($B$2:$B$1196=B177)*1)</f>
        <v/>
      </c>
      <c r="H177" s="2">
        <f>Cleaned_Data!J177</f>
        <v/>
      </c>
      <c r="I177" s="2">
        <f>Cleaned_Data!E177</f>
        <v/>
      </c>
      <c r="J177" s="2">
        <f>IF(C177="Yes",1,0)</f>
        <v/>
      </c>
      <c r="K177" s="2">
        <f>MIN(MAX(1-(D177-1)/4,0),1)</f>
        <v/>
      </c>
      <c r="L177" s="2">
        <f>MIN(E177/60,1)</f>
        <v/>
      </c>
      <c r="M177" s="2">
        <f>MIN(MAX(1-G177,0),1)</f>
        <v/>
      </c>
      <c r="N177" s="2">
        <f>MIN(MAX(1-(H177-1)/4,0),1)</f>
        <v/>
      </c>
      <c r="O177" s="2">
        <f>1-MIN(I177/8,1)</f>
        <v/>
      </c>
      <c r="P177" s="10">
        <f>ROUND(100*(J177*Assumptions!$B$6+K177*Assumptions!$B$7+L177*Assumptions!$B$8+M177*Assumptions!$B$9+N177*Assumptions!$B$10+O177*Assumptions!$B$11),1)</f>
        <v/>
      </c>
      <c r="Q177" s="2">
        <f>IF(P177&gt;=Assumptions!$B$14,"High",IF(P177&gt;=Assumptions!$B$15,"Medium","Low"))</f>
        <v/>
      </c>
      <c r="R177" s="2">
        <f>Cleaned_Data!L177</f>
        <v/>
      </c>
    </row>
    <row r="178">
      <c r="A178" s="2">
        <f>Cleaned_Data!A178</f>
        <v/>
      </c>
      <c r="B178" s="2">
        <f>Cleaned_Data!B178</f>
        <v/>
      </c>
      <c r="C178" s="2">
        <f>Cleaned_Data!G178</f>
        <v/>
      </c>
      <c r="D178" s="2">
        <f>Cleaned_Data!I178</f>
        <v/>
      </c>
      <c r="E178" s="2">
        <f>Cleaned_Data!H178</f>
        <v/>
      </c>
      <c r="F178" s="2">
        <f>Cleaned_Data!F178</f>
        <v/>
      </c>
      <c r="G178" s="9">
        <f>SUMPRODUCT(($B$2:$B$1196=B178)*($F$2:$F$1196&lt;=F178))/SUMPRODUCT(($B$2:$B$1196=B178)*1)</f>
        <v/>
      </c>
      <c r="H178" s="2">
        <f>Cleaned_Data!J178</f>
        <v/>
      </c>
      <c r="I178" s="2">
        <f>Cleaned_Data!E178</f>
        <v/>
      </c>
      <c r="J178" s="2">
        <f>IF(C178="Yes",1,0)</f>
        <v/>
      </c>
      <c r="K178" s="2">
        <f>MIN(MAX(1-(D178-1)/4,0),1)</f>
        <v/>
      </c>
      <c r="L178" s="2">
        <f>MIN(E178/60,1)</f>
        <v/>
      </c>
      <c r="M178" s="2">
        <f>MIN(MAX(1-G178,0),1)</f>
        <v/>
      </c>
      <c r="N178" s="2">
        <f>MIN(MAX(1-(H178-1)/4,0),1)</f>
        <v/>
      </c>
      <c r="O178" s="2">
        <f>1-MIN(I178/8,1)</f>
        <v/>
      </c>
      <c r="P178" s="10">
        <f>ROUND(100*(J178*Assumptions!$B$6+K178*Assumptions!$B$7+L178*Assumptions!$B$8+M178*Assumptions!$B$9+N178*Assumptions!$B$10+O178*Assumptions!$B$11),1)</f>
        <v/>
      </c>
      <c r="Q178" s="2">
        <f>IF(P178&gt;=Assumptions!$B$14,"High",IF(P178&gt;=Assumptions!$B$15,"Medium","Low"))</f>
        <v/>
      </c>
      <c r="R178" s="2">
        <f>Cleaned_Data!L178</f>
        <v/>
      </c>
    </row>
    <row r="179">
      <c r="A179" s="2">
        <f>Cleaned_Data!A179</f>
        <v/>
      </c>
      <c r="B179" s="2">
        <f>Cleaned_Data!B179</f>
        <v/>
      </c>
      <c r="C179" s="2">
        <f>Cleaned_Data!G179</f>
        <v/>
      </c>
      <c r="D179" s="2">
        <f>Cleaned_Data!I179</f>
        <v/>
      </c>
      <c r="E179" s="2">
        <f>Cleaned_Data!H179</f>
        <v/>
      </c>
      <c r="F179" s="2">
        <f>Cleaned_Data!F179</f>
        <v/>
      </c>
      <c r="G179" s="9">
        <f>SUMPRODUCT(($B$2:$B$1196=B179)*($F$2:$F$1196&lt;=F179))/SUMPRODUCT(($B$2:$B$1196=B179)*1)</f>
        <v/>
      </c>
      <c r="H179" s="2">
        <f>Cleaned_Data!J179</f>
        <v/>
      </c>
      <c r="I179" s="2">
        <f>Cleaned_Data!E179</f>
        <v/>
      </c>
      <c r="J179" s="2">
        <f>IF(C179="Yes",1,0)</f>
        <v/>
      </c>
      <c r="K179" s="2">
        <f>MIN(MAX(1-(D179-1)/4,0),1)</f>
        <v/>
      </c>
      <c r="L179" s="2">
        <f>MIN(E179/60,1)</f>
        <v/>
      </c>
      <c r="M179" s="2">
        <f>MIN(MAX(1-G179,0),1)</f>
        <v/>
      </c>
      <c r="N179" s="2">
        <f>MIN(MAX(1-(H179-1)/4,0),1)</f>
        <v/>
      </c>
      <c r="O179" s="2">
        <f>1-MIN(I179/8,1)</f>
        <v/>
      </c>
      <c r="P179" s="10">
        <f>ROUND(100*(J179*Assumptions!$B$6+K179*Assumptions!$B$7+L179*Assumptions!$B$8+M179*Assumptions!$B$9+N179*Assumptions!$B$10+O179*Assumptions!$B$11),1)</f>
        <v/>
      </c>
      <c r="Q179" s="2">
        <f>IF(P179&gt;=Assumptions!$B$14,"High",IF(P179&gt;=Assumptions!$B$15,"Medium","Low"))</f>
        <v/>
      </c>
      <c r="R179" s="2">
        <f>Cleaned_Data!L179</f>
        <v/>
      </c>
    </row>
    <row r="180">
      <c r="A180" s="2">
        <f>Cleaned_Data!A180</f>
        <v/>
      </c>
      <c r="B180" s="2">
        <f>Cleaned_Data!B180</f>
        <v/>
      </c>
      <c r="C180" s="2">
        <f>Cleaned_Data!G180</f>
        <v/>
      </c>
      <c r="D180" s="2">
        <f>Cleaned_Data!I180</f>
        <v/>
      </c>
      <c r="E180" s="2">
        <f>Cleaned_Data!H180</f>
        <v/>
      </c>
      <c r="F180" s="2">
        <f>Cleaned_Data!F180</f>
        <v/>
      </c>
      <c r="G180" s="9">
        <f>SUMPRODUCT(($B$2:$B$1196=B180)*($F$2:$F$1196&lt;=F180))/SUMPRODUCT(($B$2:$B$1196=B180)*1)</f>
        <v/>
      </c>
      <c r="H180" s="2">
        <f>Cleaned_Data!J180</f>
        <v/>
      </c>
      <c r="I180" s="2">
        <f>Cleaned_Data!E180</f>
        <v/>
      </c>
      <c r="J180" s="2">
        <f>IF(C180="Yes",1,0)</f>
        <v/>
      </c>
      <c r="K180" s="2">
        <f>MIN(MAX(1-(D180-1)/4,0),1)</f>
        <v/>
      </c>
      <c r="L180" s="2">
        <f>MIN(E180/60,1)</f>
        <v/>
      </c>
      <c r="M180" s="2">
        <f>MIN(MAX(1-G180,0),1)</f>
        <v/>
      </c>
      <c r="N180" s="2">
        <f>MIN(MAX(1-(H180-1)/4,0),1)</f>
        <v/>
      </c>
      <c r="O180" s="2">
        <f>1-MIN(I180/8,1)</f>
        <v/>
      </c>
      <c r="P180" s="10">
        <f>ROUND(100*(J180*Assumptions!$B$6+K180*Assumptions!$B$7+L180*Assumptions!$B$8+M180*Assumptions!$B$9+N180*Assumptions!$B$10+O180*Assumptions!$B$11),1)</f>
        <v/>
      </c>
      <c r="Q180" s="2">
        <f>IF(P180&gt;=Assumptions!$B$14,"High",IF(P180&gt;=Assumptions!$B$15,"Medium","Low"))</f>
        <v/>
      </c>
      <c r="R180" s="2">
        <f>Cleaned_Data!L180</f>
        <v/>
      </c>
    </row>
    <row r="181">
      <c r="A181" s="2">
        <f>Cleaned_Data!A181</f>
        <v/>
      </c>
      <c r="B181" s="2">
        <f>Cleaned_Data!B181</f>
        <v/>
      </c>
      <c r="C181" s="2">
        <f>Cleaned_Data!G181</f>
        <v/>
      </c>
      <c r="D181" s="2">
        <f>Cleaned_Data!I181</f>
        <v/>
      </c>
      <c r="E181" s="2">
        <f>Cleaned_Data!H181</f>
        <v/>
      </c>
      <c r="F181" s="2">
        <f>Cleaned_Data!F181</f>
        <v/>
      </c>
      <c r="G181" s="9">
        <f>SUMPRODUCT(($B$2:$B$1196=B181)*($F$2:$F$1196&lt;=F181))/SUMPRODUCT(($B$2:$B$1196=B181)*1)</f>
        <v/>
      </c>
      <c r="H181" s="2">
        <f>Cleaned_Data!J181</f>
        <v/>
      </c>
      <c r="I181" s="2">
        <f>Cleaned_Data!E181</f>
        <v/>
      </c>
      <c r="J181" s="2">
        <f>IF(C181="Yes",1,0)</f>
        <v/>
      </c>
      <c r="K181" s="2">
        <f>MIN(MAX(1-(D181-1)/4,0),1)</f>
        <v/>
      </c>
      <c r="L181" s="2">
        <f>MIN(E181/60,1)</f>
        <v/>
      </c>
      <c r="M181" s="2">
        <f>MIN(MAX(1-G181,0),1)</f>
        <v/>
      </c>
      <c r="N181" s="2">
        <f>MIN(MAX(1-(H181-1)/4,0),1)</f>
        <v/>
      </c>
      <c r="O181" s="2">
        <f>1-MIN(I181/8,1)</f>
        <v/>
      </c>
      <c r="P181" s="10">
        <f>ROUND(100*(J181*Assumptions!$B$6+K181*Assumptions!$B$7+L181*Assumptions!$B$8+M181*Assumptions!$B$9+N181*Assumptions!$B$10+O181*Assumptions!$B$11),1)</f>
        <v/>
      </c>
      <c r="Q181" s="2">
        <f>IF(P181&gt;=Assumptions!$B$14,"High",IF(P181&gt;=Assumptions!$B$15,"Medium","Low"))</f>
        <v/>
      </c>
      <c r="R181" s="2">
        <f>Cleaned_Data!L181</f>
        <v/>
      </c>
    </row>
    <row r="182">
      <c r="A182" s="2">
        <f>Cleaned_Data!A182</f>
        <v/>
      </c>
      <c r="B182" s="2">
        <f>Cleaned_Data!B182</f>
        <v/>
      </c>
      <c r="C182" s="2">
        <f>Cleaned_Data!G182</f>
        <v/>
      </c>
      <c r="D182" s="2">
        <f>Cleaned_Data!I182</f>
        <v/>
      </c>
      <c r="E182" s="2">
        <f>Cleaned_Data!H182</f>
        <v/>
      </c>
      <c r="F182" s="2">
        <f>Cleaned_Data!F182</f>
        <v/>
      </c>
      <c r="G182" s="9">
        <f>SUMPRODUCT(($B$2:$B$1196=B182)*($F$2:$F$1196&lt;=F182))/SUMPRODUCT(($B$2:$B$1196=B182)*1)</f>
        <v/>
      </c>
      <c r="H182" s="2">
        <f>Cleaned_Data!J182</f>
        <v/>
      </c>
      <c r="I182" s="2">
        <f>Cleaned_Data!E182</f>
        <v/>
      </c>
      <c r="J182" s="2">
        <f>IF(C182="Yes",1,0)</f>
        <v/>
      </c>
      <c r="K182" s="2">
        <f>MIN(MAX(1-(D182-1)/4,0),1)</f>
        <v/>
      </c>
      <c r="L182" s="2">
        <f>MIN(E182/60,1)</f>
        <v/>
      </c>
      <c r="M182" s="2">
        <f>MIN(MAX(1-G182,0),1)</f>
        <v/>
      </c>
      <c r="N182" s="2">
        <f>MIN(MAX(1-(H182-1)/4,0),1)</f>
        <v/>
      </c>
      <c r="O182" s="2">
        <f>1-MIN(I182/8,1)</f>
        <v/>
      </c>
      <c r="P182" s="10">
        <f>ROUND(100*(J182*Assumptions!$B$6+K182*Assumptions!$B$7+L182*Assumptions!$B$8+M182*Assumptions!$B$9+N182*Assumptions!$B$10+O182*Assumptions!$B$11),1)</f>
        <v/>
      </c>
      <c r="Q182" s="2">
        <f>IF(P182&gt;=Assumptions!$B$14,"High",IF(P182&gt;=Assumptions!$B$15,"Medium","Low"))</f>
        <v/>
      </c>
      <c r="R182" s="2">
        <f>Cleaned_Data!L182</f>
        <v/>
      </c>
    </row>
    <row r="183">
      <c r="A183" s="2">
        <f>Cleaned_Data!A183</f>
        <v/>
      </c>
      <c r="B183" s="2">
        <f>Cleaned_Data!B183</f>
        <v/>
      </c>
      <c r="C183" s="2">
        <f>Cleaned_Data!G183</f>
        <v/>
      </c>
      <c r="D183" s="2">
        <f>Cleaned_Data!I183</f>
        <v/>
      </c>
      <c r="E183" s="2">
        <f>Cleaned_Data!H183</f>
        <v/>
      </c>
      <c r="F183" s="2">
        <f>Cleaned_Data!F183</f>
        <v/>
      </c>
      <c r="G183" s="9">
        <f>SUMPRODUCT(($B$2:$B$1196=B183)*($F$2:$F$1196&lt;=F183))/SUMPRODUCT(($B$2:$B$1196=B183)*1)</f>
        <v/>
      </c>
      <c r="H183" s="2">
        <f>Cleaned_Data!J183</f>
        <v/>
      </c>
      <c r="I183" s="2">
        <f>Cleaned_Data!E183</f>
        <v/>
      </c>
      <c r="J183" s="2">
        <f>IF(C183="Yes",1,0)</f>
        <v/>
      </c>
      <c r="K183" s="2">
        <f>MIN(MAX(1-(D183-1)/4,0),1)</f>
        <v/>
      </c>
      <c r="L183" s="2">
        <f>MIN(E183/60,1)</f>
        <v/>
      </c>
      <c r="M183" s="2">
        <f>MIN(MAX(1-G183,0),1)</f>
        <v/>
      </c>
      <c r="N183" s="2">
        <f>MIN(MAX(1-(H183-1)/4,0),1)</f>
        <v/>
      </c>
      <c r="O183" s="2">
        <f>1-MIN(I183/8,1)</f>
        <v/>
      </c>
      <c r="P183" s="10">
        <f>ROUND(100*(J183*Assumptions!$B$6+K183*Assumptions!$B$7+L183*Assumptions!$B$8+M183*Assumptions!$B$9+N183*Assumptions!$B$10+O183*Assumptions!$B$11),1)</f>
        <v/>
      </c>
      <c r="Q183" s="2">
        <f>IF(P183&gt;=Assumptions!$B$14,"High",IF(P183&gt;=Assumptions!$B$15,"Medium","Low"))</f>
        <v/>
      </c>
      <c r="R183" s="2">
        <f>Cleaned_Data!L183</f>
        <v/>
      </c>
    </row>
    <row r="184">
      <c r="A184" s="2">
        <f>Cleaned_Data!A184</f>
        <v/>
      </c>
      <c r="B184" s="2">
        <f>Cleaned_Data!B184</f>
        <v/>
      </c>
      <c r="C184" s="2">
        <f>Cleaned_Data!G184</f>
        <v/>
      </c>
      <c r="D184" s="2">
        <f>Cleaned_Data!I184</f>
        <v/>
      </c>
      <c r="E184" s="2">
        <f>Cleaned_Data!H184</f>
        <v/>
      </c>
      <c r="F184" s="2">
        <f>Cleaned_Data!F184</f>
        <v/>
      </c>
      <c r="G184" s="9">
        <f>SUMPRODUCT(($B$2:$B$1196=B184)*($F$2:$F$1196&lt;=F184))/SUMPRODUCT(($B$2:$B$1196=B184)*1)</f>
        <v/>
      </c>
      <c r="H184" s="2">
        <f>Cleaned_Data!J184</f>
        <v/>
      </c>
      <c r="I184" s="2">
        <f>Cleaned_Data!E184</f>
        <v/>
      </c>
      <c r="J184" s="2">
        <f>IF(C184="Yes",1,0)</f>
        <v/>
      </c>
      <c r="K184" s="2">
        <f>MIN(MAX(1-(D184-1)/4,0),1)</f>
        <v/>
      </c>
      <c r="L184" s="2">
        <f>MIN(E184/60,1)</f>
        <v/>
      </c>
      <c r="M184" s="2">
        <f>MIN(MAX(1-G184,0),1)</f>
        <v/>
      </c>
      <c r="N184" s="2">
        <f>MIN(MAX(1-(H184-1)/4,0),1)</f>
        <v/>
      </c>
      <c r="O184" s="2">
        <f>1-MIN(I184/8,1)</f>
        <v/>
      </c>
      <c r="P184" s="10">
        <f>ROUND(100*(J184*Assumptions!$B$6+K184*Assumptions!$B$7+L184*Assumptions!$B$8+M184*Assumptions!$B$9+N184*Assumptions!$B$10+O184*Assumptions!$B$11),1)</f>
        <v/>
      </c>
      <c r="Q184" s="2">
        <f>IF(P184&gt;=Assumptions!$B$14,"High",IF(P184&gt;=Assumptions!$B$15,"Medium","Low"))</f>
        <v/>
      </c>
      <c r="R184" s="2">
        <f>Cleaned_Data!L184</f>
        <v/>
      </c>
    </row>
    <row r="185">
      <c r="A185" s="2">
        <f>Cleaned_Data!A185</f>
        <v/>
      </c>
      <c r="B185" s="2">
        <f>Cleaned_Data!B185</f>
        <v/>
      </c>
      <c r="C185" s="2">
        <f>Cleaned_Data!G185</f>
        <v/>
      </c>
      <c r="D185" s="2">
        <f>Cleaned_Data!I185</f>
        <v/>
      </c>
      <c r="E185" s="2">
        <f>Cleaned_Data!H185</f>
        <v/>
      </c>
      <c r="F185" s="2">
        <f>Cleaned_Data!F185</f>
        <v/>
      </c>
      <c r="G185" s="9">
        <f>SUMPRODUCT(($B$2:$B$1196=B185)*($F$2:$F$1196&lt;=F185))/SUMPRODUCT(($B$2:$B$1196=B185)*1)</f>
        <v/>
      </c>
      <c r="H185" s="2">
        <f>Cleaned_Data!J185</f>
        <v/>
      </c>
      <c r="I185" s="2">
        <f>Cleaned_Data!E185</f>
        <v/>
      </c>
      <c r="J185" s="2">
        <f>IF(C185="Yes",1,0)</f>
        <v/>
      </c>
      <c r="K185" s="2">
        <f>MIN(MAX(1-(D185-1)/4,0),1)</f>
        <v/>
      </c>
      <c r="L185" s="2">
        <f>MIN(E185/60,1)</f>
        <v/>
      </c>
      <c r="M185" s="2">
        <f>MIN(MAX(1-G185,0),1)</f>
        <v/>
      </c>
      <c r="N185" s="2">
        <f>MIN(MAX(1-(H185-1)/4,0),1)</f>
        <v/>
      </c>
      <c r="O185" s="2">
        <f>1-MIN(I185/8,1)</f>
        <v/>
      </c>
      <c r="P185" s="10">
        <f>ROUND(100*(J185*Assumptions!$B$6+K185*Assumptions!$B$7+L185*Assumptions!$B$8+M185*Assumptions!$B$9+N185*Assumptions!$B$10+O185*Assumptions!$B$11),1)</f>
        <v/>
      </c>
      <c r="Q185" s="2">
        <f>IF(P185&gt;=Assumptions!$B$14,"High",IF(P185&gt;=Assumptions!$B$15,"Medium","Low"))</f>
        <v/>
      </c>
      <c r="R185" s="2">
        <f>Cleaned_Data!L185</f>
        <v/>
      </c>
    </row>
    <row r="186">
      <c r="A186" s="2">
        <f>Cleaned_Data!A186</f>
        <v/>
      </c>
      <c r="B186" s="2">
        <f>Cleaned_Data!B186</f>
        <v/>
      </c>
      <c r="C186" s="2">
        <f>Cleaned_Data!G186</f>
        <v/>
      </c>
      <c r="D186" s="2">
        <f>Cleaned_Data!I186</f>
        <v/>
      </c>
      <c r="E186" s="2">
        <f>Cleaned_Data!H186</f>
        <v/>
      </c>
      <c r="F186" s="2">
        <f>Cleaned_Data!F186</f>
        <v/>
      </c>
      <c r="G186" s="9">
        <f>SUMPRODUCT(($B$2:$B$1196=B186)*($F$2:$F$1196&lt;=F186))/SUMPRODUCT(($B$2:$B$1196=B186)*1)</f>
        <v/>
      </c>
      <c r="H186" s="2">
        <f>Cleaned_Data!J186</f>
        <v/>
      </c>
      <c r="I186" s="2">
        <f>Cleaned_Data!E186</f>
        <v/>
      </c>
      <c r="J186" s="2">
        <f>IF(C186="Yes",1,0)</f>
        <v/>
      </c>
      <c r="K186" s="2">
        <f>MIN(MAX(1-(D186-1)/4,0),1)</f>
        <v/>
      </c>
      <c r="L186" s="2">
        <f>MIN(E186/60,1)</f>
        <v/>
      </c>
      <c r="M186" s="2">
        <f>MIN(MAX(1-G186,0),1)</f>
        <v/>
      </c>
      <c r="N186" s="2">
        <f>MIN(MAX(1-(H186-1)/4,0),1)</f>
        <v/>
      </c>
      <c r="O186" s="2">
        <f>1-MIN(I186/8,1)</f>
        <v/>
      </c>
      <c r="P186" s="10">
        <f>ROUND(100*(J186*Assumptions!$B$6+K186*Assumptions!$B$7+L186*Assumptions!$B$8+M186*Assumptions!$B$9+N186*Assumptions!$B$10+O186*Assumptions!$B$11),1)</f>
        <v/>
      </c>
      <c r="Q186" s="2">
        <f>IF(P186&gt;=Assumptions!$B$14,"High",IF(P186&gt;=Assumptions!$B$15,"Medium","Low"))</f>
        <v/>
      </c>
      <c r="R186" s="2">
        <f>Cleaned_Data!L186</f>
        <v/>
      </c>
    </row>
    <row r="187">
      <c r="A187" s="2">
        <f>Cleaned_Data!A187</f>
        <v/>
      </c>
      <c r="B187" s="2">
        <f>Cleaned_Data!B187</f>
        <v/>
      </c>
      <c r="C187" s="2">
        <f>Cleaned_Data!G187</f>
        <v/>
      </c>
      <c r="D187" s="2">
        <f>Cleaned_Data!I187</f>
        <v/>
      </c>
      <c r="E187" s="2">
        <f>Cleaned_Data!H187</f>
        <v/>
      </c>
      <c r="F187" s="2">
        <f>Cleaned_Data!F187</f>
        <v/>
      </c>
      <c r="G187" s="9">
        <f>SUMPRODUCT(($B$2:$B$1196=B187)*($F$2:$F$1196&lt;=F187))/SUMPRODUCT(($B$2:$B$1196=B187)*1)</f>
        <v/>
      </c>
      <c r="H187" s="2">
        <f>Cleaned_Data!J187</f>
        <v/>
      </c>
      <c r="I187" s="2">
        <f>Cleaned_Data!E187</f>
        <v/>
      </c>
      <c r="J187" s="2">
        <f>IF(C187="Yes",1,0)</f>
        <v/>
      </c>
      <c r="K187" s="2">
        <f>MIN(MAX(1-(D187-1)/4,0),1)</f>
        <v/>
      </c>
      <c r="L187" s="2">
        <f>MIN(E187/60,1)</f>
        <v/>
      </c>
      <c r="M187" s="2">
        <f>MIN(MAX(1-G187,0),1)</f>
        <v/>
      </c>
      <c r="N187" s="2">
        <f>MIN(MAX(1-(H187-1)/4,0),1)</f>
        <v/>
      </c>
      <c r="O187" s="2">
        <f>1-MIN(I187/8,1)</f>
        <v/>
      </c>
      <c r="P187" s="10">
        <f>ROUND(100*(J187*Assumptions!$B$6+K187*Assumptions!$B$7+L187*Assumptions!$B$8+M187*Assumptions!$B$9+N187*Assumptions!$B$10+O187*Assumptions!$B$11),1)</f>
        <v/>
      </c>
      <c r="Q187" s="2">
        <f>IF(P187&gt;=Assumptions!$B$14,"High",IF(P187&gt;=Assumptions!$B$15,"Medium","Low"))</f>
        <v/>
      </c>
      <c r="R187" s="2">
        <f>Cleaned_Data!L187</f>
        <v/>
      </c>
    </row>
    <row r="188">
      <c r="A188" s="2">
        <f>Cleaned_Data!A188</f>
        <v/>
      </c>
      <c r="B188" s="2">
        <f>Cleaned_Data!B188</f>
        <v/>
      </c>
      <c r="C188" s="2">
        <f>Cleaned_Data!G188</f>
        <v/>
      </c>
      <c r="D188" s="2">
        <f>Cleaned_Data!I188</f>
        <v/>
      </c>
      <c r="E188" s="2">
        <f>Cleaned_Data!H188</f>
        <v/>
      </c>
      <c r="F188" s="2">
        <f>Cleaned_Data!F188</f>
        <v/>
      </c>
      <c r="G188" s="9">
        <f>SUMPRODUCT(($B$2:$B$1196=B188)*($F$2:$F$1196&lt;=F188))/SUMPRODUCT(($B$2:$B$1196=B188)*1)</f>
        <v/>
      </c>
      <c r="H188" s="2">
        <f>Cleaned_Data!J188</f>
        <v/>
      </c>
      <c r="I188" s="2">
        <f>Cleaned_Data!E188</f>
        <v/>
      </c>
      <c r="J188" s="2">
        <f>IF(C188="Yes",1,0)</f>
        <v/>
      </c>
      <c r="K188" s="2">
        <f>MIN(MAX(1-(D188-1)/4,0),1)</f>
        <v/>
      </c>
      <c r="L188" s="2">
        <f>MIN(E188/60,1)</f>
        <v/>
      </c>
      <c r="M188" s="2">
        <f>MIN(MAX(1-G188,0),1)</f>
        <v/>
      </c>
      <c r="N188" s="2">
        <f>MIN(MAX(1-(H188-1)/4,0),1)</f>
        <v/>
      </c>
      <c r="O188" s="2">
        <f>1-MIN(I188/8,1)</f>
        <v/>
      </c>
      <c r="P188" s="10">
        <f>ROUND(100*(J188*Assumptions!$B$6+K188*Assumptions!$B$7+L188*Assumptions!$B$8+M188*Assumptions!$B$9+N188*Assumptions!$B$10+O188*Assumptions!$B$11),1)</f>
        <v/>
      </c>
      <c r="Q188" s="2">
        <f>IF(P188&gt;=Assumptions!$B$14,"High",IF(P188&gt;=Assumptions!$B$15,"Medium","Low"))</f>
        <v/>
      </c>
      <c r="R188" s="2">
        <f>Cleaned_Data!L188</f>
        <v/>
      </c>
    </row>
    <row r="189">
      <c r="A189" s="2">
        <f>Cleaned_Data!A189</f>
        <v/>
      </c>
      <c r="B189" s="2">
        <f>Cleaned_Data!B189</f>
        <v/>
      </c>
      <c r="C189" s="2">
        <f>Cleaned_Data!G189</f>
        <v/>
      </c>
      <c r="D189" s="2">
        <f>Cleaned_Data!I189</f>
        <v/>
      </c>
      <c r="E189" s="2">
        <f>Cleaned_Data!H189</f>
        <v/>
      </c>
      <c r="F189" s="2">
        <f>Cleaned_Data!F189</f>
        <v/>
      </c>
      <c r="G189" s="9">
        <f>SUMPRODUCT(($B$2:$B$1196=B189)*($F$2:$F$1196&lt;=F189))/SUMPRODUCT(($B$2:$B$1196=B189)*1)</f>
        <v/>
      </c>
      <c r="H189" s="2">
        <f>Cleaned_Data!J189</f>
        <v/>
      </c>
      <c r="I189" s="2">
        <f>Cleaned_Data!E189</f>
        <v/>
      </c>
      <c r="J189" s="2">
        <f>IF(C189="Yes",1,0)</f>
        <v/>
      </c>
      <c r="K189" s="2">
        <f>MIN(MAX(1-(D189-1)/4,0),1)</f>
        <v/>
      </c>
      <c r="L189" s="2">
        <f>MIN(E189/60,1)</f>
        <v/>
      </c>
      <c r="M189" s="2">
        <f>MIN(MAX(1-G189,0),1)</f>
        <v/>
      </c>
      <c r="N189" s="2">
        <f>MIN(MAX(1-(H189-1)/4,0),1)</f>
        <v/>
      </c>
      <c r="O189" s="2">
        <f>1-MIN(I189/8,1)</f>
        <v/>
      </c>
      <c r="P189" s="10">
        <f>ROUND(100*(J189*Assumptions!$B$6+K189*Assumptions!$B$7+L189*Assumptions!$B$8+M189*Assumptions!$B$9+N189*Assumptions!$B$10+O189*Assumptions!$B$11),1)</f>
        <v/>
      </c>
      <c r="Q189" s="2">
        <f>IF(P189&gt;=Assumptions!$B$14,"High",IF(P189&gt;=Assumptions!$B$15,"Medium","Low"))</f>
        <v/>
      </c>
      <c r="R189" s="2">
        <f>Cleaned_Data!L189</f>
        <v/>
      </c>
    </row>
    <row r="190">
      <c r="A190" s="2">
        <f>Cleaned_Data!A190</f>
        <v/>
      </c>
      <c r="B190" s="2">
        <f>Cleaned_Data!B190</f>
        <v/>
      </c>
      <c r="C190" s="2">
        <f>Cleaned_Data!G190</f>
        <v/>
      </c>
      <c r="D190" s="2">
        <f>Cleaned_Data!I190</f>
        <v/>
      </c>
      <c r="E190" s="2">
        <f>Cleaned_Data!H190</f>
        <v/>
      </c>
      <c r="F190" s="2">
        <f>Cleaned_Data!F190</f>
        <v/>
      </c>
      <c r="G190" s="9">
        <f>SUMPRODUCT(($B$2:$B$1196=B190)*($F$2:$F$1196&lt;=F190))/SUMPRODUCT(($B$2:$B$1196=B190)*1)</f>
        <v/>
      </c>
      <c r="H190" s="2">
        <f>Cleaned_Data!J190</f>
        <v/>
      </c>
      <c r="I190" s="2">
        <f>Cleaned_Data!E190</f>
        <v/>
      </c>
      <c r="J190" s="2">
        <f>IF(C190="Yes",1,0)</f>
        <v/>
      </c>
      <c r="K190" s="2">
        <f>MIN(MAX(1-(D190-1)/4,0),1)</f>
        <v/>
      </c>
      <c r="L190" s="2">
        <f>MIN(E190/60,1)</f>
        <v/>
      </c>
      <c r="M190" s="2">
        <f>MIN(MAX(1-G190,0),1)</f>
        <v/>
      </c>
      <c r="N190" s="2">
        <f>MIN(MAX(1-(H190-1)/4,0),1)</f>
        <v/>
      </c>
      <c r="O190" s="2">
        <f>1-MIN(I190/8,1)</f>
        <v/>
      </c>
      <c r="P190" s="10">
        <f>ROUND(100*(J190*Assumptions!$B$6+K190*Assumptions!$B$7+L190*Assumptions!$B$8+M190*Assumptions!$B$9+N190*Assumptions!$B$10+O190*Assumptions!$B$11),1)</f>
        <v/>
      </c>
      <c r="Q190" s="2">
        <f>IF(P190&gt;=Assumptions!$B$14,"High",IF(P190&gt;=Assumptions!$B$15,"Medium","Low"))</f>
        <v/>
      </c>
      <c r="R190" s="2">
        <f>Cleaned_Data!L190</f>
        <v/>
      </c>
    </row>
    <row r="191">
      <c r="A191" s="2">
        <f>Cleaned_Data!A191</f>
        <v/>
      </c>
      <c r="B191" s="2">
        <f>Cleaned_Data!B191</f>
        <v/>
      </c>
      <c r="C191" s="2">
        <f>Cleaned_Data!G191</f>
        <v/>
      </c>
      <c r="D191" s="2">
        <f>Cleaned_Data!I191</f>
        <v/>
      </c>
      <c r="E191" s="2">
        <f>Cleaned_Data!H191</f>
        <v/>
      </c>
      <c r="F191" s="2">
        <f>Cleaned_Data!F191</f>
        <v/>
      </c>
      <c r="G191" s="9">
        <f>SUMPRODUCT(($B$2:$B$1196=B191)*($F$2:$F$1196&lt;=F191))/SUMPRODUCT(($B$2:$B$1196=B191)*1)</f>
        <v/>
      </c>
      <c r="H191" s="2">
        <f>Cleaned_Data!J191</f>
        <v/>
      </c>
      <c r="I191" s="2">
        <f>Cleaned_Data!E191</f>
        <v/>
      </c>
      <c r="J191" s="2">
        <f>IF(C191="Yes",1,0)</f>
        <v/>
      </c>
      <c r="K191" s="2">
        <f>MIN(MAX(1-(D191-1)/4,0),1)</f>
        <v/>
      </c>
      <c r="L191" s="2">
        <f>MIN(E191/60,1)</f>
        <v/>
      </c>
      <c r="M191" s="2">
        <f>MIN(MAX(1-G191,0),1)</f>
        <v/>
      </c>
      <c r="N191" s="2">
        <f>MIN(MAX(1-(H191-1)/4,0),1)</f>
        <v/>
      </c>
      <c r="O191" s="2">
        <f>1-MIN(I191/8,1)</f>
        <v/>
      </c>
      <c r="P191" s="10">
        <f>ROUND(100*(J191*Assumptions!$B$6+K191*Assumptions!$B$7+L191*Assumptions!$B$8+M191*Assumptions!$B$9+N191*Assumptions!$B$10+O191*Assumptions!$B$11),1)</f>
        <v/>
      </c>
      <c r="Q191" s="2">
        <f>IF(P191&gt;=Assumptions!$B$14,"High",IF(P191&gt;=Assumptions!$B$15,"Medium","Low"))</f>
        <v/>
      </c>
      <c r="R191" s="2">
        <f>Cleaned_Data!L191</f>
        <v/>
      </c>
    </row>
    <row r="192">
      <c r="A192" s="2">
        <f>Cleaned_Data!A192</f>
        <v/>
      </c>
      <c r="B192" s="2">
        <f>Cleaned_Data!B192</f>
        <v/>
      </c>
      <c r="C192" s="2">
        <f>Cleaned_Data!G192</f>
        <v/>
      </c>
      <c r="D192" s="2">
        <f>Cleaned_Data!I192</f>
        <v/>
      </c>
      <c r="E192" s="2">
        <f>Cleaned_Data!H192</f>
        <v/>
      </c>
      <c r="F192" s="2">
        <f>Cleaned_Data!F192</f>
        <v/>
      </c>
      <c r="G192" s="9">
        <f>SUMPRODUCT(($B$2:$B$1196=B192)*($F$2:$F$1196&lt;=F192))/SUMPRODUCT(($B$2:$B$1196=B192)*1)</f>
        <v/>
      </c>
      <c r="H192" s="2">
        <f>Cleaned_Data!J192</f>
        <v/>
      </c>
      <c r="I192" s="2">
        <f>Cleaned_Data!E192</f>
        <v/>
      </c>
      <c r="J192" s="2">
        <f>IF(C192="Yes",1,0)</f>
        <v/>
      </c>
      <c r="K192" s="2">
        <f>MIN(MAX(1-(D192-1)/4,0),1)</f>
        <v/>
      </c>
      <c r="L192" s="2">
        <f>MIN(E192/60,1)</f>
        <v/>
      </c>
      <c r="M192" s="2">
        <f>MIN(MAX(1-G192,0),1)</f>
        <v/>
      </c>
      <c r="N192" s="2">
        <f>MIN(MAX(1-(H192-1)/4,0),1)</f>
        <v/>
      </c>
      <c r="O192" s="2">
        <f>1-MIN(I192/8,1)</f>
        <v/>
      </c>
      <c r="P192" s="10">
        <f>ROUND(100*(J192*Assumptions!$B$6+K192*Assumptions!$B$7+L192*Assumptions!$B$8+M192*Assumptions!$B$9+N192*Assumptions!$B$10+O192*Assumptions!$B$11),1)</f>
        <v/>
      </c>
      <c r="Q192" s="2">
        <f>IF(P192&gt;=Assumptions!$B$14,"High",IF(P192&gt;=Assumptions!$B$15,"Medium","Low"))</f>
        <v/>
      </c>
      <c r="R192" s="2">
        <f>Cleaned_Data!L192</f>
        <v/>
      </c>
    </row>
    <row r="193">
      <c r="A193" s="2">
        <f>Cleaned_Data!A193</f>
        <v/>
      </c>
      <c r="B193" s="2">
        <f>Cleaned_Data!B193</f>
        <v/>
      </c>
      <c r="C193" s="2">
        <f>Cleaned_Data!G193</f>
        <v/>
      </c>
      <c r="D193" s="2">
        <f>Cleaned_Data!I193</f>
        <v/>
      </c>
      <c r="E193" s="2">
        <f>Cleaned_Data!H193</f>
        <v/>
      </c>
      <c r="F193" s="2">
        <f>Cleaned_Data!F193</f>
        <v/>
      </c>
      <c r="G193" s="9">
        <f>SUMPRODUCT(($B$2:$B$1196=B193)*($F$2:$F$1196&lt;=F193))/SUMPRODUCT(($B$2:$B$1196=B193)*1)</f>
        <v/>
      </c>
      <c r="H193" s="2">
        <f>Cleaned_Data!J193</f>
        <v/>
      </c>
      <c r="I193" s="2">
        <f>Cleaned_Data!E193</f>
        <v/>
      </c>
      <c r="J193" s="2">
        <f>IF(C193="Yes",1,0)</f>
        <v/>
      </c>
      <c r="K193" s="2">
        <f>MIN(MAX(1-(D193-1)/4,0),1)</f>
        <v/>
      </c>
      <c r="L193" s="2">
        <f>MIN(E193/60,1)</f>
        <v/>
      </c>
      <c r="M193" s="2">
        <f>MIN(MAX(1-G193,0),1)</f>
        <v/>
      </c>
      <c r="N193" s="2">
        <f>MIN(MAX(1-(H193-1)/4,0),1)</f>
        <v/>
      </c>
      <c r="O193" s="2">
        <f>1-MIN(I193/8,1)</f>
        <v/>
      </c>
      <c r="P193" s="10">
        <f>ROUND(100*(J193*Assumptions!$B$6+K193*Assumptions!$B$7+L193*Assumptions!$B$8+M193*Assumptions!$B$9+N193*Assumptions!$B$10+O193*Assumptions!$B$11),1)</f>
        <v/>
      </c>
      <c r="Q193" s="2">
        <f>IF(P193&gt;=Assumptions!$B$14,"High",IF(P193&gt;=Assumptions!$B$15,"Medium","Low"))</f>
        <v/>
      </c>
      <c r="R193" s="2">
        <f>Cleaned_Data!L193</f>
        <v/>
      </c>
    </row>
    <row r="194">
      <c r="A194" s="2">
        <f>Cleaned_Data!A194</f>
        <v/>
      </c>
      <c r="B194" s="2">
        <f>Cleaned_Data!B194</f>
        <v/>
      </c>
      <c r="C194" s="2">
        <f>Cleaned_Data!G194</f>
        <v/>
      </c>
      <c r="D194" s="2">
        <f>Cleaned_Data!I194</f>
        <v/>
      </c>
      <c r="E194" s="2">
        <f>Cleaned_Data!H194</f>
        <v/>
      </c>
      <c r="F194" s="2">
        <f>Cleaned_Data!F194</f>
        <v/>
      </c>
      <c r="G194" s="9">
        <f>SUMPRODUCT(($B$2:$B$1196=B194)*($F$2:$F$1196&lt;=F194))/SUMPRODUCT(($B$2:$B$1196=B194)*1)</f>
        <v/>
      </c>
      <c r="H194" s="2">
        <f>Cleaned_Data!J194</f>
        <v/>
      </c>
      <c r="I194" s="2">
        <f>Cleaned_Data!E194</f>
        <v/>
      </c>
      <c r="J194" s="2">
        <f>IF(C194="Yes",1,0)</f>
        <v/>
      </c>
      <c r="K194" s="2">
        <f>MIN(MAX(1-(D194-1)/4,0),1)</f>
        <v/>
      </c>
      <c r="L194" s="2">
        <f>MIN(E194/60,1)</f>
        <v/>
      </c>
      <c r="M194" s="2">
        <f>MIN(MAX(1-G194,0),1)</f>
        <v/>
      </c>
      <c r="N194" s="2">
        <f>MIN(MAX(1-(H194-1)/4,0),1)</f>
        <v/>
      </c>
      <c r="O194" s="2">
        <f>1-MIN(I194/8,1)</f>
        <v/>
      </c>
      <c r="P194" s="10">
        <f>ROUND(100*(J194*Assumptions!$B$6+K194*Assumptions!$B$7+L194*Assumptions!$B$8+M194*Assumptions!$B$9+N194*Assumptions!$B$10+O194*Assumptions!$B$11),1)</f>
        <v/>
      </c>
      <c r="Q194" s="2">
        <f>IF(P194&gt;=Assumptions!$B$14,"High",IF(P194&gt;=Assumptions!$B$15,"Medium","Low"))</f>
        <v/>
      </c>
      <c r="R194" s="2">
        <f>Cleaned_Data!L194</f>
        <v/>
      </c>
    </row>
    <row r="195">
      <c r="A195" s="2">
        <f>Cleaned_Data!A195</f>
        <v/>
      </c>
      <c r="B195" s="2">
        <f>Cleaned_Data!B195</f>
        <v/>
      </c>
      <c r="C195" s="2">
        <f>Cleaned_Data!G195</f>
        <v/>
      </c>
      <c r="D195" s="2">
        <f>Cleaned_Data!I195</f>
        <v/>
      </c>
      <c r="E195" s="2">
        <f>Cleaned_Data!H195</f>
        <v/>
      </c>
      <c r="F195" s="2">
        <f>Cleaned_Data!F195</f>
        <v/>
      </c>
      <c r="G195" s="9">
        <f>SUMPRODUCT(($B$2:$B$1196=B195)*($F$2:$F$1196&lt;=F195))/SUMPRODUCT(($B$2:$B$1196=B195)*1)</f>
        <v/>
      </c>
      <c r="H195" s="2">
        <f>Cleaned_Data!J195</f>
        <v/>
      </c>
      <c r="I195" s="2">
        <f>Cleaned_Data!E195</f>
        <v/>
      </c>
      <c r="J195" s="2">
        <f>IF(C195="Yes",1,0)</f>
        <v/>
      </c>
      <c r="K195" s="2">
        <f>MIN(MAX(1-(D195-1)/4,0),1)</f>
        <v/>
      </c>
      <c r="L195" s="2">
        <f>MIN(E195/60,1)</f>
        <v/>
      </c>
      <c r="M195" s="2">
        <f>MIN(MAX(1-G195,0),1)</f>
        <v/>
      </c>
      <c r="N195" s="2">
        <f>MIN(MAX(1-(H195-1)/4,0),1)</f>
        <v/>
      </c>
      <c r="O195" s="2">
        <f>1-MIN(I195/8,1)</f>
        <v/>
      </c>
      <c r="P195" s="10">
        <f>ROUND(100*(J195*Assumptions!$B$6+K195*Assumptions!$B$7+L195*Assumptions!$B$8+M195*Assumptions!$B$9+N195*Assumptions!$B$10+O195*Assumptions!$B$11),1)</f>
        <v/>
      </c>
      <c r="Q195" s="2">
        <f>IF(P195&gt;=Assumptions!$B$14,"High",IF(P195&gt;=Assumptions!$B$15,"Medium","Low"))</f>
        <v/>
      </c>
      <c r="R195" s="2">
        <f>Cleaned_Data!L195</f>
        <v/>
      </c>
    </row>
    <row r="196">
      <c r="A196" s="2">
        <f>Cleaned_Data!A196</f>
        <v/>
      </c>
      <c r="B196" s="2">
        <f>Cleaned_Data!B196</f>
        <v/>
      </c>
      <c r="C196" s="2">
        <f>Cleaned_Data!G196</f>
        <v/>
      </c>
      <c r="D196" s="2">
        <f>Cleaned_Data!I196</f>
        <v/>
      </c>
      <c r="E196" s="2">
        <f>Cleaned_Data!H196</f>
        <v/>
      </c>
      <c r="F196" s="2">
        <f>Cleaned_Data!F196</f>
        <v/>
      </c>
      <c r="G196" s="9">
        <f>SUMPRODUCT(($B$2:$B$1196=B196)*($F$2:$F$1196&lt;=F196))/SUMPRODUCT(($B$2:$B$1196=B196)*1)</f>
        <v/>
      </c>
      <c r="H196" s="2">
        <f>Cleaned_Data!J196</f>
        <v/>
      </c>
      <c r="I196" s="2">
        <f>Cleaned_Data!E196</f>
        <v/>
      </c>
      <c r="J196" s="2">
        <f>IF(C196="Yes",1,0)</f>
        <v/>
      </c>
      <c r="K196" s="2">
        <f>MIN(MAX(1-(D196-1)/4,0),1)</f>
        <v/>
      </c>
      <c r="L196" s="2">
        <f>MIN(E196/60,1)</f>
        <v/>
      </c>
      <c r="M196" s="2">
        <f>MIN(MAX(1-G196,0),1)</f>
        <v/>
      </c>
      <c r="N196" s="2">
        <f>MIN(MAX(1-(H196-1)/4,0),1)</f>
        <v/>
      </c>
      <c r="O196" s="2">
        <f>1-MIN(I196/8,1)</f>
        <v/>
      </c>
      <c r="P196" s="10">
        <f>ROUND(100*(J196*Assumptions!$B$6+K196*Assumptions!$B$7+L196*Assumptions!$B$8+M196*Assumptions!$B$9+N196*Assumptions!$B$10+O196*Assumptions!$B$11),1)</f>
        <v/>
      </c>
      <c r="Q196" s="2">
        <f>IF(P196&gt;=Assumptions!$B$14,"High",IF(P196&gt;=Assumptions!$B$15,"Medium","Low"))</f>
        <v/>
      </c>
      <c r="R196" s="2">
        <f>Cleaned_Data!L196</f>
        <v/>
      </c>
    </row>
    <row r="197">
      <c r="A197" s="2">
        <f>Cleaned_Data!A197</f>
        <v/>
      </c>
      <c r="B197" s="2">
        <f>Cleaned_Data!B197</f>
        <v/>
      </c>
      <c r="C197" s="2">
        <f>Cleaned_Data!G197</f>
        <v/>
      </c>
      <c r="D197" s="2">
        <f>Cleaned_Data!I197</f>
        <v/>
      </c>
      <c r="E197" s="2">
        <f>Cleaned_Data!H197</f>
        <v/>
      </c>
      <c r="F197" s="2">
        <f>Cleaned_Data!F197</f>
        <v/>
      </c>
      <c r="G197" s="9">
        <f>SUMPRODUCT(($B$2:$B$1196=B197)*($F$2:$F$1196&lt;=F197))/SUMPRODUCT(($B$2:$B$1196=B197)*1)</f>
        <v/>
      </c>
      <c r="H197" s="2">
        <f>Cleaned_Data!J197</f>
        <v/>
      </c>
      <c r="I197" s="2">
        <f>Cleaned_Data!E197</f>
        <v/>
      </c>
      <c r="J197" s="2">
        <f>IF(C197="Yes",1,0)</f>
        <v/>
      </c>
      <c r="K197" s="2">
        <f>MIN(MAX(1-(D197-1)/4,0),1)</f>
        <v/>
      </c>
      <c r="L197" s="2">
        <f>MIN(E197/60,1)</f>
        <v/>
      </c>
      <c r="M197" s="2">
        <f>MIN(MAX(1-G197,0),1)</f>
        <v/>
      </c>
      <c r="N197" s="2">
        <f>MIN(MAX(1-(H197-1)/4,0),1)</f>
        <v/>
      </c>
      <c r="O197" s="2">
        <f>1-MIN(I197/8,1)</f>
        <v/>
      </c>
      <c r="P197" s="10">
        <f>ROUND(100*(J197*Assumptions!$B$6+K197*Assumptions!$B$7+L197*Assumptions!$B$8+M197*Assumptions!$B$9+N197*Assumptions!$B$10+O197*Assumptions!$B$11),1)</f>
        <v/>
      </c>
      <c r="Q197" s="2">
        <f>IF(P197&gt;=Assumptions!$B$14,"High",IF(P197&gt;=Assumptions!$B$15,"Medium","Low"))</f>
        <v/>
      </c>
      <c r="R197" s="2">
        <f>Cleaned_Data!L197</f>
        <v/>
      </c>
    </row>
    <row r="198">
      <c r="A198" s="2">
        <f>Cleaned_Data!A198</f>
        <v/>
      </c>
      <c r="B198" s="2">
        <f>Cleaned_Data!B198</f>
        <v/>
      </c>
      <c r="C198" s="2">
        <f>Cleaned_Data!G198</f>
        <v/>
      </c>
      <c r="D198" s="2">
        <f>Cleaned_Data!I198</f>
        <v/>
      </c>
      <c r="E198" s="2">
        <f>Cleaned_Data!H198</f>
        <v/>
      </c>
      <c r="F198" s="2">
        <f>Cleaned_Data!F198</f>
        <v/>
      </c>
      <c r="G198" s="9">
        <f>SUMPRODUCT(($B$2:$B$1196=B198)*($F$2:$F$1196&lt;=F198))/SUMPRODUCT(($B$2:$B$1196=B198)*1)</f>
        <v/>
      </c>
      <c r="H198" s="2">
        <f>Cleaned_Data!J198</f>
        <v/>
      </c>
      <c r="I198" s="2">
        <f>Cleaned_Data!E198</f>
        <v/>
      </c>
      <c r="J198" s="2">
        <f>IF(C198="Yes",1,0)</f>
        <v/>
      </c>
      <c r="K198" s="2">
        <f>MIN(MAX(1-(D198-1)/4,0),1)</f>
        <v/>
      </c>
      <c r="L198" s="2">
        <f>MIN(E198/60,1)</f>
        <v/>
      </c>
      <c r="M198" s="2">
        <f>MIN(MAX(1-G198,0),1)</f>
        <v/>
      </c>
      <c r="N198" s="2">
        <f>MIN(MAX(1-(H198-1)/4,0),1)</f>
        <v/>
      </c>
      <c r="O198" s="2">
        <f>1-MIN(I198/8,1)</f>
        <v/>
      </c>
      <c r="P198" s="10">
        <f>ROUND(100*(J198*Assumptions!$B$6+K198*Assumptions!$B$7+L198*Assumptions!$B$8+M198*Assumptions!$B$9+N198*Assumptions!$B$10+O198*Assumptions!$B$11),1)</f>
        <v/>
      </c>
      <c r="Q198" s="2">
        <f>IF(P198&gt;=Assumptions!$B$14,"High",IF(P198&gt;=Assumptions!$B$15,"Medium","Low"))</f>
        <v/>
      </c>
      <c r="R198" s="2">
        <f>Cleaned_Data!L198</f>
        <v/>
      </c>
    </row>
    <row r="199">
      <c r="A199" s="2">
        <f>Cleaned_Data!A199</f>
        <v/>
      </c>
      <c r="B199" s="2">
        <f>Cleaned_Data!B199</f>
        <v/>
      </c>
      <c r="C199" s="2">
        <f>Cleaned_Data!G199</f>
        <v/>
      </c>
      <c r="D199" s="2">
        <f>Cleaned_Data!I199</f>
        <v/>
      </c>
      <c r="E199" s="2">
        <f>Cleaned_Data!H199</f>
        <v/>
      </c>
      <c r="F199" s="2">
        <f>Cleaned_Data!F199</f>
        <v/>
      </c>
      <c r="G199" s="9">
        <f>SUMPRODUCT(($B$2:$B$1196=B199)*($F$2:$F$1196&lt;=F199))/SUMPRODUCT(($B$2:$B$1196=B199)*1)</f>
        <v/>
      </c>
      <c r="H199" s="2">
        <f>Cleaned_Data!J199</f>
        <v/>
      </c>
      <c r="I199" s="2">
        <f>Cleaned_Data!E199</f>
        <v/>
      </c>
      <c r="J199" s="2">
        <f>IF(C199="Yes",1,0)</f>
        <v/>
      </c>
      <c r="K199" s="2">
        <f>MIN(MAX(1-(D199-1)/4,0),1)</f>
        <v/>
      </c>
      <c r="L199" s="2">
        <f>MIN(E199/60,1)</f>
        <v/>
      </c>
      <c r="M199" s="2">
        <f>MIN(MAX(1-G199,0),1)</f>
        <v/>
      </c>
      <c r="N199" s="2">
        <f>MIN(MAX(1-(H199-1)/4,0),1)</f>
        <v/>
      </c>
      <c r="O199" s="2">
        <f>1-MIN(I199/8,1)</f>
        <v/>
      </c>
      <c r="P199" s="10">
        <f>ROUND(100*(J199*Assumptions!$B$6+K199*Assumptions!$B$7+L199*Assumptions!$B$8+M199*Assumptions!$B$9+N199*Assumptions!$B$10+O199*Assumptions!$B$11),1)</f>
        <v/>
      </c>
      <c r="Q199" s="2">
        <f>IF(P199&gt;=Assumptions!$B$14,"High",IF(P199&gt;=Assumptions!$B$15,"Medium","Low"))</f>
        <v/>
      </c>
      <c r="R199" s="2">
        <f>Cleaned_Data!L199</f>
        <v/>
      </c>
    </row>
    <row r="200">
      <c r="A200" s="2">
        <f>Cleaned_Data!A200</f>
        <v/>
      </c>
      <c r="B200" s="2">
        <f>Cleaned_Data!B200</f>
        <v/>
      </c>
      <c r="C200" s="2">
        <f>Cleaned_Data!G200</f>
        <v/>
      </c>
      <c r="D200" s="2">
        <f>Cleaned_Data!I200</f>
        <v/>
      </c>
      <c r="E200" s="2">
        <f>Cleaned_Data!H200</f>
        <v/>
      </c>
      <c r="F200" s="2">
        <f>Cleaned_Data!F200</f>
        <v/>
      </c>
      <c r="G200" s="9">
        <f>SUMPRODUCT(($B$2:$B$1196=B200)*($F$2:$F$1196&lt;=F200))/SUMPRODUCT(($B$2:$B$1196=B200)*1)</f>
        <v/>
      </c>
      <c r="H200" s="2">
        <f>Cleaned_Data!J200</f>
        <v/>
      </c>
      <c r="I200" s="2">
        <f>Cleaned_Data!E200</f>
        <v/>
      </c>
      <c r="J200" s="2">
        <f>IF(C200="Yes",1,0)</f>
        <v/>
      </c>
      <c r="K200" s="2">
        <f>MIN(MAX(1-(D200-1)/4,0),1)</f>
        <v/>
      </c>
      <c r="L200" s="2">
        <f>MIN(E200/60,1)</f>
        <v/>
      </c>
      <c r="M200" s="2">
        <f>MIN(MAX(1-G200,0),1)</f>
        <v/>
      </c>
      <c r="N200" s="2">
        <f>MIN(MAX(1-(H200-1)/4,0),1)</f>
        <v/>
      </c>
      <c r="O200" s="2">
        <f>1-MIN(I200/8,1)</f>
        <v/>
      </c>
      <c r="P200" s="10">
        <f>ROUND(100*(J200*Assumptions!$B$6+K200*Assumptions!$B$7+L200*Assumptions!$B$8+M200*Assumptions!$B$9+N200*Assumptions!$B$10+O200*Assumptions!$B$11),1)</f>
        <v/>
      </c>
      <c r="Q200" s="2">
        <f>IF(P200&gt;=Assumptions!$B$14,"High",IF(P200&gt;=Assumptions!$B$15,"Medium","Low"))</f>
        <v/>
      </c>
      <c r="R200" s="2">
        <f>Cleaned_Data!L200</f>
        <v/>
      </c>
    </row>
    <row r="201">
      <c r="A201" s="2">
        <f>Cleaned_Data!A201</f>
        <v/>
      </c>
      <c r="B201" s="2">
        <f>Cleaned_Data!B201</f>
        <v/>
      </c>
      <c r="C201" s="2">
        <f>Cleaned_Data!G201</f>
        <v/>
      </c>
      <c r="D201" s="2">
        <f>Cleaned_Data!I201</f>
        <v/>
      </c>
      <c r="E201" s="2">
        <f>Cleaned_Data!H201</f>
        <v/>
      </c>
      <c r="F201" s="2">
        <f>Cleaned_Data!F201</f>
        <v/>
      </c>
      <c r="G201" s="9">
        <f>SUMPRODUCT(($B$2:$B$1196=B201)*($F$2:$F$1196&lt;=F201))/SUMPRODUCT(($B$2:$B$1196=B201)*1)</f>
        <v/>
      </c>
      <c r="H201" s="2">
        <f>Cleaned_Data!J201</f>
        <v/>
      </c>
      <c r="I201" s="2">
        <f>Cleaned_Data!E201</f>
        <v/>
      </c>
      <c r="J201" s="2">
        <f>IF(C201="Yes",1,0)</f>
        <v/>
      </c>
      <c r="K201" s="2">
        <f>MIN(MAX(1-(D201-1)/4,0),1)</f>
        <v/>
      </c>
      <c r="L201" s="2">
        <f>MIN(E201/60,1)</f>
        <v/>
      </c>
      <c r="M201" s="2">
        <f>MIN(MAX(1-G201,0),1)</f>
        <v/>
      </c>
      <c r="N201" s="2">
        <f>MIN(MAX(1-(H201-1)/4,0),1)</f>
        <v/>
      </c>
      <c r="O201" s="2">
        <f>1-MIN(I201/8,1)</f>
        <v/>
      </c>
      <c r="P201" s="10">
        <f>ROUND(100*(J201*Assumptions!$B$6+K201*Assumptions!$B$7+L201*Assumptions!$B$8+M201*Assumptions!$B$9+N201*Assumptions!$B$10+O201*Assumptions!$B$11),1)</f>
        <v/>
      </c>
      <c r="Q201" s="2">
        <f>IF(P201&gt;=Assumptions!$B$14,"High",IF(P201&gt;=Assumptions!$B$15,"Medium","Low"))</f>
        <v/>
      </c>
      <c r="R201" s="2">
        <f>Cleaned_Data!L201</f>
        <v/>
      </c>
    </row>
    <row r="202">
      <c r="A202" s="2">
        <f>Cleaned_Data!A202</f>
        <v/>
      </c>
      <c r="B202" s="2">
        <f>Cleaned_Data!B202</f>
        <v/>
      </c>
      <c r="C202" s="2">
        <f>Cleaned_Data!G202</f>
        <v/>
      </c>
      <c r="D202" s="2">
        <f>Cleaned_Data!I202</f>
        <v/>
      </c>
      <c r="E202" s="2">
        <f>Cleaned_Data!H202</f>
        <v/>
      </c>
      <c r="F202" s="2">
        <f>Cleaned_Data!F202</f>
        <v/>
      </c>
      <c r="G202" s="9">
        <f>SUMPRODUCT(($B$2:$B$1196=B202)*($F$2:$F$1196&lt;=F202))/SUMPRODUCT(($B$2:$B$1196=B202)*1)</f>
        <v/>
      </c>
      <c r="H202" s="2">
        <f>Cleaned_Data!J202</f>
        <v/>
      </c>
      <c r="I202" s="2">
        <f>Cleaned_Data!E202</f>
        <v/>
      </c>
      <c r="J202" s="2">
        <f>IF(C202="Yes",1,0)</f>
        <v/>
      </c>
      <c r="K202" s="2">
        <f>MIN(MAX(1-(D202-1)/4,0),1)</f>
        <v/>
      </c>
      <c r="L202" s="2">
        <f>MIN(E202/60,1)</f>
        <v/>
      </c>
      <c r="M202" s="2">
        <f>MIN(MAX(1-G202,0),1)</f>
        <v/>
      </c>
      <c r="N202" s="2">
        <f>MIN(MAX(1-(H202-1)/4,0),1)</f>
        <v/>
      </c>
      <c r="O202" s="2">
        <f>1-MIN(I202/8,1)</f>
        <v/>
      </c>
      <c r="P202" s="10">
        <f>ROUND(100*(J202*Assumptions!$B$6+K202*Assumptions!$B$7+L202*Assumptions!$B$8+M202*Assumptions!$B$9+N202*Assumptions!$B$10+O202*Assumptions!$B$11),1)</f>
        <v/>
      </c>
      <c r="Q202" s="2">
        <f>IF(P202&gt;=Assumptions!$B$14,"High",IF(P202&gt;=Assumptions!$B$15,"Medium","Low"))</f>
        <v/>
      </c>
      <c r="R202" s="2">
        <f>Cleaned_Data!L202</f>
        <v/>
      </c>
    </row>
    <row r="203">
      <c r="A203" s="2">
        <f>Cleaned_Data!A203</f>
        <v/>
      </c>
      <c r="B203" s="2">
        <f>Cleaned_Data!B203</f>
        <v/>
      </c>
      <c r="C203" s="2">
        <f>Cleaned_Data!G203</f>
        <v/>
      </c>
      <c r="D203" s="2">
        <f>Cleaned_Data!I203</f>
        <v/>
      </c>
      <c r="E203" s="2">
        <f>Cleaned_Data!H203</f>
        <v/>
      </c>
      <c r="F203" s="2">
        <f>Cleaned_Data!F203</f>
        <v/>
      </c>
      <c r="G203" s="9">
        <f>SUMPRODUCT(($B$2:$B$1196=B203)*($F$2:$F$1196&lt;=F203))/SUMPRODUCT(($B$2:$B$1196=B203)*1)</f>
        <v/>
      </c>
      <c r="H203" s="2">
        <f>Cleaned_Data!J203</f>
        <v/>
      </c>
      <c r="I203" s="2">
        <f>Cleaned_Data!E203</f>
        <v/>
      </c>
      <c r="J203" s="2">
        <f>IF(C203="Yes",1,0)</f>
        <v/>
      </c>
      <c r="K203" s="2">
        <f>MIN(MAX(1-(D203-1)/4,0),1)</f>
        <v/>
      </c>
      <c r="L203" s="2">
        <f>MIN(E203/60,1)</f>
        <v/>
      </c>
      <c r="M203" s="2">
        <f>MIN(MAX(1-G203,0),1)</f>
        <v/>
      </c>
      <c r="N203" s="2">
        <f>MIN(MAX(1-(H203-1)/4,0),1)</f>
        <v/>
      </c>
      <c r="O203" s="2">
        <f>1-MIN(I203/8,1)</f>
        <v/>
      </c>
      <c r="P203" s="10">
        <f>ROUND(100*(J203*Assumptions!$B$6+K203*Assumptions!$B$7+L203*Assumptions!$B$8+M203*Assumptions!$B$9+N203*Assumptions!$B$10+O203*Assumptions!$B$11),1)</f>
        <v/>
      </c>
      <c r="Q203" s="2">
        <f>IF(P203&gt;=Assumptions!$B$14,"High",IF(P203&gt;=Assumptions!$B$15,"Medium","Low"))</f>
        <v/>
      </c>
      <c r="R203" s="2">
        <f>Cleaned_Data!L203</f>
        <v/>
      </c>
    </row>
    <row r="204">
      <c r="A204" s="2">
        <f>Cleaned_Data!A204</f>
        <v/>
      </c>
      <c r="B204" s="2">
        <f>Cleaned_Data!B204</f>
        <v/>
      </c>
      <c r="C204" s="2">
        <f>Cleaned_Data!G204</f>
        <v/>
      </c>
      <c r="D204" s="2">
        <f>Cleaned_Data!I204</f>
        <v/>
      </c>
      <c r="E204" s="2">
        <f>Cleaned_Data!H204</f>
        <v/>
      </c>
      <c r="F204" s="2">
        <f>Cleaned_Data!F204</f>
        <v/>
      </c>
      <c r="G204" s="9">
        <f>SUMPRODUCT(($B$2:$B$1196=B204)*($F$2:$F$1196&lt;=F204))/SUMPRODUCT(($B$2:$B$1196=B204)*1)</f>
        <v/>
      </c>
      <c r="H204" s="2">
        <f>Cleaned_Data!J204</f>
        <v/>
      </c>
      <c r="I204" s="2">
        <f>Cleaned_Data!E204</f>
        <v/>
      </c>
      <c r="J204" s="2">
        <f>IF(C204="Yes",1,0)</f>
        <v/>
      </c>
      <c r="K204" s="2">
        <f>MIN(MAX(1-(D204-1)/4,0),1)</f>
        <v/>
      </c>
      <c r="L204" s="2">
        <f>MIN(E204/60,1)</f>
        <v/>
      </c>
      <c r="M204" s="2">
        <f>MIN(MAX(1-G204,0),1)</f>
        <v/>
      </c>
      <c r="N204" s="2">
        <f>MIN(MAX(1-(H204-1)/4,0),1)</f>
        <v/>
      </c>
      <c r="O204" s="2">
        <f>1-MIN(I204/8,1)</f>
        <v/>
      </c>
      <c r="P204" s="10">
        <f>ROUND(100*(J204*Assumptions!$B$6+K204*Assumptions!$B$7+L204*Assumptions!$B$8+M204*Assumptions!$B$9+N204*Assumptions!$B$10+O204*Assumptions!$B$11),1)</f>
        <v/>
      </c>
      <c r="Q204" s="2">
        <f>IF(P204&gt;=Assumptions!$B$14,"High",IF(P204&gt;=Assumptions!$B$15,"Medium","Low"))</f>
        <v/>
      </c>
      <c r="R204" s="2">
        <f>Cleaned_Data!L204</f>
        <v/>
      </c>
    </row>
    <row r="205">
      <c r="A205" s="2">
        <f>Cleaned_Data!A205</f>
        <v/>
      </c>
      <c r="B205" s="2">
        <f>Cleaned_Data!B205</f>
        <v/>
      </c>
      <c r="C205" s="2">
        <f>Cleaned_Data!G205</f>
        <v/>
      </c>
      <c r="D205" s="2">
        <f>Cleaned_Data!I205</f>
        <v/>
      </c>
      <c r="E205" s="2">
        <f>Cleaned_Data!H205</f>
        <v/>
      </c>
      <c r="F205" s="2">
        <f>Cleaned_Data!F205</f>
        <v/>
      </c>
      <c r="G205" s="9">
        <f>SUMPRODUCT(($B$2:$B$1196=B205)*($F$2:$F$1196&lt;=F205))/SUMPRODUCT(($B$2:$B$1196=B205)*1)</f>
        <v/>
      </c>
      <c r="H205" s="2">
        <f>Cleaned_Data!J205</f>
        <v/>
      </c>
      <c r="I205" s="2">
        <f>Cleaned_Data!E205</f>
        <v/>
      </c>
      <c r="J205" s="2">
        <f>IF(C205="Yes",1,0)</f>
        <v/>
      </c>
      <c r="K205" s="2">
        <f>MIN(MAX(1-(D205-1)/4,0),1)</f>
        <v/>
      </c>
      <c r="L205" s="2">
        <f>MIN(E205/60,1)</f>
        <v/>
      </c>
      <c r="M205" s="2">
        <f>MIN(MAX(1-G205,0),1)</f>
        <v/>
      </c>
      <c r="N205" s="2">
        <f>MIN(MAX(1-(H205-1)/4,0),1)</f>
        <v/>
      </c>
      <c r="O205" s="2">
        <f>1-MIN(I205/8,1)</f>
        <v/>
      </c>
      <c r="P205" s="10">
        <f>ROUND(100*(J205*Assumptions!$B$6+K205*Assumptions!$B$7+L205*Assumptions!$B$8+M205*Assumptions!$B$9+N205*Assumptions!$B$10+O205*Assumptions!$B$11),1)</f>
        <v/>
      </c>
      <c r="Q205" s="2">
        <f>IF(P205&gt;=Assumptions!$B$14,"High",IF(P205&gt;=Assumptions!$B$15,"Medium","Low"))</f>
        <v/>
      </c>
      <c r="R205" s="2">
        <f>Cleaned_Data!L205</f>
        <v/>
      </c>
    </row>
    <row r="206">
      <c r="A206" s="2">
        <f>Cleaned_Data!A206</f>
        <v/>
      </c>
      <c r="B206" s="2">
        <f>Cleaned_Data!B206</f>
        <v/>
      </c>
      <c r="C206" s="2">
        <f>Cleaned_Data!G206</f>
        <v/>
      </c>
      <c r="D206" s="2">
        <f>Cleaned_Data!I206</f>
        <v/>
      </c>
      <c r="E206" s="2">
        <f>Cleaned_Data!H206</f>
        <v/>
      </c>
      <c r="F206" s="2">
        <f>Cleaned_Data!F206</f>
        <v/>
      </c>
      <c r="G206" s="9">
        <f>SUMPRODUCT(($B$2:$B$1196=B206)*($F$2:$F$1196&lt;=F206))/SUMPRODUCT(($B$2:$B$1196=B206)*1)</f>
        <v/>
      </c>
      <c r="H206" s="2">
        <f>Cleaned_Data!J206</f>
        <v/>
      </c>
      <c r="I206" s="2">
        <f>Cleaned_Data!E206</f>
        <v/>
      </c>
      <c r="J206" s="2">
        <f>IF(C206="Yes",1,0)</f>
        <v/>
      </c>
      <c r="K206" s="2">
        <f>MIN(MAX(1-(D206-1)/4,0),1)</f>
        <v/>
      </c>
      <c r="L206" s="2">
        <f>MIN(E206/60,1)</f>
        <v/>
      </c>
      <c r="M206" s="2">
        <f>MIN(MAX(1-G206,0),1)</f>
        <v/>
      </c>
      <c r="N206" s="2">
        <f>MIN(MAX(1-(H206-1)/4,0),1)</f>
        <v/>
      </c>
      <c r="O206" s="2">
        <f>1-MIN(I206/8,1)</f>
        <v/>
      </c>
      <c r="P206" s="10">
        <f>ROUND(100*(J206*Assumptions!$B$6+K206*Assumptions!$B$7+L206*Assumptions!$B$8+M206*Assumptions!$B$9+N206*Assumptions!$B$10+O206*Assumptions!$B$11),1)</f>
        <v/>
      </c>
      <c r="Q206" s="2">
        <f>IF(P206&gt;=Assumptions!$B$14,"High",IF(P206&gt;=Assumptions!$B$15,"Medium","Low"))</f>
        <v/>
      </c>
      <c r="R206" s="2">
        <f>Cleaned_Data!L206</f>
        <v/>
      </c>
    </row>
    <row r="207">
      <c r="A207" s="2">
        <f>Cleaned_Data!A207</f>
        <v/>
      </c>
      <c r="B207" s="2">
        <f>Cleaned_Data!B207</f>
        <v/>
      </c>
      <c r="C207" s="2">
        <f>Cleaned_Data!G207</f>
        <v/>
      </c>
      <c r="D207" s="2">
        <f>Cleaned_Data!I207</f>
        <v/>
      </c>
      <c r="E207" s="2">
        <f>Cleaned_Data!H207</f>
        <v/>
      </c>
      <c r="F207" s="2">
        <f>Cleaned_Data!F207</f>
        <v/>
      </c>
      <c r="G207" s="9">
        <f>SUMPRODUCT(($B$2:$B$1196=B207)*($F$2:$F$1196&lt;=F207))/SUMPRODUCT(($B$2:$B$1196=B207)*1)</f>
        <v/>
      </c>
      <c r="H207" s="2">
        <f>Cleaned_Data!J207</f>
        <v/>
      </c>
      <c r="I207" s="2">
        <f>Cleaned_Data!E207</f>
        <v/>
      </c>
      <c r="J207" s="2">
        <f>IF(C207="Yes",1,0)</f>
        <v/>
      </c>
      <c r="K207" s="2">
        <f>MIN(MAX(1-(D207-1)/4,0),1)</f>
        <v/>
      </c>
      <c r="L207" s="2">
        <f>MIN(E207/60,1)</f>
        <v/>
      </c>
      <c r="M207" s="2">
        <f>MIN(MAX(1-G207,0),1)</f>
        <v/>
      </c>
      <c r="N207" s="2">
        <f>MIN(MAX(1-(H207-1)/4,0),1)</f>
        <v/>
      </c>
      <c r="O207" s="2">
        <f>1-MIN(I207/8,1)</f>
        <v/>
      </c>
      <c r="P207" s="10">
        <f>ROUND(100*(J207*Assumptions!$B$6+K207*Assumptions!$B$7+L207*Assumptions!$B$8+M207*Assumptions!$B$9+N207*Assumptions!$B$10+O207*Assumptions!$B$11),1)</f>
        <v/>
      </c>
      <c r="Q207" s="2">
        <f>IF(P207&gt;=Assumptions!$B$14,"High",IF(P207&gt;=Assumptions!$B$15,"Medium","Low"))</f>
        <v/>
      </c>
      <c r="R207" s="2">
        <f>Cleaned_Data!L207</f>
        <v/>
      </c>
    </row>
    <row r="208">
      <c r="A208" s="2">
        <f>Cleaned_Data!A208</f>
        <v/>
      </c>
      <c r="B208" s="2">
        <f>Cleaned_Data!B208</f>
        <v/>
      </c>
      <c r="C208" s="2">
        <f>Cleaned_Data!G208</f>
        <v/>
      </c>
      <c r="D208" s="2">
        <f>Cleaned_Data!I208</f>
        <v/>
      </c>
      <c r="E208" s="2">
        <f>Cleaned_Data!H208</f>
        <v/>
      </c>
      <c r="F208" s="2">
        <f>Cleaned_Data!F208</f>
        <v/>
      </c>
      <c r="G208" s="9">
        <f>SUMPRODUCT(($B$2:$B$1196=B208)*($F$2:$F$1196&lt;=F208))/SUMPRODUCT(($B$2:$B$1196=B208)*1)</f>
        <v/>
      </c>
      <c r="H208" s="2">
        <f>Cleaned_Data!J208</f>
        <v/>
      </c>
      <c r="I208" s="2">
        <f>Cleaned_Data!E208</f>
        <v/>
      </c>
      <c r="J208" s="2">
        <f>IF(C208="Yes",1,0)</f>
        <v/>
      </c>
      <c r="K208" s="2">
        <f>MIN(MAX(1-(D208-1)/4,0),1)</f>
        <v/>
      </c>
      <c r="L208" s="2">
        <f>MIN(E208/60,1)</f>
        <v/>
      </c>
      <c r="M208" s="2">
        <f>MIN(MAX(1-G208,0),1)</f>
        <v/>
      </c>
      <c r="N208" s="2">
        <f>MIN(MAX(1-(H208-1)/4,0),1)</f>
        <v/>
      </c>
      <c r="O208" s="2">
        <f>1-MIN(I208/8,1)</f>
        <v/>
      </c>
      <c r="P208" s="10">
        <f>ROUND(100*(J208*Assumptions!$B$6+K208*Assumptions!$B$7+L208*Assumptions!$B$8+M208*Assumptions!$B$9+N208*Assumptions!$B$10+O208*Assumptions!$B$11),1)</f>
        <v/>
      </c>
      <c r="Q208" s="2">
        <f>IF(P208&gt;=Assumptions!$B$14,"High",IF(P208&gt;=Assumptions!$B$15,"Medium","Low"))</f>
        <v/>
      </c>
      <c r="R208" s="2">
        <f>Cleaned_Data!L208</f>
        <v/>
      </c>
    </row>
    <row r="209">
      <c r="A209" s="2">
        <f>Cleaned_Data!A209</f>
        <v/>
      </c>
      <c r="B209" s="2">
        <f>Cleaned_Data!B209</f>
        <v/>
      </c>
      <c r="C209" s="2">
        <f>Cleaned_Data!G209</f>
        <v/>
      </c>
      <c r="D209" s="2">
        <f>Cleaned_Data!I209</f>
        <v/>
      </c>
      <c r="E209" s="2">
        <f>Cleaned_Data!H209</f>
        <v/>
      </c>
      <c r="F209" s="2">
        <f>Cleaned_Data!F209</f>
        <v/>
      </c>
      <c r="G209" s="9">
        <f>SUMPRODUCT(($B$2:$B$1196=B209)*($F$2:$F$1196&lt;=F209))/SUMPRODUCT(($B$2:$B$1196=B209)*1)</f>
        <v/>
      </c>
      <c r="H209" s="2">
        <f>Cleaned_Data!J209</f>
        <v/>
      </c>
      <c r="I209" s="2">
        <f>Cleaned_Data!E209</f>
        <v/>
      </c>
      <c r="J209" s="2">
        <f>IF(C209="Yes",1,0)</f>
        <v/>
      </c>
      <c r="K209" s="2">
        <f>MIN(MAX(1-(D209-1)/4,0),1)</f>
        <v/>
      </c>
      <c r="L209" s="2">
        <f>MIN(E209/60,1)</f>
        <v/>
      </c>
      <c r="M209" s="2">
        <f>MIN(MAX(1-G209,0),1)</f>
        <v/>
      </c>
      <c r="N209" s="2">
        <f>MIN(MAX(1-(H209-1)/4,0),1)</f>
        <v/>
      </c>
      <c r="O209" s="2">
        <f>1-MIN(I209/8,1)</f>
        <v/>
      </c>
      <c r="P209" s="10">
        <f>ROUND(100*(J209*Assumptions!$B$6+K209*Assumptions!$B$7+L209*Assumptions!$B$8+M209*Assumptions!$B$9+N209*Assumptions!$B$10+O209*Assumptions!$B$11),1)</f>
        <v/>
      </c>
      <c r="Q209" s="2">
        <f>IF(P209&gt;=Assumptions!$B$14,"High",IF(P209&gt;=Assumptions!$B$15,"Medium","Low"))</f>
        <v/>
      </c>
      <c r="R209" s="2">
        <f>Cleaned_Data!L209</f>
        <v/>
      </c>
    </row>
    <row r="210">
      <c r="A210" s="2">
        <f>Cleaned_Data!A210</f>
        <v/>
      </c>
      <c r="B210" s="2">
        <f>Cleaned_Data!B210</f>
        <v/>
      </c>
      <c r="C210" s="2">
        <f>Cleaned_Data!G210</f>
        <v/>
      </c>
      <c r="D210" s="2">
        <f>Cleaned_Data!I210</f>
        <v/>
      </c>
      <c r="E210" s="2">
        <f>Cleaned_Data!H210</f>
        <v/>
      </c>
      <c r="F210" s="2">
        <f>Cleaned_Data!F210</f>
        <v/>
      </c>
      <c r="G210" s="9">
        <f>SUMPRODUCT(($B$2:$B$1196=B210)*($F$2:$F$1196&lt;=F210))/SUMPRODUCT(($B$2:$B$1196=B210)*1)</f>
        <v/>
      </c>
      <c r="H210" s="2">
        <f>Cleaned_Data!J210</f>
        <v/>
      </c>
      <c r="I210" s="2">
        <f>Cleaned_Data!E210</f>
        <v/>
      </c>
      <c r="J210" s="2">
        <f>IF(C210="Yes",1,0)</f>
        <v/>
      </c>
      <c r="K210" s="2">
        <f>MIN(MAX(1-(D210-1)/4,0),1)</f>
        <v/>
      </c>
      <c r="L210" s="2">
        <f>MIN(E210/60,1)</f>
        <v/>
      </c>
      <c r="M210" s="2">
        <f>MIN(MAX(1-G210,0),1)</f>
        <v/>
      </c>
      <c r="N210" s="2">
        <f>MIN(MAX(1-(H210-1)/4,0),1)</f>
        <v/>
      </c>
      <c r="O210" s="2">
        <f>1-MIN(I210/8,1)</f>
        <v/>
      </c>
      <c r="P210" s="10">
        <f>ROUND(100*(J210*Assumptions!$B$6+K210*Assumptions!$B$7+L210*Assumptions!$B$8+M210*Assumptions!$B$9+N210*Assumptions!$B$10+O210*Assumptions!$B$11),1)</f>
        <v/>
      </c>
      <c r="Q210" s="2">
        <f>IF(P210&gt;=Assumptions!$B$14,"High",IF(P210&gt;=Assumptions!$B$15,"Medium","Low"))</f>
        <v/>
      </c>
      <c r="R210" s="2">
        <f>Cleaned_Data!L210</f>
        <v/>
      </c>
    </row>
    <row r="211">
      <c r="A211" s="2">
        <f>Cleaned_Data!A211</f>
        <v/>
      </c>
      <c r="B211" s="2">
        <f>Cleaned_Data!B211</f>
        <v/>
      </c>
      <c r="C211" s="2">
        <f>Cleaned_Data!G211</f>
        <v/>
      </c>
      <c r="D211" s="2">
        <f>Cleaned_Data!I211</f>
        <v/>
      </c>
      <c r="E211" s="2">
        <f>Cleaned_Data!H211</f>
        <v/>
      </c>
      <c r="F211" s="2">
        <f>Cleaned_Data!F211</f>
        <v/>
      </c>
      <c r="G211" s="9">
        <f>SUMPRODUCT(($B$2:$B$1196=B211)*($F$2:$F$1196&lt;=F211))/SUMPRODUCT(($B$2:$B$1196=B211)*1)</f>
        <v/>
      </c>
      <c r="H211" s="2">
        <f>Cleaned_Data!J211</f>
        <v/>
      </c>
      <c r="I211" s="2">
        <f>Cleaned_Data!E211</f>
        <v/>
      </c>
      <c r="J211" s="2">
        <f>IF(C211="Yes",1,0)</f>
        <v/>
      </c>
      <c r="K211" s="2">
        <f>MIN(MAX(1-(D211-1)/4,0),1)</f>
        <v/>
      </c>
      <c r="L211" s="2">
        <f>MIN(E211/60,1)</f>
        <v/>
      </c>
      <c r="M211" s="2">
        <f>MIN(MAX(1-G211,0),1)</f>
        <v/>
      </c>
      <c r="N211" s="2">
        <f>MIN(MAX(1-(H211-1)/4,0),1)</f>
        <v/>
      </c>
      <c r="O211" s="2">
        <f>1-MIN(I211/8,1)</f>
        <v/>
      </c>
      <c r="P211" s="10">
        <f>ROUND(100*(J211*Assumptions!$B$6+K211*Assumptions!$B$7+L211*Assumptions!$B$8+M211*Assumptions!$B$9+N211*Assumptions!$B$10+O211*Assumptions!$B$11),1)</f>
        <v/>
      </c>
      <c r="Q211" s="2">
        <f>IF(P211&gt;=Assumptions!$B$14,"High",IF(P211&gt;=Assumptions!$B$15,"Medium","Low"))</f>
        <v/>
      </c>
      <c r="R211" s="2">
        <f>Cleaned_Data!L211</f>
        <v/>
      </c>
    </row>
    <row r="212">
      <c r="A212" s="2">
        <f>Cleaned_Data!A212</f>
        <v/>
      </c>
      <c r="B212" s="2">
        <f>Cleaned_Data!B212</f>
        <v/>
      </c>
      <c r="C212" s="2">
        <f>Cleaned_Data!G212</f>
        <v/>
      </c>
      <c r="D212" s="2">
        <f>Cleaned_Data!I212</f>
        <v/>
      </c>
      <c r="E212" s="2">
        <f>Cleaned_Data!H212</f>
        <v/>
      </c>
      <c r="F212" s="2">
        <f>Cleaned_Data!F212</f>
        <v/>
      </c>
      <c r="G212" s="9">
        <f>SUMPRODUCT(($B$2:$B$1196=B212)*($F$2:$F$1196&lt;=F212))/SUMPRODUCT(($B$2:$B$1196=B212)*1)</f>
        <v/>
      </c>
      <c r="H212" s="2">
        <f>Cleaned_Data!J212</f>
        <v/>
      </c>
      <c r="I212" s="2">
        <f>Cleaned_Data!E212</f>
        <v/>
      </c>
      <c r="J212" s="2">
        <f>IF(C212="Yes",1,0)</f>
        <v/>
      </c>
      <c r="K212" s="2">
        <f>MIN(MAX(1-(D212-1)/4,0),1)</f>
        <v/>
      </c>
      <c r="L212" s="2">
        <f>MIN(E212/60,1)</f>
        <v/>
      </c>
      <c r="M212" s="2">
        <f>MIN(MAX(1-G212,0),1)</f>
        <v/>
      </c>
      <c r="N212" s="2">
        <f>MIN(MAX(1-(H212-1)/4,0),1)</f>
        <v/>
      </c>
      <c r="O212" s="2">
        <f>1-MIN(I212/8,1)</f>
        <v/>
      </c>
      <c r="P212" s="10">
        <f>ROUND(100*(J212*Assumptions!$B$6+K212*Assumptions!$B$7+L212*Assumptions!$B$8+M212*Assumptions!$B$9+N212*Assumptions!$B$10+O212*Assumptions!$B$11),1)</f>
        <v/>
      </c>
      <c r="Q212" s="2">
        <f>IF(P212&gt;=Assumptions!$B$14,"High",IF(P212&gt;=Assumptions!$B$15,"Medium","Low"))</f>
        <v/>
      </c>
      <c r="R212" s="2">
        <f>Cleaned_Data!L212</f>
        <v/>
      </c>
    </row>
    <row r="213">
      <c r="A213" s="2">
        <f>Cleaned_Data!A213</f>
        <v/>
      </c>
      <c r="B213" s="2">
        <f>Cleaned_Data!B213</f>
        <v/>
      </c>
      <c r="C213" s="2">
        <f>Cleaned_Data!G213</f>
        <v/>
      </c>
      <c r="D213" s="2">
        <f>Cleaned_Data!I213</f>
        <v/>
      </c>
      <c r="E213" s="2">
        <f>Cleaned_Data!H213</f>
        <v/>
      </c>
      <c r="F213" s="2">
        <f>Cleaned_Data!F213</f>
        <v/>
      </c>
      <c r="G213" s="9">
        <f>SUMPRODUCT(($B$2:$B$1196=B213)*($F$2:$F$1196&lt;=F213))/SUMPRODUCT(($B$2:$B$1196=B213)*1)</f>
        <v/>
      </c>
      <c r="H213" s="2">
        <f>Cleaned_Data!J213</f>
        <v/>
      </c>
      <c r="I213" s="2">
        <f>Cleaned_Data!E213</f>
        <v/>
      </c>
      <c r="J213" s="2">
        <f>IF(C213="Yes",1,0)</f>
        <v/>
      </c>
      <c r="K213" s="2">
        <f>MIN(MAX(1-(D213-1)/4,0),1)</f>
        <v/>
      </c>
      <c r="L213" s="2">
        <f>MIN(E213/60,1)</f>
        <v/>
      </c>
      <c r="M213" s="2">
        <f>MIN(MAX(1-G213,0),1)</f>
        <v/>
      </c>
      <c r="N213" s="2">
        <f>MIN(MAX(1-(H213-1)/4,0),1)</f>
        <v/>
      </c>
      <c r="O213" s="2">
        <f>1-MIN(I213/8,1)</f>
        <v/>
      </c>
      <c r="P213" s="10">
        <f>ROUND(100*(J213*Assumptions!$B$6+K213*Assumptions!$B$7+L213*Assumptions!$B$8+M213*Assumptions!$B$9+N213*Assumptions!$B$10+O213*Assumptions!$B$11),1)</f>
        <v/>
      </c>
      <c r="Q213" s="2">
        <f>IF(P213&gt;=Assumptions!$B$14,"High",IF(P213&gt;=Assumptions!$B$15,"Medium","Low"))</f>
        <v/>
      </c>
      <c r="R213" s="2">
        <f>Cleaned_Data!L213</f>
        <v/>
      </c>
    </row>
    <row r="214">
      <c r="A214" s="2">
        <f>Cleaned_Data!A214</f>
        <v/>
      </c>
      <c r="B214" s="2">
        <f>Cleaned_Data!B214</f>
        <v/>
      </c>
      <c r="C214" s="2">
        <f>Cleaned_Data!G214</f>
        <v/>
      </c>
      <c r="D214" s="2">
        <f>Cleaned_Data!I214</f>
        <v/>
      </c>
      <c r="E214" s="2">
        <f>Cleaned_Data!H214</f>
        <v/>
      </c>
      <c r="F214" s="2">
        <f>Cleaned_Data!F214</f>
        <v/>
      </c>
      <c r="G214" s="9">
        <f>SUMPRODUCT(($B$2:$B$1196=B214)*($F$2:$F$1196&lt;=F214))/SUMPRODUCT(($B$2:$B$1196=B214)*1)</f>
        <v/>
      </c>
      <c r="H214" s="2">
        <f>Cleaned_Data!J214</f>
        <v/>
      </c>
      <c r="I214" s="2">
        <f>Cleaned_Data!E214</f>
        <v/>
      </c>
      <c r="J214" s="2">
        <f>IF(C214="Yes",1,0)</f>
        <v/>
      </c>
      <c r="K214" s="2">
        <f>MIN(MAX(1-(D214-1)/4,0),1)</f>
        <v/>
      </c>
      <c r="L214" s="2">
        <f>MIN(E214/60,1)</f>
        <v/>
      </c>
      <c r="M214" s="2">
        <f>MIN(MAX(1-G214,0),1)</f>
        <v/>
      </c>
      <c r="N214" s="2">
        <f>MIN(MAX(1-(H214-1)/4,0),1)</f>
        <v/>
      </c>
      <c r="O214" s="2">
        <f>1-MIN(I214/8,1)</f>
        <v/>
      </c>
      <c r="P214" s="10">
        <f>ROUND(100*(J214*Assumptions!$B$6+K214*Assumptions!$B$7+L214*Assumptions!$B$8+M214*Assumptions!$B$9+N214*Assumptions!$B$10+O214*Assumptions!$B$11),1)</f>
        <v/>
      </c>
      <c r="Q214" s="2">
        <f>IF(P214&gt;=Assumptions!$B$14,"High",IF(P214&gt;=Assumptions!$B$15,"Medium","Low"))</f>
        <v/>
      </c>
      <c r="R214" s="2">
        <f>Cleaned_Data!L214</f>
        <v/>
      </c>
    </row>
    <row r="215">
      <c r="A215" s="2">
        <f>Cleaned_Data!A215</f>
        <v/>
      </c>
      <c r="B215" s="2">
        <f>Cleaned_Data!B215</f>
        <v/>
      </c>
      <c r="C215" s="2">
        <f>Cleaned_Data!G215</f>
        <v/>
      </c>
      <c r="D215" s="2">
        <f>Cleaned_Data!I215</f>
        <v/>
      </c>
      <c r="E215" s="2">
        <f>Cleaned_Data!H215</f>
        <v/>
      </c>
      <c r="F215" s="2">
        <f>Cleaned_Data!F215</f>
        <v/>
      </c>
      <c r="G215" s="9">
        <f>SUMPRODUCT(($B$2:$B$1196=B215)*($F$2:$F$1196&lt;=F215))/SUMPRODUCT(($B$2:$B$1196=B215)*1)</f>
        <v/>
      </c>
      <c r="H215" s="2">
        <f>Cleaned_Data!J215</f>
        <v/>
      </c>
      <c r="I215" s="2">
        <f>Cleaned_Data!E215</f>
        <v/>
      </c>
      <c r="J215" s="2">
        <f>IF(C215="Yes",1,0)</f>
        <v/>
      </c>
      <c r="K215" s="2">
        <f>MIN(MAX(1-(D215-1)/4,0),1)</f>
        <v/>
      </c>
      <c r="L215" s="2">
        <f>MIN(E215/60,1)</f>
        <v/>
      </c>
      <c r="M215" s="2">
        <f>MIN(MAX(1-G215,0),1)</f>
        <v/>
      </c>
      <c r="N215" s="2">
        <f>MIN(MAX(1-(H215-1)/4,0),1)</f>
        <v/>
      </c>
      <c r="O215" s="2">
        <f>1-MIN(I215/8,1)</f>
        <v/>
      </c>
      <c r="P215" s="10">
        <f>ROUND(100*(J215*Assumptions!$B$6+K215*Assumptions!$B$7+L215*Assumptions!$B$8+M215*Assumptions!$B$9+N215*Assumptions!$B$10+O215*Assumptions!$B$11),1)</f>
        <v/>
      </c>
      <c r="Q215" s="2">
        <f>IF(P215&gt;=Assumptions!$B$14,"High",IF(P215&gt;=Assumptions!$B$15,"Medium","Low"))</f>
        <v/>
      </c>
      <c r="R215" s="2">
        <f>Cleaned_Data!L215</f>
        <v/>
      </c>
    </row>
    <row r="216">
      <c r="A216" s="2">
        <f>Cleaned_Data!A216</f>
        <v/>
      </c>
      <c r="B216" s="2">
        <f>Cleaned_Data!B216</f>
        <v/>
      </c>
      <c r="C216" s="2">
        <f>Cleaned_Data!G216</f>
        <v/>
      </c>
      <c r="D216" s="2">
        <f>Cleaned_Data!I216</f>
        <v/>
      </c>
      <c r="E216" s="2">
        <f>Cleaned_Data!H216</f>
        <v/>
      </c>
      <c r="F216" s="2">
        <f>Cleaned_Data!F216</f>
        <v/>
      </c>
      <c r="G216" s="9">
        <f>SUMPRODUCT(($B$2:$B$1196=B216)*($F$2:$F$1196&lt;=F216))/SUMPRODUCT(($B$2:$B$1196=B216)*1)</f>
        <v/>
      </c>
      <c r="H216" s="2">
        <f>Cleaned_Data!J216</f>
        <v/>
      </c>
      <c r="I216" s="2">
        <f>Cleaned_Data!E216</f>
        <v/>
      </c>
      <c r="J216" s="2">
        <f>IF(C216="Yes",1,0)</f>
        <v/>
      </c>
      <c r="K216" s="2">
        <f>MIN(MAX(1-(D216-1)/4,0),1)</f>
        <v/>
      </c>
      <c r="L216" s="2">
        <f>MIN(E216/60,1)</f>
        <v/>
      </c>
      <c r="M216" s="2">
        <f>MIN(MAX(1-G216,0),1)</f>
        <v/>
      </c>
      <c r="N216" s="2">
        <f>MIN(MAX(1-(H216-1)/4,0),1)</f>
        <v/>
      </c>
      <c r="O216" s="2">
        <f>1-MIN(I216/8,1)</f>
        <v/>
      </c>
      <c r="P216" s="10">
        <f>ROUND(100*(J216*Assumptions!$B$6+K216*Assumptions!$B$7+L216*Assumptions!$B$8+M216*Assumptions!$B$9+N216*Assumptions!$B$10+O216*Assumptions!$B$11),1)</f>
        <v/>
      </c>
      <c r="Q216" s="2">
        <f>IF(P216&gt;=Assumptions!$B$14,"High",IF(P216&gt;=Assumptions!$B$15,"Medium","Low"))</f>
        <v/>
      </c>
      <c r="R216" s="2">
        <f>Cleaned_Data!L216</f>
        <v/>
      </c>
    </row>
    <row r="217">
      <c r="A217" s="2">
        <f>Cleaned_Data!A217</f>
        <v/>
      </c>
      <c r="B217" s="2">
        <f>Cleaned_Data!B217</f>
        <v/>
      </c>
      <c r="C217" s="2">
        <f>Cleaned_Data!G217</f>
        <v/>
      </c>
      <c r="D217" s="2">
        <f>Cleaned_Data!I217</f>
        <v/>
      </c>
      <c r="E217" s="2">
        <f>Cleaned_Data!H217</f>
        <v/>
      </c>
      <c r="F217" s="2">
        <f>Cleaned_Data!F217</f>
        <v/>
      </c>
      <c r="G217" s="9">
        <f>SUMPRODUCT(($B$2:$B$1196=B217)*($F$2:$F$1196&lt;=F217))/SUMPRODUCT(($B$2:$B$1196=B217)*1)</f>
        <v/>
      </c>
      <c r="H217" s="2">
        <f>Cleaned_Data!J217</f>
        <v/>
      </c>
      <c r="I217" s="2">
        <f>Cleaned_Data!E217</f>
        <v/>
      </c>
      <c r="J217" s="2">
        <f>IF(C217="Yes",1,0)</f>
        <v/>
      </c>
      <c r="K217" s="2">
        <f>MIN(MAX(1-(D217-1)/4,0),1)</f>
        <v/>
      </c>
      <c r="L217" s="2">
        <f>MIN(E217/60,1)</f>
        <v/>
      </c>
      <c r="M217" s="2">
        <f>MIN(MAX(1-G217,0),1)</f>
        <v/>
      </c>
      <c r="N217" s="2">
        <f>MIN(MAX(1-(H217-1)/4,0),1)</f>
        <v/>
      </c>
      <c r="O217" s="2">
        <f>1-MIN(I217/8,1)</f>
        <v/>
      </c>
      <c r="P217" s="10">
        <f>ROUND(100*(J217*Assumptions!$B$6+K217*Assumptions!$B$7+L217*Assumptions!$B$8+M217*Assumptions!$B$9+N217*Assumptions!$B$10+O217*Assumptions!$B$11),1)</f>
        <v/>
      </c>
      <c r="Q217" s="2">
        <f>IF(P217&gt;=Assumptions!$B$14,"High",IF(P217&gt;=Assumptions!$B$15,"Medium","Low"))</f>
        <v/>
      </c>
      <c r="R217" s="2">
        <f>Cleaned_Data!L217</f>
        <v/>
      </c>
    </row>
    <row r="218">
      <c r="A218" s="2">
        <f>Cleaned_Data!A218</f>
        <v/>
      </c>
      <c r="B218" s="2">
        <f>Cleaned_Data!B218</f>
        <v/>
      </c>
      <c r="C218" s="2">
        <f>Cleaned_Data!G218</f>
        <v/>
      </c>
      <c r="D218" s="2">
        <f>Cleaned_Data!I218</f>
        <v/>
      </c>
      <c r="E218" s="2">
        <f>Cleaned_Data!H218</f>
        <v/>
      </c>
      <c r="F218" s="2">
        <f>Cleaned_Data!F218</f>
        <v/>
      </c>
      <c r="G218" s="9">
        <f>SUMPRODUCT(($B$2:$B$1196=B218)*($F$2:$F$1196&lt;=F218))/SUMPRODUCT(($B$2:$B$1196=B218)*1)</f>
        <v/>
      </c>
      <c r="H218" s="2">
        <f>Cleaned_Data!J218</f>
        <v/>
      </c>
      <c r="I218" s="2">
        <f>Cleaned_Data!E218</f>
        <v/>
      </c>
      <c r="J218" s="2">
        <f>IF(C218="Yes",1,0)</f>
        <v/>
      </c>
      <c r="K218" s="2">
        <f>MIN(MAX(1-(D218-1)/4,0),1)</f>
        <v/>
      </c>
      <c r="L218" s="2">
        <f>MIN(E218/60,1)</f>
        <v/>
      </c>
      <c r="M218" s="2">
        <f>MIN(MAX(1-G218,0),1)</f>
        <v/>
      </c>
      <c r="N218" s="2">
        <f>MIN(MAX(1-(H218-1)/4,0),1)</f>
        <v/>
      </c>
      <c r="O218" s="2">
        <f>1-MIN(I218/8,1)</f>
        <v/>
      </c>
      <c r="P218" s="10">
        <f>ROUND(100*(J218*Assumptions!$B$6+K218*Assumptions!$B$7+L218*Assumptions!$B$8+M218*Assumptions!$B$9+N218*Assumptions!$B$10+O218*Assumptions!$B$11),1)</f>
        <v/>
      </c>
      <c r="Q218" s="2">
        <f>IF(P218&gt;=Assumptions!$B$14,"High",IF(P218&gt;=Assumptions!$B$15,"Medium","Low"))</f>
        <v/>
      </c>
      <c r="R218" s="2">
        <f>Cleaned_Data!L218</f>
        <v/>
      </c>
    </row>
    <row r="219">
      <c r="A219" s="2">
        <f>Cleaned_Data!A219</f>
        <v/>
      </c>
      <c r="B219" s="2">
        <f>Cleaned_Data!B219</f>
        <v/>
      </c>
      <c r="C219" s="2">
        <f>Cleaned_Data!G219</f>
        <v/>
      </c>
      <c r="D219" s="2">
        <f>Cleaned_Data!I219</f>
        <v/>
      </c>
      <c r="E219" s="2">
        <f>Cleaned_Data!H219</f>
        <v/>
      </c>
      <c r="F219" s="2">
        <f>Cleaned_Data!F219</f>
        <v/>
      </c>
      <c r="G219" s="9">
        <f>SUMPRODUCT(($B$2:$B$1196=B219)*($F$2:$F$1196&lt;=F219))/SUMPRODUCT(($B$2:$B$1196=B219)*1)</f>
        <v/>
      </c>
      <c r="H219" s="2">
        <f>Cleaned_Data!J219</f>
        <v/>
      </c>
      <c r="I219" s="2">
        <f>Cleaned_Data!E219</f>
        <v/>
      </c>
      <c r="J219" s="2">
        <f>IF(C219="Yes",1,0)</f>
        <v/>
      </c>
      <c r="K219" s="2">
        <f>MIN(MAX(1-(D219-1)/4,0),1)</f>
        <v/>
      </c>
      <c r="L219" s="2">
        <f>MIN(E219/60,1)</f>
        <v/>
      </c>
      <c r="M219" s="2">
        <f>MIN(MAX(1-G219,0),1)</f>
        <v/>
      </c>
      <c r="N219" s="2">
        <f>MIN(MAX(1-(H219-1)/4,0),1)</f>
        <v/>
      </c>
      <c r="O219" s="2">
        <f>1-MIN(I219/8,1)</f>
        <v/>
      </c>
      <c r="P219" s="10">
        <f>ROUND(100*(J219*Assumptions!$B$6+K219*Assumptions!$B$7+L219*Assumptions!$B$8+M219*Assumptions!$B$9+N219*Assumptions!$B$10+O219*Assumptions!$B$11),1)</f>
        <v/>
      </c>
      <c r="Q219" s="2">
        <f>IF(P219&gt;=Assumptions!$B$14,"High",IF(P219&gt;=Assumptions!$B$15,"Medium","Low"))</f>
        <v/>
      </c>
      <c r="R219" s="2">
        <f>Cleaned_Data!L219</f>
        <v/>
      </c>
    </row>
    <row r="220">
      <c r="A220" s="2">
        <f>Cleaned_Data!A220</f>
        <v/>
      </c>
      <c r="B220" s="2">
        <f>Cleaned_Data!B220</f>
        <v/>
      </c>
      <c r="C220" s="2">
        <f>Cleaned_Data!G220</f>
        <v/>
      </c>
      <c r="D220" s="2">
        <f>Cleaned_Data!I220</f>
        <v/>
      </c>
      <c r="E220" s="2">
        <f>Cleaned_Data!H220</f>
        <v/>
      </c>
      <c r="F220" s="2">
        <f>Cleaned_Data!F220</f>
        <v/>
      </c>
      <c r="G220" s="9">
        <f>SUMPRODUCT(($B$2:$B$1196=B220)*($F$2:$F$1196&lt;=F220))/SUMPRODUCT(($B$2:$B$1196=B220)*1)</f>
        <v/>
      </c>
      <c r="H220" s="2">
        <f>Cleaned_Data!J220</f>
        <v/>
      </c>
      <c r="I220" s="2">
        <f>Cleaned_Data!E220</f>
        <v/>
      </c>
      <c r="J220" s="2">
        <f>IF(C220="Yes",1,0)</f>
        <v/>
      </c>
      <c r="K220" s="2">
        <f>MIN(MAX(1-(D220-1)/4,0),1)</f>
        <v/>
      </c>
      <c r="L220" s="2">
        <f>MIN(E220/60,1)</f>
        <v/>
      </c>
      <c r="M220" s="2">
        <f>MIN(MAX(1-G220,0),1)</f>
        <v/>
      </c>
      <c r="N220" s="2">
        <f>MIN(MAX(1-(H220-1)/4,0),1)</f>
        <v/>
      </c>
      <c r="O220" s="2">
        <f>1-MIN(I220/8,1)</f>
        <v/>
      </c>
      <c r="P220" s="10">
        <f>ROUND(100*(J220*Assumptions!$B$6+K220*Assumptions!$B$7+L220*Assumptions!$B$8+M220*Assumptions!$B$9+N220*Assumptions!$B$10+O220*Assumptions!$B$11),1)</f>
        <v/>
      </c>
      <c r="Q220" s="2">
        <f>IF(P220&gt;=Assumptions!$B$14,"High",IF(P220&gt;=Assumptions!$B$15,"Medium","Low"))</f>
        <v/>
      </c>
      <c r="R220" s="2">
        <f>Cleaned_Data!L220</f>
        <v/>
      </c>
    </row>
    <row r="221">
      <c r="A221" s="2">
        <f>Cleaned_Data!A221</f>
        <v/>
      </c>
      <c r="B221" s="2">
        <f>Cleaned_Data!B221</f>
        <v/>
      </c>
      <c r="C221" s="2">
        <f>Cleaned_Data!G221</f>
        <v/>
      </c>
      <c r="D221" s="2">
        <f>Cleaned_Data!I221</f>
        <v/>
      </c>
      <c r="E221" s="2">
        <f>Cleaned_Data!H221</f>
        <v/>
      </c>
      <c r="F221" s="2">
        <f>Cleaned_Data!F221</f>
        <v/>
      </c>
      <c r="G221" s="9">
        <f>SUMPRODUCT(($B$2:$B$1196=B221)*($F$2:$F$1196&lt;=F221))/SUMPRODUCT(($B$2:$B$1196=B221)*1)</f>
        <v/>
      </c>
      <c r="H221" s="2">
        <f>Cleaned_Data!J221</f>
        <v/>
      </c>
      <c r="I221" s="2">
        <f>Cleaned_Data!E221</f>
        <v/>
      </c>
      <c r="J221" s="2">
        <f>IF(C221="Yes",1,0)</f>
        <v/>
      </c>
      <c r="K221" s="2">
        <f>MIN(MAX(1-(D221-1)/4,0),1)</f>
        <v/>
      </c>
      <c r="L221" s="2">
        <f>MIN(E221/60,1)</f>
        <v/>
      </c>
      <c r="M221" s="2">
        <f>MIN(MAX(1-G221,0),1)</f>
        <v/>
      </c>
      <c r="N221" s="2">
        <f>MIN(MAX(1-(H221-1)/4,0),1)</f>
        <v/>
      </c>
      <c r="O221" s="2">
        <f>1-MIN(I221/8,1)</f>
        <v/>
      </c>
      <c r="P221" s="10">
        <f>ROUND(100*(J221*Assumptions!$B$6+K221*Assumptions!$B$7+L221*Assumptions!$B$8+M221*Assumptions!$B$9+N221*Assumptions!$B$10+O221*Assumptions!$B$11),1)</f>
        <v/>
      </c>
      <c r="Q221" s="2">
        <f>IF(P221&gt;=Assumptions!$B$14,"High",IF(P221&gt;=Assumptions!$B$15,"Medium","Low"))</f>
        <v/>
      </c>
      <c r="R221" s="2">
        <f>Cleaned_Data!L221</f>
        <v/>
      </c>
    </row>
    <row r="222">
      <c r="A222" s="2">
        <f>Cleaned_Data!A222</f>
        <v/>
      </c>
      <c r="B222" s="2">
        <f>Cleaned_Data!B222</f>
        <v/>
      </c>
      <c r="C222" s="2">
        <f>Cleaned_Data!G222</f>
        <v/>
      </c>
      <c r="D222" s="2">
        <f>Cleaned_Data!I222</f>
        <v/>
      </c>
      <c r="E222" s="2">
        <f>Cleaned_Data!H222</f>
        <v/>
      </c>
      <c r="F222" s="2">
        <f>Cleaned_Data!F222</f>
        <v/>
      </c>
      <c r="G222" s="9">
        <f>SUMPRODUCT(($B$2:$B$1196=B222)*($F$2:$F$1196&lt;=F222))/SUMPRODUCT(($B$2:$B$1196=B222)*1)</f>
        <v/>
      </c>
      <c r="H222" s="2">
        <f>Cleaned_Data!J222</f>
        <v/>
      </c>
      <c r="I222" s="2">
        <f>Cleaned_Data!E222</f>
        <v/>
      </c>
      <c r="J222" s="2">
        <f>IF(C222="Yes",1,0)</f>
        <v/>
      </c>
      <c r="K222" s="2">
        <f>MIN(MAX(1-(D222-1)/4,0),1)</f>
        <v/>
      </c>
      <c r="L222" s="2">
        <f>MIN(E222/60,1)</f>
        <v/>
      </c>
      <c r="M222" s="2">
        <f>MIN(MAX(1-G222,0),1)</f>
        <v/>
      </c>
      <c r="N222" s="2">
        <f>MIN(MAX(1-(H222-1)/4,0),1)</f>
        <v/>
      </c>
      <c r="O222" s="2">
        <f>1-MIN(I222/8,1)</f>
        <v/>
      </c>
      <c r="P222" s="10">
        <f>ROUND(100*(J222*Assumptions!$B$6+K222*Assumptions!$B$7+L222*Assumptions!$B$8+M222*Assumptions!$B$9+N222*Assumptions!$B$10+O222*Assumptions!$B$11),1)</f>
        <v/>
      </c>
      <c r="Q222" s="2">
        <f>IF(P222&gt;=Assumptions!$B$14,"High",IF(P222&gt;=Assumptions!$B$15,"Medium","Low"))</f>
        <v/>
      </c>
      <c r="R222" s="2">
        <f>Cleaned_Data!L222</f>
        <v/>
      </c>
    </row>
    <row r="223">
      <c r="A223" s="2">
        <f>Cleaned_Data!A223</f>
        <v/>
      </c>
      <c r="B223" s="2">
        <f>Cleaned_Data!B223</f>
        <v/>
      </c>
      <c r="C223" s="2">
        <f>Cleaned_Data!G223</f>
        <v/>
      </c>
      <c r="D223" s="2">
        <f>Cleaned_Data!I223</f>
        <v/>
      </c>
      <c r="E223" s="2">
        <f>Cleaned_Data!H223</f>
        <v/>
      </c>
      <c r="F223" s="2">
        <f>Cleaned_Data!F223</f>
        <v/>
      </c>
      <c r="G223" s="9">
        <f>SUMPRODUCT(($B$2:$B$1196=B223)*($F$2:$F$1196&lt;=F223))/SUMPRODUCT(($B$2:$B$1196=B223)*1)</f>
        <v/>
      </c>
      <c r="H223" s="2">
        <f>Cleaned_Data!J223</f>
        <v/>
      </c>
      <c r="I223" s="2">
        <f>Cleaned_Data!E223</f>
        <v/>
      </c>
      <c r="J223" s="2">
        <f>IF(C223="Yes",1,0)</f>
        <v/>
      </c>
      <c r="K223" s="2">
        <f>MIN(MAX(1-(D223-1)/4,0),1)</f>
        <v/>
      </c>
      <c r="L223" s="2">
        <f>MIN(E223/60,1)</f>
        <v/>
      </c>
      <c r="M223" s="2">
        <f>MIN(MAX(1-G223,0),1)</f>
        <v/>
      </c>
      <c r="N223" s="2">
        <f>MIN(MAX(1-(H223-1)/4,0),1)</f>
        <v/>
      </c>
      <c r="O223" s="2">
        <f>1-MIN(I223/8,1)</f>
        <v/>
      </c>
      <c r="P223" s="10">
        <f>ROUND(100*(J223*Assumptions!$B$6+K223*Assumptions!$B$7+L223*Assumptions!$B$8+M223*Assumptions!$B$9+N223*Assumptions!$B$10+O223*Assumptions!$B$11),1)</f>
        <v/>
      </c>
      <c r="Q223" s="2">
        <f>IF(P223&gt;=Assumptions!$B$14,"High",IF(P223&gt;=Assumptions!$B$15,"Medium","Low"))</f>
        <v/>
      </c>
      <c r="R223" s="2">
        <f>Cleaned_Data!L223</f>
        <v/>
      </c>
    </row>
    <row r="224">
      <c r="A224" s="2">
        <f>Cleaned_Data!A224</f>
        <v/>
      </c>
      <c r="B224" s="2">
        <f>Cleaned_Data!B224</f>
        <v/>
      </c>
      <c r="C224" s="2">
        <f>Cleaned_Data!G224</f>
        <v/>
      </c>
      <c r="D224" s="2">
        <f>Cleaned_Data!I224</f>
        <v/>
      </c>
      <c r="E224" s="2">
        <f>Cleaned_Data!H224</f>
        <v/>
      </c>
      <c r="F224" s="2">
        <f>Cleaned_Data!F224</f>
        <v/>
      </c>
      <c r="G224" s="9">
        <f>SUMPRODUCT(($B$2:$B$1196=B224)*($F$2:$F$1196&lt;=F224))/SUMPRODUCT(($B$2:$B$1196=B224)*1)</f>
        <v/>
      </c>
      <c r="H224" s="2">
        <f>Cleaned_Data!J224</f>
        <v/>
      </c>
      <c r="I224" s="2">
        <f>Cleaned_Data!E224</f>
        <v/>
      </c>
      <c r="J224" s="2">
        <f>IF(C224="Yes",1,0)</f>
        <v/>
      </c>
      <c r="K224" s="2">
        <f>MIN(MAX(1-(D224-1)/4,0),1)</f>
        <v/>
      </c>
      <c r="L224" s="2">
        <f>MIN(E224/60,1)</f>
        <v/>
      </c>
      <c r="M224" s="2">
        <f>MIN(MAX(1-G224,0),1)</f>
        <v/>
      </c>
      <c r="N224" s="2">
        <f>MIN(MAX(1-(H224-1)/4,0),1)</f>
        <v/>
      </c>
      <c r="O224" s="2">
        <f>1-MIN(I224/8,1)</f>
        <v/>
      </c>
      <c r="P224" s="10">
        <f>ROUND(100*(J224*Assumptions!$B$6+K224*Assumptions!$B$7+L224*Assumptions!$B$8+M224*Assumptions!$B$9+N224*Assumptions!$B$10+O224*Assumptions!$B$11),1)</f>
        <v/>
      </c>
      <c r="Q224" s="2">
        <f>IF(P224&gt;=Assumptions!$B$14,"High",IF(P224&gt;=Assumptions!$B$15,"Medium","Low"))</f>
        <v/>
      </c>
      <c r="R224" s="2">
        <f>Cleaned_Data!L224</f>
        <v/>
      </c>
    </row>
    <row r="225">
      <c r="A225" s="2">
        <f>Cleaned_Data!A225</f>
        <v/>
      </c>
      <c r="B225" s="2">
        <f>Cleaned_Data!B225</f>
        <v/>
      </c>
      <c r="C225" s="2">
        <f>Cleaned_Data!G225</f>
        <v/>
      </c>
      <c r="D225" s="2">
        <f>Cleaned_Data!I225</f>
        <v/>
      </c>
      <c r="E225" s="2">
        <f>Cleaned_Data!H225</f>
        <v/>
      </c>
      <c r="F225" s="2">
        <f>Cleaned_Data!F225</f>
        <v/>
      </c>
      <c r="G225" s="9">
        <f>SUMPRODUCT(($B$2:$B$1196=B225)*($F$2:$F$1196&lt;=F225))/SUMPRODUCT(($B$2:$B$1196=B225)*1)</f>
        <v/>
      </c>
      <c r="H225" s="2">
        <f>Cleaned_Data!J225</f>
        <v/>
      </c>
      <c r="I225" s="2">
        <f>Cleaned_Data!E225</f>
        <v/>
      </c>
      <c r="J225" s="2">
        <f>IF(C225="Yes",1,0)</f>
        <v/>
      </c>
      <c r="K225" s="2">
        <f>MIN(MAX(1-(D225-1)/4,0),1)</f>
        <v/>
      </c>
      <c r="L225" s="2">
        <f>MIN(E225/60,1)</f>
        <v/>
      </c>
      <c r="M225" s="2">
        <f>MIN(MAX(1-G225,0),1)</f>
        <v/>
      </c>
      <c r="N225" s="2">
        <f>MIN(MAX(1-(H225-1)/4,0),1)</f>
        <v/>
      </c>
      <c r="O225" s="2">
        <f>1-MIN(I225/8,1)</f>
        <v/>
      </c>
      <c r="P225" s="10">
        <f>ROUND(100*(J225*Assumptions!$B$6+K225*Assumptions!$B$7+L225*Assumptions!$B$8+M225*Assumptions!$B$9+N225*Assumptions!$B$10+O225*Assumptions!$B$11),1)</f>
        <v/>
      </c>
      <c r="Q225" s="2">
        <f>IF(P225&gt;=Assumptions!$B$14,"High",IF(P225&gt;=Assumptions!$B$15,"Medium","Low"))</f>
        <v/>
      </c>
      <c r="R225" s="2">
        <f>Cleaned_Data!L225</f>
        <v/>
      </c>
    </row>
    <row r="226">
      <c r="A226" s="2">
        <f>Cleaned_Data!A226</f>
        <v/>
      </c>
      <c r="B226" s="2">
        <f>Cleaned_Data!B226</f>
        <v/>
      </c>
      <c r="C226" s="2">
        <f>Cleaned_Data!G226</f>
        <v/>
      </c>
      <c r="D226" s="2">
        <f>Cleaned_Data!I226</f>
        <v/>
      </c>
      <c r="E226" s="2">
        <f>Cleaned_Data!H226</f>
        <v/>
      </c>
      <c r="F226" s="2">
        <f>Cleaned_Data!F226</f>
        <v/>
      </c>
      <c r="G226" s="9">
        <f>SUMPRODUCT(($B$2:$B$1196=B226)*($F$2:$F$1196&lt;=F226))/SUMPRODUCT(($B$2:$B$1196=B226)*1)</f>
        <v/>
      </c>
      <c r="H226" s="2">
        <f>Cleaned_Data!J226</f>
        <v/>
      </c>
      <c r="I226" s="2">
        <f>Cleaned_Data!E226</f>
        <v/>
      </c>
      <c r="J226" s="2">
        <f>IF(C226="Yes",1,0)</f>
        <v/>
      </c>
      <c r="K226" s="2">
        <f>MIN(MAX(1-(D226-1)/4,0),1)</f>
        <v/>
      </c>
      <c r="L226" s="2">
        <f>MIN(E226/60,1)</f>
        <v/>
      </c>
      <c r="M226" s="2">
        <f>MIN(MAX(1-G226,0),1)</f>
        <v/>
      </c>
      <c r="N226" s="2">
        <f>MIN(MAX(1-(H226-1)/4,0),1)</f>
        <v/>
      </c>
      <c r="O226" s="2">
        <f>1-MIN(I226/8,1)</f>
        <v/>
      </c>
      <c r="P226" s="10">
        <f>ROUND(100*(J226*Assumptions!$B$6+K226*Assumptions!$B$7+L226*Assumptions!$B$8+M226*Assumptions!$B$9+N226*Assumptions!$B$10+O226*Assumptions!$B$11),1)</f>
        <v/>
      </c>
      <c r="Q226" s="2">
        <f>IF(P226&gt;=Assumptions!$B$14,"High",IF(P226&gt;=Assumptions!$B$15,"Medium","Low"))</f>
        <v/>
      </c>
      <c r="R226" s="2">
        <f>Cleaned_Data!L226</f>
        <v/>
      </c>
    </row>
    <row r="227">
      <c r="A227" s="2">
        <f>Cleaned_Data!A227</f>
        <v/>
      </c>
      <c r="B227" s="2">
        <f>Cleaned_Data!B227</f>
        <v/>
      </c>
      <c r="C227" s="2">
        <f>Cleaned_Data!G227</f>
        <v/>
      </c>
      <c r="D227" s="2">
        <f>Cleaned_Data!I227</f>
        <v/>
      </c>
      <c r="E227" s="2">
        <f>Cleaned_Data!H227</f>
        <v/>
      </c>
      <c r="F227" s="2">
        <f>Cleaned_Data!F227</f>
        <v/>
      </c>
      <c r="G227" s="9">
        <f>SUMPRODUCT(($B$2:$B$1196=B227)*($F$2:$F$1196&lt;=F227))/SUMPRODUCT(($B$2:$B$1196=B227)*1)</f>
        <v/>
      </c>
      <c r="H227" s="2">
        <f>Cleaned_Data!J227</f>
        <v/>
      </c>
      <c r="I227" s="2">
        <f>Cleaned_Data!E227</f>
        <v/>
      </c>
      <c r="J227" s="2">
        <f>IF(C227="Yes",1,0)</f>
        <v/>
      </c>
      <c r="K227" s="2">
        <f>MIN(MAX(1-(D227-1)/4,0),1)</f>
        <v/>
      </c>
      <c r="L227" s="2">
        <f>MIN(E227/60,1)</f>
        <v/>
      </c>
      <c r="M227" s="2">
        <f>MIN(MAX(1-G227,0),1)</f>
        <v/>
      </c>
      <c r="N227" s="2">
        <f>MIN(MAX(1-(H227-1)/4,0),1)</f>
        <v/>
      </c>
      <c r="O227" s="2">
        <f>1-MIN(I227/8,1)</f>
        <v/>
      </c>
      <c r="P227" s="10">
        <f>ROUND(100*(J227*Assumptions!$B$6+K227*Assumptions!$B$7+L227*Assumptions!$B$8+M227*Assumptions!$B$9+N227*Assumptions!$B$10+O227*Assumptions!$B$11),1)</f>
        <v/>
      </c>
      <c r="Q227" s="2">
        <f>IF(P227&gt;=Assumptions!$B$14,"High",IF(P227&gt;=Assumptions!$B$15,"Medium","Low"))</f>
        <v/>
      </c>
      <c r="R227" s="2">
        <f>Cleaned_Data!L227</f>
        <v/>
      </c>
    </row>
    <row r="228">
      <c r="A228" s="2">
        <f>Cleaned_Data!A228</f>
        <v/>
      </c>
      <c r="B228" s="2">
        <f>Cleaned_Data!B228</f>
        <v/>
      </c>
      <c r="C228" s="2">
        <f>Cleaned_Data!G228</f>
        <v/>
      </c>
      <c r="D228" s="2">
        <f>Cleaned_Data!I228</f>
        <v/>
      </c>
      <c r="E228" s="2">
        <f>Cleaned_Data!H228</f>
        <v/>
      </c>
      <c r="F228" s="2">
        <f>Cleaned_Data!F228</f>
        <v/>
      </c>
      <c r="G228" s="9">
        <f>SUMPRODUCT(($B$2:$B$1196=B228)*($F$2:$F$1196&lt;=F228))/SUMPRODUCT(($B$2:$B$1196=B228)*1)</f>
        <v/>
      </c>
      <c r="H228" s="2">
        <f>Cleaned_Data!J228</f>
        <v/>
      </c>
      <c r="I228" s="2">
        <f>Cleaned_Data!E228</f>
        <v/>
      </c>
      <c r="J228" s="2">
        <f>IF(C228="Yes",1,0)</f>
        <v/>
      </c>
      <c r="K228" s="2">
        <f>MIN(MAX(1-(D228-1)/4,0),1)</f>
        <v/>
      </c>
      <c r="L228" s="2">
        <f>MIN(E228/60,1)</f>
        <v/>
      </c>
      <c r="M228" s="2">
        <f>MIN(MAX(1-G228,0),1)</f>
        <v/>
      </c>
      <c r="N228" s="2">
        <f>MIN(MAX(1-(H228-1)/4,0),1)</f>
        <v/>
      </c>
      <c r="O228" s="2">
        <f>1-MIN(I228/8,1)</f>
        <v/>
      </c>
      <c r="P228" s="10">
        <f>ROUND(100*(J228*Assumptions!$B$6+K228*Assumptions!$B$7+L228*Assumptions!$B$8+M228*Assumptions!$B$9+N228*Assumptions!$B$10+O228*Assumptions!$B$11),1)</f>
        <v/>
      </c>
      <c r="Q228" s="2">
        <f>IF(P228&gt;=Assumptions!$B$14,"High",IF(P228&gt;=Assumptions!$B$15,"Medium","Low"))</f>
        <v/>
      </c>
      <c r="R228" s="2">
        <f>Cleaned_Data!L228</f>
        <v/>
      </c>
    </row>
    <row r="229">
      <c r="A229" s="2">
        <f>Cleaned_Data!A229</f>
        <v/>
      </c>
      <c r="B229" s="2">
        <f>Cleaned_Data!B229</f>
        <v/>
      </c>
      <c r="C229" s="2">
        <f>Cleaned_Data!G229</f>
        <v/>
      </c>
      <c r="D229" s="2">
        <f>Cleaned_Data!I229</f>
        <v/>
      </c>
      <c r="E229" s="2">
        <f>Cleaned_Data!H229</f>
        <v/>
      </c>
      <c r="F229" s="2">
        <f>Cleaned_Data!F229</f>
        <v/>
      </c>
      <c r="G229" s="9">
        <f>SUMPRODUCT(($B$2:$B$1196=B229)*($F$2:$F$1196&lt;=F229))/SUMPRODUCT(($B$2:$B$1196=B229)*1)</f>
        <v/>
      </c>
      <c r="H229" s="2">
        <f>Cleaned_Data!J229</f>
        <v/>
      </c>
      <c r="I229" s="2">
        <f>Cleaned_Data!E229</f>
        <v/>
      </c>
      <c r="J229" s="2">
        <f>IF(C229="Yes",1,0)</f>
        <v/>
      </c>
      <c r="K229" s="2">
        <f>MIN(MAX(1-(D229-1)/4,0),1)</f>
        <v/>
      </c>
      <c r="L229" s="2">
        <f>MIN(E229/60,1)</f>
        <v/>
      </c>
      <c r="M229" s="2">
        <f>MIN(MAX(1-G229,0),1)</f>
        <v/>
      </c>
      <c r="N229" s="2">
        <f>MIN(MAX(1-(H229-1)/4,0),1)</f>
        <v/>
      </c>
      <c r="O229" s="2">
        <f>1-MIN(I229/8,1)</f>
        <v/>
      </c>
      <c r="P229" s="10">
        <f>ROUND(100*(J229*Assumptions!$B$6+K229*Assumptions!$B$7+L229*Assumptions!$B$8+M229*Assumptions!$B$9+N229*Assumptions!$B$10+O229*Assumptions!$B$11),1)</f>
        <v/>
      </c>
      <c r="Q229" s="2">
        <f>IF(P229&gt;=Assumptions!$B$14,"High",IF(P229&gt;=Assumptions!$B$15,"Medium","Low"))</f>
        <v/>
      </c>
      <c r="R229" s="2">
        <f>Cleaned_Data!L229</f>
        <v/>
      </c>
    </row>
    <row r="230">
      <c r="A230" s="2">
        <f>Cleaned_Data!A230</f>
        <v/>
      </c>
      <c r="B230" s="2">
        <f>Cleaned_Data!B230</f>
        <v/>
      </c>
      <c r="C230" s="2">
        <f>Cleaned_Data!G230</f>
        <v/>
      </c>
      <c r="D230" s="2">
        <f>Cleaned_Data!I230</f>
        <v/>
      </c>
      <c r="E230" s="2">
        <f>Cleaned_Data!H230</f>
        <v/>
      </c>
      <c r="F230" s="2">
        <f>Cleaned_Data!F230</f>
        <v/>
      </c>
      <c r="G230" s="9">
        <f>SUMPRODUCT(($B$2:$B$1196=B230)*($F$2:$F$1196&lt;=F230))/SUMPRODUCT(($B$2:$B$1196=B230)*1)</f>
        <v/>
      </c>
      <c r="H230" s="2">
        <f>Cleaned_Data!J230</f>
        <v/>
      </c>
      <c r="I230" s="2">
        <f>Cleaned_Data!E230</f>
        <v/>
      </c>
      <c r="J230" s="2">
        <f>IF(C230="Yes",1,0)</f>
        <v/>
      </c>
      <c r="K230" s="2">
        <f>MIN(MAX(1-(D230-1)/4,0),1)</f>
        <v/>
      </c>
      <c r="L230" s="2">
        <f>MIN(E230/60,1)</f>
        <v/>
      </c>
      <c r="M230" s="2">
        <f>MIN(MAX(1-G230,0),1)</f>
        <v/>
      </c>
      <c r="N230" s="2">
        <f>MIN(MAX(1-(H230-1)/4,0),1)</f>
        <v/>
      </c>
      <c r="O230" s="2">
        <f>1-MIN(I230/8,1)</f>
        <v/>
      </c>
      <c r="P230" s="10">
        <f>ROUND(100*(J230*Assumptions!$B$6+K230*Assumptions!$B$7+L230*Assumptions!$B$8+M230*Assumptions!$B$9+N230*Assumptions!$B$10+O230*Assumptions!$B$11),1)</f>
        <v/>
      </c>
      <c r="Q230" s="2">
        <f>IF(P230&gt;=Assumptions!$B$14,"High",IF(P230&gt;=Assumptions!$B$15,"Medium","Low"))</f>
        <v/>
      </c>
      <c r="R230" s="2">
        <f>Cleaned_Data!L230</f>
        <v/>
      </c>
    </row>
    <row r="231">
      <c r="A231" s="2">
        <f>Cleaned_Data!A231</f>
        <v/>
      </c>
      <c r="B231" s="2">
        <f>Cleaned_Data!B231</f>
        <v/>
      </c>
      <c r="C231" s="2">
        <f>Cleaned_Data!G231</f>
        <v/>
      </c>
      <c r="D231" s="2">
        <f>Cleaned_Data!I231</f>
        <v/>
      </c>
      <c r="E231" s="2">
        <f>Cleaned_Data!H231</f>
        <v/>
      </c>
      <c r="F231" s="2">
        <f>Cleaned_Data!F231</f>
        <v/>
      </c>
      <c r="G231" s="9">
        <f>SUMPRODUCT(($B$2:$B$1196=B231)*($F$2:$F$1196&lt;=F231))/SUMPRODUCT(($B$2:$B$1196=B231)*1)</f>
        <v/>
      </c>
      <c r="H231" s="2">
        <f>Cleaned_Data!J231</f>
        <v/>
      </c>
      <c r="I231" s="2">
        <f>Cleaned_Data!E231</f>
        <v/>
      </c>
      <c r="J231" s="2">
        <f>IF(C231="Yes",1,0)</f>
        <v/>
      </c>
      <c r="K231" s="2">
        <f>MIN(MAX(1-(D231-1)/4,0),1)</f>
        <v/>
      </c>
      <c r="L231" s="2">
        <f>MIN(E231/60,1)</f>
        <v/>
      </c>
      <c r="M231" s="2">
        <f>MIN(MAX(1-G231,0),1)</f>
        <v/>
      </c>
      <c r="N231" s="2">
        <f>MIN(MAX(1-(H231-1)/4,0),1)</f>
        <v/>
      </c>
      <c r="O231" s="2">
        <f>1-MIN(I231/8,1)</f>
        <v/>
      </c>
      <c r="P231" s="10">
        <f>ROUND(100*(J231*Assumptions!$B$6+K231*Assumptions!$B$7+L231*Assumptions!$B$8+M231*Assumptions!$B$9+N231*Assumptions!$B$10+O231*Assumptions!$B$11),1)</f>
        <v/>
      </c>
      <c r="Q231" s="2">
        <f>IF(P231&gt;=Assumptions!$B$14,"High",IF(P231&gt;=Assumptions!$B$15,"Medium","Low"))</f>
        <v/>
      </c>
      <c r="R231" s="2">
        <f>Cleaned_Data!L231</f>
        <v/>
      </c>
    </row>
    <row r="232">
      <c r="A232" s="2">
        <f>Cleaned_Data!A232</f>
        <v/>
      </c>
      <c r="B232" s="2">
        <f>Cleaned_Data!B232</f>
        <v/>
      </c>
      <c r="C232" s="2">
        <f>Cleaned_Data!G232</f>
        <v/>
      </c>
      <c r="D232" s="2">
        <f>Cleaned_Data!I232</f>
        <v/>
      </c>
      <c r="E232" s="2">
        <f>Cleaned_Data!H232</f>
        <v/>
      </c>
      <c r="F232" s="2">
        <f>Cleaned_Data!F232</f>
        <v/>
      </c>
      <c r="G232" s="9">
        <f>SUMPRODUCT(($B$2:$B$1196=B232)*($F$2:$F$1196&lt;=F232))/SUMPRODUCT(($B$2:$B$1196=B232)*1)</f>
        <v/>
      </c>
      <c r="H232" s="2">
        <f>Cleaned_Data!J232</f>
        <v/>
      </c>
      <c r="I232" s="2">
        <f>Cleaned_Data!E232</f>
        <v/>
      </c>
      <c r="J232" s="2">
        <f>IF(C232="Yes",1,0)</f>
        <v/>
      </c>
      <c r="K232" s="2">
        <f>MIN(MAX(1-(D232-1)/4,0),1)</f>
        <v/>
      </c>
      <c r="L232" s="2">
        <f>MIN(E232/60,1)</f>
        <v/>
      </c>
      <c r="M232" s="2">
        <f>MIN(MAX(1-G232,0),1)</f>
        <v/>
      </c>
      <c r="N232" s="2">
        <f>MIN(MAX(1-(H232-1)/4,0),1)</f>
        <v/>
      </c>
      <c r="O232" s="2">
        <f>1-MIN(I232/8,1)</f>
        <v/>
      </c>
      <c r="P232" s="10">
        <f>ROUND(100*(J232*Assumptions!$B$6+K232*Assumptions!$B$7+L232*Assumptions!$B$8+M232*Assumptions!$B$9+N232*Assumptions!$B$10+O232*Assumptions!$B$11),1)</f>
        <v/>
      </c>
      <c r="Q232" s="2">
        <f>IF(P232&gt;=Assumptions!$B$14,"High",IF(P232&gt;=Assumptions!$B$15,"Medium","Low"))</f>
        <v/>
      </c>
      <c r="R232" s="2">
        <f>Cleaned_Data!L232</f>
        <v/>
      </c>
    </row>
    <row r="233">
      <c r="A233" s="2">
        <f>Cleaned_Data!A233</f>
        <v/>
      </c>
      <c r="B233" s="2">
        <f>Cleaned_Data!B233</f>
        <v/>
      </c>
      <c r="C233" s="2">
        <f>Cleaned_Data!G233</f>
        <v/>
      </c>
      <c r="D233" s="2">
        <f>Cleaned_Data!I233</f>
        <v/>
      </c>
      <c r="E233" s="2">
        <f>Cleaned_Data!H233</f>
        <v/>
      </c>
      <c r="F233" s="2">
        <f>Cleaned_Data!F233</f>
        <v/>
      </c>
      <c r="G233" s="9">
        <f>SUMPRODUCT(($B$2:$B$1196=B233)*($F$2:$F$1196&lt;=F233))/SUMPRODUCT(($B$2:$B$1196=B233)*1)</f>
        <v/>
      </c>
      <c r="H233" s="2">
        <f>Cleaned_Data!J233</f>
        <v/>
      </c>
      <c r="I233" s="2">
        <f>Cleaned_Data!E233</f>
        <v/>
      </c>
      <c r="J233" s="2">
        <f>IF(C233="Yes",1,0)</f>
        <v/>
      </c>
      <c r="K233" s="2">
        <f>MIN(MAX(1-(D233-1)/4,0),1)</f>
        <v/>
      </c>
      <c r="L233" s="2">
        <f>MIN(E233/60,1)</f>
        <v/>
      </c>
      <c r="M233" s="2">
        <f>MIN(MAX(1-G233,0),1)</f>
        <v/>
      </c>
      <c r="N233" s="2">
        <f>MIN(MAX(1-(H233-1)/4,0),1)</f>
        <v/>
      </c>
      <c r="O233" s="2">
        <f>1-MIN(I233/8,1)</f>
        <v/>
      </c>
      <c r="P233" s="10">
        <f>ROUND(100*(J233*Assumptions!$B$6+K233*Assumptions!$B$7+L233*Assumptions!$B$8+M233*Assumptions!$B$9+N233*Assumptions!$B$10+O233*Assumptions!$B$11),1)</f>
        <v/>
      </c>
      <c r="Q233" s="2">
        <f>IF(P233&gt;=Assumptions!$B$14,"High",IF(P233&gt;=Assumptions!$B$15,"Medium","Low"))</f>
        <v/>
      </c>
      <c r="R233" s="2">
        <f>Cleaned_Data!L233</f>
        <v/>
      </c>
    </row>
    <row r="234">
      <c r="A234" s="2">
        <f>Cleaned_Data!A234</f>
        <v/>
      </c>
      <c r="B234" s="2">
        <f>Cleaned_Data!B234</f>
        <v/>
      </c>
      <c r="C234" s="2">
        <f>Cleaned_Data!G234</f>
        <v/>
      </c>
      <c r="D234" s="2">
        <f>Cleaned_Data!I234</f>
        <v/>
      </c>
      <c r="E234" s="2">
        <f>Cleaned_Data!H234</f>
        <v/>
      </c>
      <c r="F234" s="2">
        <f>Cleaned_Data!F234</f>
        <v/>
      </c>
      <c r="G234" s="9">
        <f>SUMPRODUCT(($B$2:$B$1196=B234)*($F$2:$F$1196&lt;=F234))/SUMPRODUCT(($B$2:$B$1196=B234)*1)</f>
        <v/>
      </c>
      <c r="H234" s="2">
        <f>Cleaned_Data!J234</f>
        <v/>
      </c>
      <c r="I234" s="2">
        <f>Cleaned_Data!E234</f>
        <v/>
      </c>
      <c r="J234" s="2">
        <f>IF(C234="Yes",1,0)</f>
        <v/>
      </c>
      <c r="K234" s="2">
        <f>MIN(MAX(1-(D234-1)/4,0),1)</f>
        <v/>
      </c>
      <c r="L234" s="2">
        <f>MIN(E234/60,1)</f>
        <v/>
      </c>
      <c r="M234" s="2">
        <f>MIN(MAX(1-G234,0),1)</f>
        <v/>
      </c>
      <c r="N234" s="2">
        <f>MIN(MAX(1-(H234-1)/4,0),1)</f>
        <v/>
      </c>
      <c r="O234" s="2">
        <f>1-MIN(I234/8,1)</f>
        <v/>
      </c>
      <c r="P234" s="10">
        <f>ROUND(100*(J234*Assumptions!$B$6+K234*Assumptions!$B$7+L234*Assumptions!$B$8+M234*Assumptions!$B$9+N234*Assumptions!$B$10+O234*Assumptions!$B$11),1)</f>
        <v/>
      </c>
      <c r="Q234" s="2">
        <f>IF(P234&gt;=Assumptions!$B$14,"High",IF(P234&gt;=Assumptions!$B$15,"Medium","Low"))</f>
        <v/>
      </c>
      <c r="R234" s="2">
        <f>Cleaned_Data!L234</f>
        <v/>
      </c>
    </row>
    <row r="235">
      <c r="A235" s="2">
        <f>Cleaned_Data!A235</f>
        <v/>
      </c>
      <c r="B235" s="2">
        <f>Cleaned_Data!B235</f>
        <v/>
      </c>
      <c r="C235" s="2">
        <f>Cleaned_Data!G235</f>
        <v/>
      </c>
      <c r="D235" s="2">
        <f>Cleaned_Data!I235</f>
        <v/>
      </c>
      <c r="E235" s="2">
        <f>Cleaned_Data!H235</f>
        <v/>
      </c>
      <c r="F235" s="2">
        <f>Cleaned_Data!F235</f>
        <v/>
      </c>
      <c r="G235" s="9">
        <f>SUMPRODUCT(($B$2:$B$1196=B235)*($F$2:$F$1196&lt;=F235))/SUMPRODUCT(($B$2:$B$1196=B235)*1)</f>
        <v/>
      </c>
      <c r="H235" s="2">
        <f>Cleaned_Data!J235</f>
        <v/>
      </c>
      <c r="I235" s="2">
        <f>Cleaned_Data!E235</f>
        <v/>
      </c>
      <c r="J235" s="2">
        <f>IF(C235="Yes",1,0)</f>
        <v/>
      </c>
      <c r="K235" s="2">
        <f>MIN(MAX(1-(D235-1)/4,0),1)</f>
        <v/>
      </c>
      <c r="L235" s="2">
        <f>MIN(E235/60,1)</f>
        <v/>
      </c>
      <c r="M235" s="2">
        <f>MIN(MAX(1-G235,0),1)</f>
        <v/>
      </c>
      <c r="N235" s="2">
        <f>MIN(MAX(1-(H235-1)/4,0),1)</f>
        <v/>
      </c>
      <c r="O235" s="2">
        <f>1-MIN(I235/8,1)</f>
        <v/>
      </c>
      <c r="P235" s="10">
        <f>ROUND(100*(J235*Assumptions!$B$6+K235*Assumptions!$B$7+L235*Assumptions!$B$8+M235*Assumptions!$B$9+N235*Assumptions!$B$10+O235*Assumptions!$B$11),1)</f>
        <v/>
      </c>
      <c r="Q235" s="2">
        <f>IF(P235&gt;=Assumptions!$B$14,"High",IF(P235&gt;=Assumptions!$B$15,"Medium","Low"))</f>
        <v/>
      </c>
      <c r="R235" s="2">
        <f>Cleaned_Data!L235</f>
        <v/>
      </c>
    </row>
    <row r="236">
      <c r="A236" s="2">
        <f>Cleaned_Data!A236</f>
        <v/>
      </c>
      <c r="B236" s="2">
        <f>Cleaned_Data!B236</f>
        <v/>
      </c>
      <c r="C236" s="2">
        <f>Cleaned_Data!G236</f>
        <v/>
      </c>
      <c r="D236" s="2">
        <f>Cleaned_Data!I236</f>
        <v/>
      </c>
      <c r="E236" s="2">
        <f>Cleaned_Data!H236</f>
        <v/>
      </c>
      <c r="F236" s="2">
        <f>Cleaned_Data!F236</f>
        <v/>
      </c>
      <c r="G236" s="9">
        <f>SUMPRODUCT(($B$2:$B$1196=B236)*($F$2:$F$1196&lt;=F236))/SUMPRODUCT(($B$2:$B$1196=B236)*1)</f>
        <v/>
      </c>
      <c r="H236" s="2">
        <f>Cleaned_Data!J236</f>
        <v/>
      </c>
      <c r="I236" s="2">
        <f>Cleaned_Data!E236</f>
        <v/>
      </c>
      <c r="J236" s="2">
        <f>IF(C236="Yes",1,0)</f>
        <v/>
      </c>
      <c r="K236" s="2">
        <f>MIN(MAX(1-(D236-1)/4,0),1)</f>
        <v/>
      </c>
      <c r="L236" s="2">
        <f>MIN(E236/60,1)</f>
        <v/>
      </c>
      <c r="M236" s="2">
        <f>MIN(MAX(1-G236,0),1)</f>
        <v/>
      </c>
      <c r="N236" s="2">
        <f>MIN(MAX(1-(H236-1)/4,0),1)</f>
        <v/>
      </c>
      <c r="O236" s="2">
        <f>1-MIN(I236/8,1)</f>
        <v/>
      </c>
      <c r="P236" s="10">
        <f>ROUND(100*(J236*Assumptions!$B$6+K236*Assumptions!$B$7+L236*Assumptions!$B$8+M236*Assumptions!$B$9+N236*Assumptions!$B$10+O236*Assumptions!$B$11),1)</f>
        <v/>
      </c>
      <c r="Q236" s="2">
        <f>IF(P236&gt;=Assumptions!$B$14,"High",IF(P236&gt;=Assumptions!$B$15,"Medium","Low"))</f>
        <v/>
      </c>
      <c r="R236" s="2">
        <f>Cleaned_Data!L236</f>
        <v/>
      </c>
    </row>
    <row r="237">
      <c r="A237" s="2">
        <f>Cleaned_Data!A237</f>
        <v/>
      </c>
      <c r="B237" s="2">
        <f>Cleaned_Data!B237</f>
        <v/>
      </c>
      <c r="C237" s="2">
        <f>Cleaned_Data!G237</f>
        <v/>
      </c>
      <c r="D237" s="2">
        <f>Cleaned_Data!I237</f>
        <v/>
      </c>
      <c r="E237" s="2">
        <f>Cleaned_Data!H237</f>
        <v/>
      </c>
      <c r="F237" s="2">
        <f>Cleaned_Data!F237</f>
        <v/>
      </c>
      <c r="G237" s="9">
        <f>SUMPRODUCT(($B$2:$B$1196=B237)*($F$2:$F$1196&lt;=F237))/SUMPRODUCT(($B$2:$B$1196=B237)*1)</f>
        <v/>
      </c>
      <c r="H237" s="2">
        <f>Cleaned_Data!J237</f>
        <v/>
      </c>
      <c r="I237" s="2">
        <f>Cleaned_Data!E237</f>
        <v/>
      </c>
      <c r="J237" s="2">
        <f>IF(C237="Yes",1,0)</f>
        <v/>
      </c>
      <c r="K237" s="2">
        <f>MIN(MAX(1-(D237-1)/4,0),1)</f>
        <v/>
      </c>
      <c r="L237" s="2">
        <f>MIN(E237/60,1)</f>
        <v/>
      </c>
      <c r="M237" s="2">
        <f>MIN(MAX(1-G237,0),1)</f>
        <v/>
      </c>
      <c r="N237" s="2">
        <f>MIN(MAX(1-(H237-1)/4,0),1)</f>
        <v/>
      </c>
      <c r="O237" s="2">
        <f>1-MIN(I237/8,1)</f>
        <v/>
      </c>
      <c r="P237" s="10">
        <f>ROUND(100*(J237*Assumptions!$B$6+K237*Assumptions!$B$7+L237*Assumptions!$B$8+M237*Assumptions!$B$9+N237*Assumptions!$B$10+O237*Assumptions!$B$11),1)</f>
        <v/>
      </c>
      <c r="Q237" s="2">
        <f>IF(P237&gt;=Assumptions!$B$14,"High",IF(P237&gt;=Assumptions!$B$15,"Medium","Low"))</f>
        <v/>
      </c>
      <c r="R237" s="2">
        <f>Cleaned_Data!L237</f>
        <v/>
      </c>
    </row>
    <row r="238">
      <c r="A238" s="2">
        <f>Cleaned_Data!A238</f>
        <v/>
      </c>
      <c r="B238" s="2">
        <f>Cleaned_Data!B238</f>
        <v/>
      </c>
      <c r="C238" s="2">
        <f>Cleaned_Data!G238</f>
        <v/>
      </c>
      <c r="D238" s="2">
        <f>Cleaned_Data!I238</f>
        <v/>
      </c>
      <c r="E238" s="2">
        <f>Cleaned_Data!H238</f>
        <v/>
      </c>
      <c r="F238" s="2">
        <f>Cleaned_Data!F238</f>
        <v/>
      </c>
      <c r="G238" s="9">
        <f>SUMPRODUCT(($B$2:$B$1196=B238)*($F$2:$F$1196&lt;=F238))/SUMPRODUCT(($B$2:$B$1196=B238)*1)</f>
        <v/>
      </c>
      <c r="H238" s="2">
        <f>Cleaned_Data!J238</f>
        <v/>
      </c>
      <c r="I238" s="2">
        <f>Cleaned_Data!E238</f>
        <v/>
      </c>
      <c r="J238" s="2">
        <f>IF(C238="Yes",1,0)</f>
        <v/>
      </c>
      <c r="K238" s="2">
        <f>MIN(MAX(1-(D238-1)/4,0),1)</f>
        <v/>
      </c>
      <c r="L238" s="2">
        <f>MIN(E238/60,1)</f>
        <v/>
      </c>
      <c r="M238" s="2">
        <f>MIN(MAX(1-G238,0),1)</f>
        <v/>
      </c>
      <c r="N238" s="2">
        <f>MIN(MAX(1-(H238-1)/4,0),1)</f>
        <v/>
      </c>
      <c r="O238" s="2">
        <f>1-MIN(I238/8,1)</f>
        <v/>
      </c>
      <c r="P238" s="10">
        <f>ROUND(100*(J238*Assumptions!$B$6+K238*Assumptions!$B$7+L238*Assumptions!$B$8+M238*Assumptions!$B$9+N238*Assumptions!$B$10+O238*Assumptions!$B$11),1)</f>
        <v/>
      </c>
      <c r="Q238" s="2">
        <f>IF(P238&gt;=Assumptions!$B$14,"High",IF(P238&gt;=Assumptions!$B$15,"Medium","Low"))</f>
        <v/>
      </c>
      <c r="R238" s="2">
        <f>Cleaned_Data!L238</f>
        <v/>
      </c>
    </row>
    <row r="239">
      <c r="A239" s="2">
        <f>Cleaned_Data!A239</f>
        <v/>
      </c>
      <c r="B239" s="2">
        <f>Cleaned_Data!B239</f>
        <v/>
      </c>
      <c r="C239" s="2">
        <f>Cleaned_Data!G239</f>
        <v/>
      </c>
      <c r="D239" s="2">
        <f>Cleaned_Data!I239</f>
        <v/>
      </c>
      <c r="E239" s="2">
        <f>Cleaned_Data!H239</f>
        <v/>
      </c>
      <c r="F239" s="2">
        <f>Cleaned_Data!F239</f>
        <v/>
      </c>
      <c r="G239" s="9">
        <f>SUMPRODUCT(($B$2:$B$1196=B239)*($F$2:$F$1196&lt;=F239))/SUMPRODUCT(($B$2:$B$1196=B239)*1)</f>
        <v/>
      </c>
      <c r="H239" s="2">
        <f>Cleaned_Data!J239</f>
        <v/>
      </c>
      <c r="I239" s="2">
        <f>Cleaned_Data!E239</f>
        <v/>
      </c>
      <c r="J239" s="2">
        <f>IF(C239="Yes",1,0)</f>
        <v/>
      </c>
      <c r="K239" s="2">
        <f>MIN(MAX(1-(D239-1)/4,0),1)</f>
        <v/>
      </c>
      <c r="L239" s="2">
        <f>MIN(E239/60,1)</f>
        <v/>
      </c>
      <c r="M239" s="2">
        <f>MIN(MAX(1-G239,0),1)</f>
        <v/>
      </c>
      <c r="N239" s="2">
        <f>MIN(MAX(1-(H239-1)/4,0),1)</f>
        <v/>
      </c>
      <c r="O239" s="2">
        <f>1-MIN(I239/8,1)</f>
        <v/>
      </c>
      <c r="P239" s="10">
        <f>ROUND(100*(J239*Assumptions!$B$6+K239*Assumptions!$B$7+L239*Assumptions!$B$8+M239*Assumptions!$B$9+N239*Assumptions!$B$10+O239*Assumptions!$B$11),1)</f>
        <v/>
      </c>
      <c r="Q239" s="2">
        <f>IF(P239&gt;=Assumptions!$B$14,"High",IF(P239&gt;=Assumptions!$B$15,"Medium","Low"))</f>
        <v/>
      </c>
      <c r="R239" s="2">
        <f>Cleaned_Data!L239</f>
        <v/>
      </c>
    </row>
    <row r="240">
      <c r="A240" s="2">
        <f>Cleaned_Data!A240</f>
        <v/>
      </c>
      <c r="B240" s="2">
        <f>Cleaned_Data!B240</f>
        <v/>
      </c>
      <c r="C240" s="2">
        <f>Cleaned_Data!G240</f>
        <v/>
      </c>
      <c r="D240" s="2">
        <f>Cleaned_Data!I240</f>
        <v/>
      </c>
      <c r="E240" s="2">
        <f>Cleaned_Data!H240</f>
        <v/>
      </c>
      <c r="F240" s="2">
        <f>Cleaned_Data!F240</f>
        <v/>
      </c>
      <c r="G240" s="9">
        <f>SUMPRODUCT(($B$2:$B$1196=B240)*($F$2:$F$1196&lt;=F240))/SUMPRODUCT(($B$2:$B$1196=B240)*1)</f>
        <v/>
      </c>
      <c r="H240" s="2">
        <f>Cleaned_Data!J240</f>
        <v/>
      </c>
      <c r="I240" s="2">
        <f>Cleaned_Data!E240</f>
        <v/>
      </c>
      <c r="J240" s="2">
        <f>IF(C240="Yes",1,0)</f>
        <v/>
      </c>
      <c r="K240" s="2">
        <f>MIN(MAX(1-(D240-1)/4,0),1)</f>
        <v/>
      </c>
      <c r="L240" s="2">
        <f>MIN(E240/60,1)</f>
        <v/>
      </c>
      <c r="M240" s="2">
        <f>MIN(MAX(1-G240,0),1)</f>
        <v/>
      </c>
      <c r="N240" s="2">
        <f>MIN(MAX(1-(H240-1)/4,0),1)</f>
        <v/>
      </c>
      <c r="O240" s="2">
        <f>1-MIN(I240/8,1)</f>
        <v/>
      </c>
      <c r="P240" s="10">
        <f>ROUND(100*(J240*Assumptions!$B$6+K240*Assumptions!$B$7+L240*Assumptions!$B$8+M240*Assumptions!$B$9+N240*Assumptions!$B$10+O240*Assumptions!$B$11),1)</f>
        <v/>
      </c>
      <c r="Q240" s="2">
        <f>IF(P240&gt;=Assumptions!$B$14,"High",IF(P240&gt;=Assumptions!$B$15,"Medium","Low"))</f>
        <v/>
      </c>
      <c r="R240" s="2">
        <f>Cleaned_Data!L240</f>
        <v/>
      </c>
    </row>
    <row r="241">
      <c r="A241" s="2">
        <f>Cleaned_Data!A241</f>
        <v/>
      </c>
      <c r="B241" s="2">
        <f>Cleaned_Data!B241</f>
        <v/>
      </c>
      <c r="C241" s="2">
        <f>Cleaned_Data!G241</f>
        <v/>
      </c>
      <c r="D241" s="2">
        <f>Cleaned_Data!I241</f>
        <v/>
      </c>
      <c r="E241" s="2">
        <f>Cleaned_Data!H241</f>
        <v/>
      </c>
      <c r="F241" s="2">
        <f>Cleaned_Data!F241</f>
        <v/>
      </c>
      <c r="G241" s="9">
        <f>SUMPRODUCT(($B$2:$B$1196=B241)*($F$2:$F$1196&lt;=F241))/SUMPRODUCT(($B$2:$B$1196=B241)*1)</f>
        <v/>
      </c>
      <c r="H241" s="2">
        <f>Cleaned_Data!J241</f>
        <v/>
      </c>
      <c r="I241" s="2">
        <f>Cleaned_Data!E241</f>
        <v/>
      </c>
      <c r="J241" s="2">
        <f>IF(C241="Yes",1,0)</f>
        <v/>
      </c>
      <c r="K241" s="2">
        <f>MIN(MAX(1-(D241-1)/4,0),1)</f>
        <v/>
      </c>
      <c r="L241" s="2">
        <f>MIN(E241/60,1)</f>
        <v/>
      </c>
      <c r="M241" s="2">
        <f>MIN(MAX(1-G241,0),1)</f>
        <v/>
      </c>
      <c r="N241" s="2">
        <f>MIN(MAX(1-(H241-1)/4,0),1)</f>
        <v/>
      </c>
      <c r="O241" s="2">
        <f>1-MIN(I241/8,1)</f>
        <v/>
      </c>
      <c r="P241" s="10">
        <f>ROUND(100*(J241*Assumptions!$B$6+K241*Assumptions!$B$7+L241*Assumptions!$B$8+M241*Assumptions!$B$9+N241*Assumptions!$B$10+O241*Assumptions!$B$11),1)</f>
        <v/>
      </c>
      <c r="Q241" s="2">
        <f>IF(P241&gt;=Assumptions!$B$14,"High",IF(P241&gt;=Assumptions!$B$15,"Medium","Low"))</f>
        <v/>
      </c>
      <c r="R241" s="2">
        <f>Cleaned_Data!L241</f>
        <v/>
      </c>
    </row>
    <row r="242">
      <c r="A242" s="2">
        <f>Cleaned_Data!A242</f>
        <v/>
      </c>
      <c r="B242" s="2">
        <f>Cleaned_Data!B242</f>
        <v/>
      </c>
      <c r="C242" s="2">
        <f>Cleaned_Data!G242</f>
        <v/>
      </c>
      <c r="D242" s="2">
        <f>Cleaned_Data!I242</f>
        <v/>
      </c>
      <c r="E242" s="2">
        <f>Cleaned_Data!H242</f>
        <v/>
      </c>
      <c r="F242" s="2">
        <f>Cleaned_Data!F242</f>
        <v/>
      </c>
      <c r="G242" s="9">
        <f>SUMPRODUCT(($B$2:$B$1196=B242)*($F$2:$F$1196&lt;=F242))/SUMPRODUCT(($B$2:$B$1196=B242)*1)</f>
        <v/>
      </c>
      <c r="H242" s="2">
        <f>Cleaned_Data!J242</f>
        <v/>
      </c>
      <c r="I242" s="2">
        <f>Cleaned_Data!E242</f>
        <v/>
      </c>
      <c r="J242" s="2">
        <f>IF(C242="Yes",1,0)</f>
        <v/>
      </c>
      <c r="K242" s="2">
        <f>MIN(MAX(1-(D242-1)/4,0),1)</f>
        <v/>
      </c>
      <c r="L242" s="2">
        <f>MIN(E242/60,1)</f>
        <v/>
      </c>
      <c r="M242" s="2">
        <f>MIN(MAX(1-G242,0),1)</f>
        <v/>
      </c>
      <c r="N242" s="2">
        <f>MIN(MAX(1-(H242-1)/4,0),1)</f>
        <v/>
      </c>
      <c r="O242" s="2">
        <f>1-MIN(I242/8,1)</f>
        <v/>
      </c>
      <c r="P242" s="10">
        <f>ROUND(100*(J242*Assumptions!$B$6+K242*Assumptions!$B$7+L242*Assumptions!$B$8+M242*Assumptions!$B$9+N242*Assumptions!$B$10+O242*Assumptions!$B$11),1)</f>
        <v/>
      </c>
      <c r="Q242" s="2">
        <f>IF(P242&gt;=Assumptions!$B$14,"High",IF(P242&gt;=Assumptions!$B$15,"Medium","Low"))</f>
        <v/>
      </c>
      <c r="R242" s="2">
        <f>Cleaned_Data!L242</f>
        <v/>
      </c>
    </row>
    <row r="243">
      <c r="A243" s="2">
        <f>Cleaned_Data!A243</f>
        <v/>
      </c>
      <c r="B243" s="2">
        <f>Cleaned_Data!B243</f>
        <v/>
      </c>
      <c r="C243" s="2">
        <f>Cleaned_Data!G243</f>
        <v/>
      </c>
      <c r="D243" s="2">
        <f>Cleaned_Data!I243</f>
        <v/>
      </c>
      <c r="E243" s="2">
        <f>Cleaned_Data!H243</f>
        <v/>
      </c>
      <c r="F243" s="2">
        <f>Cleaned_Data!F243</f>
        <v/>
      </c>
      <c r="G243" s="9">
        <f>SUMPRODUCT(($B$2:$B$1196=B243)*($F$2:$F$1196&lt;=F243))/SUMPRODUCT(($B$2:$B$1196=B243)*1)</f>
        <v/>
      </c>
      <c r="H243" s="2">
        <f>Cleaned_Data!J243</f>
        <v/>
      </c>
      <c r="I243" s="2">
        <f>Cleaned_Data!E243</f>
        <v/>
      </c>
      <c r="J243" s="2">
        <f>IF(C243="Yes",1,0)</f>
        <v/>
      </c>
      <c r="K243" s="2">
        <f>MIN(MAX(1-(D243-1)/4,0),1)</f>
        <v/>
      </c>
      <c r="L243" s="2">
        <f>MIN(E243/60,1)</f>
        <v/>
      </c>
      <c r="M243" s="2">
        <f>MIN(MAX(1-G243,0),1)</f>
        <v/>
      </c>
      <c r="N243" s="2">
        <f>MIN(MAX(1-(H243-1)/4,0),1)</f>
        <v/>
      </c>
      <c r="O243" s="2">
        <f>1-MIN(I243/8,1)</f>
        <v/>
      </c>
      <c r="P243" s="10">
        <f>ROUND(100*(J243*Assumptions!$B$6+K243*Assumptions!$B$7+L243*Assumptions!$B$8+M243*Assumptions!$B$9+N243*Assumptions!$B$10+O243*Assumptions!$B$11),1)</f>
        <v/>
      </c>
      <c r="Q243" s="2">
        <f>IF(P243&gt;=Assumptions!$B$14,"High",IF(P243&gt;=Assumptions!$B$15,"Medium","Low"))</f>
        <v/>
      </c>
      <c r="R243" s="2">
        <f>Cleaned_Data!L243</f>
        <v/>
      </c>
    </row>
    <row r="244">
      <c r="A244" s="2">
        <f>Cleaned_Data!A244</f>
        <v/>
      </c>
      <c r="B244" s="2">
        <f>Cleaned_Data!B244</f>
        <v/>
      </c>
      <c r="C244" s="2">
        <f>Cleaned_Data!G244</f>
        <v/>
      </c>
      <c r="D244" s="2">
        <f>Cleaned_Data!I244</f>
        <v/>
      </c>
      <c r="E244" s="2">
        <f>Cleaned_Data!H244</f>
        <v/>
      </c>
      <c r="F244" s="2">
        <f>Cleaned_Data!F244</f>
        <v/>
      </c>
      <c r="G244" s="9">
        <f>SUMPRODUCT(($B$2:$B$1196=B244)*($F$2:$F$1196&lt;=F244))/SUMPRODUCT(($B$2:$B$1196=B244)*1)</f>
        <v/>
      </c>
      <c r="H244" s="2">
        <f>Cleaned_Data!J244</f>
        <v/>
      </c>
      <c r="I244" s="2">
        <f>Cleaned_Data!E244</f>
        <v/>
      </c>
      <c r="J244" s="2">
        <f>IF(C244="Yes",1,0)</f>
        <v/>
      </c>
      <c r="K244" s="2">
        <f>MIN(MAX(1-(D244-1)/4,0),1)</f>
        <v/>
      </c>
      <c r="L244" s="2">
        <f>MIN(E244/60,1)</f>
        <v/>
      </c>
      <c r="M244" s="2">
        <f>MIN(MAX(1-G244,0),1)</f>
        <v/>
      </c>
      <c r="N244" s="2">
        <f>MIN(MAX(1-(H244-1)/4,0),1)</f>
        <v/>
      </c>
      <c r="O244" s="2">
        <f>1-MIN(I244/8,1)</f>
        <v/>
      </c>
      <c r="P244" s="10">
        <f>ROUND(100*(J244*Assumptions!$B$6+K244*Assumptions!$B$7+L244*Assumptions!$B$8+M244*Assumptions!$B$9+N244*Assumptions!$B$10+O244*Assumptions!$B$11),1)</f>
        <v/>
      </c>
      <c r="Q244" s="2">
        <f>IF(P244&gt;=Assumptions!$B$14,"High",IF(P244&gt;=Assumptions!$B$15,"Medium","Low"))</f>
        <v/>
      </c>
      <c r="R244" s="2">
        <f>Cleaned_Data!L244</f>
        <v/>
      </c>
    </row>
    <row r="245">
      <c r="A245" s="2">
        <f>Cleaned_Data!A245</f>
        <v/>
      </c>
      <c r="B245" s="2">
        <f>Cleaned_Data!B245</f>
        <v/>
      </c>
      <c r="C245" s="2">
        <f>Cleaned_Data!G245</f>
        <v/>
      </c>
      <c r="D245" s="2">
        <f>Cleaned_Data!I245</f>
        <v/>
      </c>
      <c r="E245" s="2">
        <f>Cleaned_Data!H245</f>
        <v/>
      </c>
      <c r="F245" s="2">
        <f>Cleaned_Data!F245</f>
        <v/>
      </c>
      <c r="G245" s="9">
        <f>SUMPRODUCT(($B$2:$B$1196=B245)*($F$2:$F$1196&lt;=F245))/SUMPRODUCT(($B$2:$B$1196=B245)*1)</f>
        <v/>
      </c>
      <c r="H245" s="2">
        <f>Cleaned_Data!J245</f>
        <v/>
      </c>
      <c r="I245" s="2">
        <f>Cleaned_Data!E245</f>
        <v/>
      </c>
      <c r="J245" s="2">
        <f>IF(C245="Yes",1,0)</f>
        <v/>
      </c>
      <c r="K245" s="2">
        <f>MIN(MAX(1-(D245-1)/4,0),1)</f>
        <v/>
      </c>
      <c r="L245" s="2">
        <f>MIN(E245/60,1)</f>
        <v/>
      </c>
      <c r="M245" s="2">
        <f>MIN(MAX(1-G245,0),1)</f>
        <v/>
      </c>
      <c r="N245" s="2">
        <f>MIN(MAX(1-(H245-1)/4,0),1)</f>
        <v/>
      </c>
      <c r="O245" s="2">
        <f>1-MIN(I245/8,1)</f>
        <v/>
      </c>
      <c r="P245" s="10">
        <f>ROUND(100*(J245*Assumptions!$B$6+K245*Assumptions!$B$7+L245*Assumptions!$B$8+M245*Assumptions!$B$9+N245*Assumptions!$B$10+O245*Assumptions!$B$11),1)</f>
        <v/>
      </c>
      <c r="Q245" s="2">
        <f>IF(P245&gt;=Assumptions!$B$14,"High",IF(P245&gt;=Assumptions!$B$15,"Medium","Low"))</f>
        <v/>
      </c>
      <c r="R245" s="2">
        <f>Cleaned_Data!L245</f>
        <v/>
      </c>
    </row>
    <row r="246">
      <c r="A246" s="2">
        <f>Cleaned_Data!A246</f>
        <v/>
      </c>
      <c r="B246" s="2">
        <f>Cleaned_Data!B246</f>
        <v/>
      </c>
      <c r="C246" s="2">
        <f>Cleaned_Data!G246</f>
        <v/>
      </c>
      <c r="D246" s="2">
        <f>Cleaned_Data!I246</f>
        <v/>
      </c>
      <c r="E246" s="2">
        <f>Cleaned_Data!H246</f>
        <v/>
      </c>
      <c r="F246" s="2">
        <f>Cleaned_Data!F246</f>
        <v/>
      </c>
      <c r="G246" s="9">
        <f>SUMPRODUCT(($B$2:$B$1196=B246)*($F$2:$F$1196&lt;=F246))/SUMPRODUCT(($B$2:$B$1196=B246)*1)</f>
        <v/>
      </c>
      <c r="H246" s="2">
        <f>Cleaned_Data!J246</f>
        <v/>
      </c>
      <c r="I246" s="2">
        <f>Cleaned_Data!E246</f>
        <v/>
      </c>
      <c r="J246" s="2">
        <f>IF(C246="Yes",1,0)</f>
        <v/>
      </c>
      <c r="K246" s="2">
        <f>MIN(MAX(1-(D246-1)/4,0),1)</f>
        <v/>
      </c>
      <c r="L246" s="2">
        <f>MIN(E246/60,1)</f>
        <v/>
      </c>
      <c r="M246" s="2">
        <f>MIN(MAX(1-G246,0),1)</f>
        <v/>
      </c>
      <c r="N246" s="2">
        <f>MIN(MAX(1-(H246-1)/4,0),1)</f>
        <v/>
      </c>
      <c r="O246" s="2">
        <f>1-MIN(I246/8,1)</f>
        <v/>
      </c>
      <c r="P246" s="10">
        <f>ROUND(100*(J246*Assumptions!$B$6+K246*Assumptions!$B$7+L246*Assumptions!$B$8+M246*Assumptions!$B$9+N246*Assumptions!$B$10+O246*Assumptions!$B$11),1)</f>
        <v/>
      </c>
      <c r="Q246" s="2">
        <f>IF(P246&gt;=Assumptions!$B$14,"High",IF(P246&gt;=Assumptions!$B$15,"Medium","Low"))</f>
        <v/>
      </c>
      <c r="R246" s="2">
        <f>Cleaned_Data!L246</f>
        <v/>
      </c>
    </row>
    <row r="247">
      <c r="A247" s="2">
        <f>Cleaned_Data!A247</f>
        <v/>
      </c>
      <c r="B247" s="2">
        <f>Cleaned_Data!B247</f>
        <v/>
      </c>
      <c r="C247" s="2">
        <f>Cleaned_Data!G247</f>
        <v/>
      </c>
      <c r="D247" s="2">
        <f>Cleaned_Data!I247</f>
        <v/>
      </c>
      <c r="E247" s="2">
        <f>Cleaned_Data!H247</f>
        <v/>
      </c>
      <c r="F247" s="2">
        <f>Cleaned_Data!F247</f>
        <v/>
      </c>
      <c r="G247" s="9">
        <f>SUMPRODUCT(($B$2:$B$1196=B247)*($F$2:$F$1196&lt;=F247))/SUMPRODUCT(($B$2:$B$1196=B247)*1)</f>
        <v/>
      </c>
      <c r="H247" s="2">
        <f>Cleaned_Data!J247</f>
        <v/>
      </c>
      <c r="I247" s="2">
        <f>Cleaned_Data!E247</f>
        <v/>
      </c>
      <c r="J247" s="2">
        <f>IF(C247="Yes",1,0)</f>
        <v/>
      </c>
      <c r="K247" s="2">
        <f>MIN(MAX(1-(D247-1)/4,0),1)</f>
        <v/>
      </c>
      <c r="L247" s="2">
        <f>MIN(E247/60,1)</f>
        <v/>
      </c>
      <c r="M247" s="2">
        <f>MIN(MAX(1-G247,0),1)</f>
        <v/>
      </c>
      <c r="N247" s="2">
        <f>MIN(MAX(1-(H247-1)/4,0),1)</f>
        <v/>
      </c>
      <c r="O247" s="2">
        <f>1-MIN(I247/8,1)</f>
        <v/>
      </c>
      <c r="P247" s="10">
        <f>ROUND(100*(J247*Assumptions!$B$6+K247*Assumptions!$B$7+L247*Assumptions!$B$8+M247*Assumptions!$B$9+N247*Assumptions!$B$10+O247*Assumptions!$B$11),1)</f>
        <v/>
      </c>
      <c r="Q247" s="2">
        <f>IF(P247&gt;=Assumptions!$B$14,"High",IF(P247&gt;=Assumptions!$B$15,"Medium","Low"))</f>
        <v/>
      </c>
      <c r="R247" s="2">
        <f>Cleaned_Data!L247</f>
        <v/>
      </c>
    </row>
    <row r="248">
      <c r="A248" s="2">
        <f>Cleaned_Data!A248</f>
        <v/>
      </c>
      <c r="B248" s="2">
        <f>Cleaned_Data!B248</f>
        <v/>
      </c>
      <c r="C248" s="2">
        <f>Cleaned_Data!G248</f>
        <v/>
      </c>
      <c r="D248" s="2">
        <f>Cleaned_Data!I248</f>
        <v/>
      </c>
      <c r="E248" s="2">
        <f>Cleaned_Data!H248</f>
        <v/>
      </c>
      <c r="F248" s="2">
        <f>Cleaned_Data!F248</f>
        <v/>
      </c>
      <c r="G248" s="9">
        <f>SUMPRODUCT(($B$2:$B$1196=B248)*($F$2:$F$1196&lt;=F248))/SUMPRODUCT(($B$2:$B$1196=B248)*1)</f>
        <v/>
      </c>
      <c r="H248" s="2">
        <f>Cleaned_Data!J248</f>
        <v/>
      </c>
      <c r="I248" s="2">
        <f>Cleaned_Data!E248</f>
        <v/>
      </c>
      <c r="J248" s="2">
        <f>IF(C248="Yes",1,0)</f>
        <v/>
      </c>
      <c r="K248" s="2">
        <f>MIN(MAX(1-(D248-1)/4,0),1)</f>
        <v/>
      </c>
      <c r="L248" s="2">
        <f>MIN(E248/60,1)</f>
        <v/>
      </c>
      <c r="M248" s="2">
        <f>MIN(MAX(1-G248,0),1)</f>
        <v/>
      </c>
      <c r="N248" s="2">
        <f>MIN(MAX(1-(H248-1)/4,0),1)</f>
        <v/>
      </c>
      <c r="O248" s="2">
        <f>1-MIN(I248/8,1)</f>
        <v/>
      </c>
      <c r="P248" s="10">
        <f>ROUND(100*(J248*Assumptions!$B$6+K248*Assumptions!$B$7+L248*Assumptions!$B$8+M248*Assumptions!$B$9+N248*Assumptions!$B$10+O248*Assumptions!$B$11),1)</f>
        <v/>
      </c>
      <c r="Q248" s="2">
        <f>IF(P248&gt;=Assumptions!$B$14,"High",IF(P248&gt;=Assumptions!$B$15,"Medium","Low"))</f>
        <v/>
      </c>
      <c r="R248" s="2">
        <f>Cleaned_Data!L248</f>
        <v/>
      </c>
    </row>
    <row r="249">
      <c r="A249" s="2">
        <f>Cleaned_Data!A249</f>
        <v/>
      </c>
      <c r="B249" s="2">
        <f>Cleaned_Data!B249</f>
        <v/>
      </c>
      <c r="C249" s="2">
        <f>Cleaned_Data!G249</f>
        <v/>
      </c>
      <c r="D249" s="2">
        <f>Cleaned_Data!I249</f>
        <v/>
      </c>
      <c r="E249" s="2">
        <f>Cleaned_Data!H249</f>
        <v/>
      </c>
      <c r="F249" s="2">
        <f>Cleaned_Data!F249</f>
        <v/>
      </c>
      <c r="G249" s="9">
        <f>SUMPRODUCT(($B$2:$B$1196=B249)*($F$2:$F$1196&lt;=F249))/SUMPRODUCT(($B$2:$B$1196=B249)*1)</f>
        <v/>
      </c>
      <c r="H249" s="2">
        <f>Cleaned_Data!J249</f>
        <v/>
      </c>
      <c r="I249" s="2">
        <f>Cleaned_Data!E249</f>
        <v/>
      </c>
      <c r="J249" s="2">
        <f>IF(C249="Yes",1,0)</f>
        <v/>
      </c>
      <c r="K249" s="2">
        <f>MIN(MAX(1-(D249-1)/4,0),1)</f>
        <v/>
      </c>
      <c r="L249" s="2">
        <f>MIN(E249/60,1)</f>
        <v/>
      </c>
      <c r="M249" s="2">
        <f>MIN(MAX(1-G249,0),1)</f>
        <v/>
      </c>
      <c r="N249" s="2">
        <f>MIN(MAX(1-(H249-1)/4,0),1)</f>
        <v/>
      </c>
      <c r="O249" s="2">
        <f>1-MIN(I249/8,1)</f>
        <v/>
      </c>
      <c r="P249" s="10">
        <f>ROUND(100*(J249*Assumptions!$B$6+K249*Assumptions!$B$7+L249*Assumptions!$B$8+M249*Assumptions!$B$9+N249*Assumptions!$B$10+O249*Assumptions!$B$11),1)</f>
        <v/>
      </c>
      <c r="Q249" s="2">
        <f>IF(P249&gt;=Assumptions!$B$14,"High",IF(P249&gt;=Assumptions!$B$15,"Medium","Low"))</f>
        <v/>
      </c>
      <c r="R249" s="2">
        <f>Cleaned_Data!L249</f>
        <v/>
      </c>
    </row>
    <row r="250">
      <c r="A250" s="2">
        <f>Cleaned_Data!A250</f>
        <v/>
      </c>
      <c r="B250" s="2">
        <f>Cleaned_Data!B250</f>
        <v/>
      </c>
      <c r="C250" s="2">
        <f>Cleaned_Data!G250</f>
        <v/>
      </c>
      <c r="D250" s="2">
        <f>Cleaned_Data!I250</f>
        <v/>
      </c>
      <c r="E250" s="2">
        <f>Cleaned_Data!H250</f>
        <v/>
      </c>
      <c r="F250" s="2">
        <f>Cleaned_Data!F250</f>
        <v/>
      </c>
      <c r="G250" s="9">
        <f>SUMPRODUCT(($B$2:$B$1196=B250)*($F$2:$F$1196&lt;=F250))/SUMPRODUCT(($B$2:$B$1196=B250)*1)</f>
        <v/>
      </c>
      <c r="H250" s="2">
        <f>Cleaned_Data!J250</f>
        <v/>
      </c>
      <c r="I250" s="2">
        <f>Cleaned_Data!E250</f>
        <v/>
      </c>
      <c r="J250" s="2">
        <f>IF(C250="Yes",1,0)</f>
        <v/>
      </c>
      <c r="K250" s="2">
        <f>MIN(MAX(1-(D250-1)/4,0),1)</f>
        <v/>
      </c>
      <c r="L250" s="2">
        <f>MIN(E250/60,1)</f>
        <v/>
      </c>
      <c r="M250" s="2">
        <f>MIN(MAX(1-G250,0),1)</f>
        <v/>
      </c>
      <c r="N250" s="2">
        <f>MIN(MAX(1-(H250-1)/4,0),1)</f>
        <v/>
      </c>
      <c r="O250" s="2">
        <f>1-MIN(I250/8,1)</f>
        <v/>
      </c>
      <c r="P250" s="10">
        <f>ROUND(100*(J250*Assumptions!$B$6+K250*Assumptions!$B$7+L250*Assumptions!$B$8+M250*Assumptions!$B$9+N250*Assumptions!$B$10+O250*Assumptions!$B$11),1)</f>
        <v/>
      </c>
      <c r="Q250" s="2">
        <f>IF(P250&gt;=Assumptions!$B$14,"High",IF(P250&gt;=Assumptions!$B$15,"Medium","Low"))</f>
        <v/>
      </c>
      <c r="R250" s="2">
        <f>Cleaned_Data!L250</f>
        <v/>
      </c>
    </row>
    <row r="251">
      <c r="A251" s="2">
        <f>Cleaned_Data!A251</f>
        <v/>
      </c>
      <c r="B251" s="2">
        <f>Cleaned_Data!B251</f>
        <v/>
      </c>
      <c r="C251" s="2">
        <f>Cleaned_Data!G251</f>
        <v/>
      </c>
      <c r="D251" s="2">
        <f>Cleaned_Data!I251</f>
        <v/>
      </c>
      <c r="E251" s="2">
        <f>Cleaned_Data!H251</f>
        <v/>
      </c>
      <c r="F251" s="2">
        <f>Cleaned_Data!F251</f>
        <v/>
      </c>
      <c r="G251" s="9">
        <f>SUMPRODUCT(($B$2:$B$1196=B251)*($F$2:$F$1196&lt;=F251))/SUMPRODUCT(($B$2:$B$1196=B251)*1)</f>
        <v/>
      </c>
      <c r="H251" s="2">
        <f>Cleaned_Data!J251</f>
        <v/>
      </c>
      <c r="I251" s="2">
        <f>Cleaned_Data!E251</f>
        <v/>
      </c>
      <c r="J251" s="2">
        <f>IF(C251="Yes",1,0)</f>
        <v/>
      </c>
      <c r="K251" s="2">
        <f>MIN(MAX(1-(D251-1)/4,0),1)</f>
        <v/>
      </c>
      <c r="L251" s="2">
        <f>MIN(E251/60,1)</f>
        <v/>
      </c>
      <c r="M251" s="2">
        <f>MIN(MAX(1-G251,0),1)</f>
        <v/>
      </c>
      <c r="N251" s="2">
        <f>MIN(MAX(1-(H251-1)/4,0),1)</f>
        <v/>
      </c>
      <c r="O251" s="2">
        <f>1-MIN(I251/8,1)</f>
        <v/>
      </c>
      <c r="P251" s="10">
        <f>ROUND(100*(J251*Assumptions!$B$6+K251*Assumptions!$B$7+L251*Assumptions!$B$8+M251*Assumptions!$B$9+N251*Assumptions!$B$10+O251*Assumptions!$B$11),1)</f>
        <v/>
      </c>
      <c r="Q251" s="2">
        <f>IF(P251&gt;=Assumptions!$B$14,"High",IF(P251&gt;=Assumptions!$B$15,"Medium","Low"))</f>
        <v/>
      </c>
      <c r="R251" s="2">
        <f>Cleaned_Data!L251</f>
        <v/>
      </c>
    </row>
    <row r="252">
      <c r="A252" s="2">
        <f>Cleaned_Data!A252</f>
        <v/>
      </c>
      <c r="B252" s="2">
        <f>Cleaned_Data!B252</f>
        <v/>
      </c>
      <c r="C252" s="2">
        <f>Cleaned_Data!G252</f>
        <v/>
      </c>
      <c r="D252" s="2">
        <f>Cleaned_Data!I252</f>
        <v/>
      </c>
      <c r="E252" s="2">
        <f>Cleaned_Data!H252</f>
        <v/>
      </c>
      <c r="F252" s="2">
        <f>Cleaned_Data!F252</f>
        <v/>
      </c>
      <c r="G252" s="9">
        <f>SUMPRODUCT(($B$2:$B$1196=B252)*($F$2:$F$1196&lt;=F252))/SUMPRODUCT(($B$2:$B$1196=B252)*1)</f>
        <v/>
      </c>
      <c r="H252" s="2">
        <f>Cleaned_Data!J252</f>
        <v/>
      </c>
      <c r="I252" s="2">
        <f>Cleaned_Data!E252</f>
        <v/>
      </c>
      <c r="J252" s="2">
        <f>IF(C252="Yes",1,0)</f>
        <v/>
      </c>
      <c r="K252" s="2">
        <f>MIN(MAX(1-(D252-1)/4,0),1)</f>
        <v/>
      </c>
      <c r="L252" s="2">
        <f>MIN(E252/60,1)</f>
        <v/>
      </c>
      <c r="M252" s="2">
        <f>MIN(MAX(1-G252,0),1)</f>
        <v/>
      </c>
      <c r="N252" s="2">
        <f>MIN(MAX(1-(H252-1)/4,0),1)</f>
        <v/>
      </c>
      <c r="O252" s="2">
        <f>1-MIN(I252/8,1)</f>
        <v/>
      </c>
      <c r="P252" s="10">
        <f>ROUND(100*(J252*Assumptions!$B$6+K252*Assumptions!$B$7+L252*Assumptions!$B$8+M252*Assumptions!$B$9+N252*Assumptions!$B$10+O252*Assumptions!$B$11),1)</f>
        <v/>
      </c>
      <c r="Q252" s="2">
        <f>IF(P252&gt;=Assumptions!$B$14,"High",IF(P252&gt;=Assumptions!$B$15,"Medium","Low"))</f>
        <v/>
      </c>
      <c r="R252" s="2">
        <f>Cleaned_Data!L252</f>
        <v/>
      </c>
    </row>
    <row r="253">
      <c r="A253" s="2">
        <f>Cleaned_Data!A253</f>
        <v/>
      </c>
      <c r="B253" s="2">
        <f>Cleaned_Data!B253</f>
        <v/>
      </c>
      <c r="C253" s="2">
        <f>Cleaned_Data!G253</f>
        <v/>
      </c>
      <c r="D253" s="2">
        <f>Cleaned_Data!I253</f>
        <v/>
      </c>
      <c r="E253" s="2">
        <f>Cleaned_Data!H253</f>
        <v/>
      </c>
      <c r="F253" s="2">
        <f>Cleaned_Data!F253</f>
        <v/>
      </c>
      <c r="G253" s="9">
        <f>SUMPRODUCT(($B$2:$B$1196=B253)*($F$2:$F$1196&lt;=F253))/SUMPRODUCT(($B$2:$B$1196=B253)*1)</f>
        <v/>
      </c>
      <c r="H253" s="2">
        <f>Cleaned_Data!J253</f>
        <v/>
      </c>
      <c r="I253" s="2">
        <f>Cleaned_Data!E253</f>
        <v/>
      </c>
      <c r="J253" s="2">
        <f>IF(C253="Yes",1,0)</f>
        <v/>
      </c>
      <c r="K253" s="2">
        <f>MIN(MAX(1-(D253-1)/4,0),1)</f>
        <v/>
      </c>
      <c r="L253" s="2">
        <f>MIN(E253/60,1)</f>
        <v/>
      </c>
      <c r="M253" s="2">
        <f>MIN(MAX(1-G253,0),1)</f>
        <v/>
      </c>
      <c r="N253" s="2">
        <f>MIN(MAX(1-(H253-1)/4,0),1)</f>
        <v/>
      </c>
      <c r="O253" s="2">
        <f>1-MIN(I253/8,1)</f>
        <v/>
      </c>
      <c r="P253" s="10">
        <f>ROUND(100*(J253*Assumptions!$B$6+K253*Assumptions!$B$7+L253*Assumptions!$B$8+M253*Assumptions!$B$9+N253*Assumptions!$B$10+O253*Assumptions!$B$11),1)</f>
        <v/>
      </c>
      <c r="Q253" s="2">
        <f>IF(P253&gt;=Assumptions!$B$14,"High",IF(P253&gt;=Assumptions!$B$15,"Medium","Low"))</f>
        <v/>
      </c>
      <c r="R253" s="2">
        <f>Cleaned_Data!L253</f>
        <v/>
      </c>
    </row>
    <row r="254">
      <c r="A254" s="2">
        <f>Cleaned_Data!A254</f>
        <v/>
      </c>
      <c r="B254" s="2">
        <f>Cleaned_Data!B254</f>
        <v/>
      </c>
      <c r="C254" s="2">
        <f>Cleaned_Data!G254</f>
        <v/>
      </c>
      <c r="D254" s="2">
        <f>Cleaned_Data!I254</f>
        <v/>
      </c>
      <c r="E254" s="2">
        <f>Cleaned_Data!H254</f>
        <v/>
      </c>
      <c r="F254" s="2">
        <f>Cleaned_Data!F254</f>
        <v/>
      </c>
      <c r="G254" s="9">
        <f>SUMPRODUCT(($B$2:$B$1196=B254)*($F$2:$F$1196&lt;=F254))/SUMPRODUCT(($B$2:$B$1196=B254)*1)</f>
        <v/>
      </c>
      <c r="H254" s="2">
        <f>Cleaned_Data!J254</f>
        <v/>
      </c>
      <c r="I254" s="2">
        <f>Cleaned_Data!E254</f>
        <v/>
      </c>
      <c r="J254" s="2">
        <f>IF(C254="Yes",1,0)</f>
        <v/>
      </c>
      <c r="K254" s="2">
        <f>MIN(MAX(1-(D254-1)/4,0),1)</f>
        <v/>
      </c>
      <c r="L254" s="2">
        <f>MIN(E254/60,1)</f>
        <v/>
      </c>
      <c r="M254" s="2">
        <f>MIN(MAX(1-G254,0),1)</f>
        <v/>
      </c>
      <c r="N254" s="2">
        <f>MIN(MAX(1-(H254-1)/4,0),1)</f>
        <v/>
      </c>
      <c r="O254" s="2">
        <f>1-MIN(I254/8,1)</f>
        <v/>
      </c>
      <c r="P254" s="10">
        <f>ROUND(100*(J254*Assumptions!$B$6+K254*Assumptions!$B$7+L254*Assumptions!$B$8+M254*Assumptions!$B$9+N254*Assumptions!$B$10+O254*Assumptions!$B$11),1)</f>
        <v/>
      </c>
      <c r="Q254" s="2">
        <f>IF(P254&gt;=Assumptions!$B$14,"High",IF(P254&gt;=Assumptions!$B$15,"Medium","Low"))</f>
        <v/>
      </c>
      <c r="R254" s="2">
        <f>Cleaned_Data!L254</f>
        <v/>
      </c>
    </row>
    <row r="255">
      <c r="A255" s="2">
        <f>Cleaned_Data!A255</f>
        <v/>
      </c>
      <c r="B255" s="2">
        <f>Cleaned_Data!B255</f>
        <v/>
      </c>
      <c r="C255" s="2">
        <f>Cleaned_Data!G255</f>
        <v/>
      </c>
      <c r="D255" s="2">
        <f>Cleaned_Data!I255</f>
        <v/>
      </c>
      <c r="E255" s="2">
        <f>Cleaned_Data!H255</f>
        <v/>
      </c>
      <c r="F255" s="2">
        <f>Cleaned_Data!F255</f>
        <v/>
      </c>
      <c r="G255" s="9">
        <f>SUMPRODUCT(($B$2:$B$1196=B255)*($F$2:$F$1196&lt;=F255))/SUMPRODUCT(($B$2:$B$1196=B255)*1)</f>
        <v/>
      </c>
      <c r="H255" s="2">
        <f>Cleaned_Data!J255</f>
        <v/>
      </c>
      <c r="I255" s="2">
        <f>Cleaned_Data!E255</f>
        <v/>
      </c>
      <c r="J255" s="2">
        <f>IF(C255="Yes",1,0)</f>
        <v/>
      </c>
      <c r="K255" s="2">
        <f>MIN(MAX(1-(D255-1)/4,0),1)</f>
        <v/>
      </c>
      <c r="L255" s="2">
        <f>MIN(E255/60,1)</f>
        <v/>
      </c>
      <c r="M255" s="2">
        <f>MIN(MAX(1-G255,0),1)</f>
        <v/>
      </c>
      <c r="N255" s="2">
        <f>MIN(MAX(1-(H255-1)/4,0),1)</f>
        <v/>
      </c>
      <c r="O255" s="2">
        <f>1-MIN(I255/8,1)</f>
        <v/>
      </c>
      <c r="P255" s="10">
        <f>ROUND(100*(J255*Assumptions!$B$6+K255*Assumptions!$B$7+L255*Assumptions!$B$8+M255*Assumptions!$B$9+N255*Assumptions!$B$10+O255*Assumptions!$B$11),1)</f>
        <v/>
      </c>
      <c r="Q255" s="2">
        <f>IF(P255&gt;=Assumptions!$B$14,"High",IF(P255&gt;=Assumptions!$B$15,"Medium","Low"))</f>
        <v/>
      </c>
      <c r="R255" s="2">
        <f>Cleaned_Data!L255</f>
        <v/>
      </c>
    </row>
    <row r="256">
      <c r="A256" s="2">
        <f>Cleaned_Data!A256</f>
        <v/>
      </c>
      <c r="B256" s="2">
        <f>Cleaned_Data!B256</f>
        <v/>
      </c>
      <c r="C256" s="2">
        <f>Cleaned_Data!G256</f>
        <v/>
      </c>
      <c r="D256" s="2">
        <f>Cleaned_Data!I256</f>
        <v/>
      </c>
      <c r="E256" s="2">
        <f>Cleaned_Data!H256</f>
        <v/>
      </c>
      <c r="F256" s="2">
        <f>Cleaned_Data!F256</f>
        <v/>
      </c>
      <c r="G256" s="9">
        <f>SUMPRODUCT(($B$2:$B$1196=B256)*($F$2:$F$1196&lt;=F256))/SUMPRODUCT(($B$2:$B$1196=B256)*1)</f>
        <v/>
      </c>
      <c r="H256" s="2">
        <f>Cleaned_Data!J256</f>
        <v/>
      </c>
      <c r="I256" s="2">
        <f>Cleaned_Data!E256</f>
        <v/>
      </c>
      <c r="J256" s="2">
        <f>IF(C256="Yes",1,0)</f>
        <v/>
      </c>
      <c r="K256" s="2">
        <f>MIN(MAX(1-(D256-1)/4,0),1)</f>
        <v/>
      </c>
      <c r="L256" s="2">
        <f>MIN(E256/60,1)</f>
        <v/>
      </c>
      <c r="M256" s="2">
        <f>MIN(MAX(1-G256,0),1)</f>
        <v/>
      </c>
      <c r="N256" s="2">
        <f>MIN(MAX(1-(H256-1)/4,0),1)</f>
        <v/>
      </c>
      <c r="O256" s="2">
        <f>1-MIN(I256/8,1)</f>
        <v/>
      </c>
      <c r="P256" s="10">
        <f>ROUND(100*(J256*Assumptions!$B$6+K256*Assumptions!$B$7+L256*Assumptions!$B$8+M256*Assumptions!$B$9+N256*Assumptions!$B$10+O256*Assumptions!$B$11),1)</f>
        <v/>
      </c>
      <c r="Q256" s="2">
        <f>IF(P256&gt;=Assumptions!$B$14,"High",IF(P256&gt;=Assumptions!$B$15,"Medium","Low"))</f>
        <v/>
      </c>
      <c r="R256" s="2">
        <f>Cleaned_Data!L256</f>
        <v/>
      </c>
    </row>
    <row r="257">
      <c r="A257" s="2">
        <f>Cleaned_Data!A257</f>
        <v/>
      </c>
      <c r="B257" s="2">
        <f>Cleaned_Data!B257</f>
        <v/>
      </c>
      <c r="C257" s="2">
        <f>Cleaned_Data!G257</f>
        <v/>
      </c>
      <c r="D257" s="2">
        <f>Cleaned_Data!I257</f>
        <v/>
      </c>
      <c r="E257" s="2">
        <f>Cleaned_Data!H257</f>
        <v/>
      </c>
      <c r="F257" s="2">
        <f>Cleaned_Data!F257</f>
        <v/>
      </c>
      <c r="G257" s="9">
        <f>SUMPRODUCT(($B$2:$B$1196=B257)*($F$2:$F$1196&lt;=F257))/SUMPRODUCT(($B$2:$B$1196=B257)*1)</f>
        <v/>
      </c>
      <c r="H257" s="2">
        <f>Cleaned_Data!J257</f>
        <v/>
      </c>
      <c r="I257" s="2">
        <f>Cleaned_Data!E257</f>
        <v/>
      </c>
      <c r="J257" s="2">
        <f>IF(C257="Yes",1,0)</f>
        <v/>
      </c>
      <c r="K257" s="2">
        <f>MIN(MAX(1-(D257-1)/4,0),1)</f>
        <v/>
      </c>
      <c r="L257" s="2">
        <f>MIN(E257/60,1)</f>
        <v/>
      </c>
      <c r="M257" s="2">
        <f>MIN(MAX(1-G257,0),1)</f>
        <v/>
      </c>
      <c r="N257" s="2">
        <f>MIN(MAX(1-(H257-1)/4,0),1)</f>
        <v/>
      </c>
      <c r="O257" s="2">
        <f>1-MIN(I257/8,1)</f>
        <v/>
      </c>
      <c r="P257" s="10">
        <f>ROUND(100*(J257*Assumptions!$B$6+K257*Assumptions!$B$7+L257*Assumptions!$B$8+M257*Assumptions!$B$9+N257*Assumptions!$B$10+O257*Assumptions!$B$11),1)</f>
        <v/>
      </c>
      <c r="Q257" s="2">
        <f>IF(P257&gt;=Assumptions!$B$14,"High",IF(P257&gt;=Assumptions!$B$15,"Medium","Low"))</f>
        <v/>
      </c>
      <c r="R257" s="2">
        <f>Cleaned_Data!L257</f>
        <v/>
      </c>
    </row>
    <row r="258">
      <c r="A258" s="2">
        <f>Cleaned_Data!A258</f>
        <v/>
      </c>
      <c r="B258" s="2">
        <f>Cleaned_Data!B258</f>
        <v/>
      </c>
      <c r="C258" s="2">
        <f>Cleaned_Data!G258</f>
        <v/>
      </c>
      <c r="D258" s="2">
        <f>Cleaned_Data!I258</f>
        <v/>
      </c>
      <c r="E258" s="2">
        <f>Cleaned_Data!H258</f>
        <v/>
      </c>
      <c r="F258" s="2">
        <f>Cleaned_Data!F258</f>
        <v/>
      </c>
      <c r="G258" s="9">
        <f>SUMPRODUCT(($B$2:$B$1196=B258)*($F$2:$F$1196&lt;=F258))/SUMPRODUCT(($B$2:$B$1196=B258)*1)</f>
        <v/>
      </c>
      <c r="H258" s="2">
        <f>Cleaned_Data!J258</f>
        <v/>
      </c>
      <c r="I258" s="2">
        <f>Cleaned_Data!E258</f>
        <v/>
      </c>
      <c r="J258" s="2">
        <f>IF(C258="Yes",1,0)</f>
        <v/>
      </c>
      <c r="K258" s="2">
        <f>MIN(MAX(1-(D258-1)/4,0),1)</f>
        <v/>
      </c>
      <c r="L258" s="2">
        <f>MIN(E258/60,1)</f>
        <v/>
      </c>
      <c r="M258" s="2">
        <f>MIN(MAX(1-G258,0),1)</f>
        <v/>
      </c>
      <c r="N258" s="2">
        <f>MIN(MAX(1-(H258-1)/4,0),1)</f>
        <v/>
      </c>
      <c r="O258" s="2">
        <f>1-MIN(I258/8,1)</f>
        <v/>
      </c>
      <c r="P258" s="10">
        <f>ROUND(100*(J258*Assumptions!$B$6+K258*Assumptions!$B$7+L258*Assumptions!$B$8+M258*Assumptions!$B$9+N258*Assumptions!$B$10+O258*Assumptions!$B$11),1)</f>
        <v/>
      </c>
      <c r="Q258" s="2">
        <f>IF(P258&gt;=Assumptions!$B$14,"High",IF(P258&gt;=Assumptions!$B$15,"Medium","Low"))</f>
        <v/>
      </c>
      <c r="R258" s="2">
        <f>Cleaned_Data!L258</f>
        <v/>
      </c>
    </row>
    <row r="259">
      <c r="A259" s="2">
        <f>Cleaned_Data!A259</f>
        <v/>
      </c>
      <c r="B259" s="2">
        <f>Cleaned_Data!B259</f>
        <v/>
      </c>
      <c r="C259" s="2">
        <f>Cleaned_Data!G259</f>
        <v/>
      </c>
      <c r="D259" s="2">
        <f>Cleaned_Data!I259</f>
        <v/>
      </c>
      <c r="E259" s="2">
        <f>Cleaned_Data!H259</f>
        <v/>
      </c>
      <c r="F259" s="2">
        <f>Cleaned_Data!F259</f>
        <v/>
      </c>
      <c r="G259" s="9">
        <f>SUMPRODUCT(($B$2:$B$1196=B259)*($F$2:$F$1196&lt;=F259))/SUMPRODUCT(($B$2:$B$1196=B259)*1)</f>
        <v/>
      </c>
      <c r="H259" s="2">
        <f>Cleaned_Data!J259</f>
        <v/>
      </c>
      <c r="I259" s="2">
        <f>Cleaned_Data!E259</f>
        <v/>
      </c>
      <c r="J259" s="2">
        <f>IF(C259="Yes",1,0)</f>
        <v/>
      </c>
      <c r="K259" s="2">
        <f>MIN(MAX(1-(D259-1)/4,0),1)</f>
        <v/>
      </c>
      <c r="L259" s="2">
        <f>MIN(E259/60,1)</f>
        <v/>
      </c>
      <c r="M259" s="2">
        <f>MIN(MAX(1-G259,0),1)</f>
        <v/>
      </c>
      <c r="N259" s="2">
        <f>MIN(MAX(1-(H259-1)/4,0),1)</f>
        <v/>
      </c>
      <c r="O259" s="2">
        <f>1-MIN(I259/8,1)</f>
        <v/>
      </c>
      <c r="P259" s="10">
        <f>ROUND(100*(J259*Assumptions!$B$6+K259*Assumptions!$B$7+L259*Assumptions!$B$8+M259*Assumptions!$B$9+N259*Assumptions!$B$10+O259*Assumptions!$B$11),1)</f>
        <v/>
      </c>
      <c r="Q259" s="2">
        <f>IF(P259&gt;=Assumptions!$B$14,"High",IF(P259&gt;=Assumptions!$B$15,"Medium","Low"))</f>
        <v/>
      </c>
      <c r="R259" s="2">
        <f>Cleaned_Data!L259</f>
        <v/>
      </c>
    </row>
    <row r="260">
      <c r="A260" s="2">
        <f>Cleaned_Data!A260</f>
        <v/>
      </c>
      <c r="B260" s="2">
        <f>Cleaned_Data!B260</f>
        <v/>
      </c>
      <c r="C260" s="2">
        <f>Cleaned_Data!G260</f>
        <v/>
      </c>
      <c r="D260" s="2">
        <f>Cleaned_Data!I260</f>
        <v/>
      </c>
      <c r="E260" s="2">
        <f>Cleaned_Data!H260</f>
        <v/>
      </c>
      <c r="F260" s="2">
        <f>Cleaned_Data!F260</f>
        <v/>
      </c>
      <c r="G260" s="9">
        <f>SUMPRODUCT(($B$2:$B$1196=B260)*($F$2:$F$1196&lt;=F260))/SUMPRODUCT(($B$2:$B$1196=B260)*1)</f>
        <v/>
      </c>
      <c r="H260" s="2">
        <f>Cleaned_Data!J260</f>
        <v/>
      </c>
      <c r="I260" s="2">
        <f>Cleaned_Data!E260</f>
        <v/>
      </c>
      <c r="J260" s="2">
        <f>IF(C260="Yes",1,0)</f>
        <v/>
      </c>
      <c r="K260" s="2">
        <f>MIN(MAX(1-(D260-1)/4,0),1)</f>
        <v/>
      </c>
      <c r="L260" s="2">
        <f>MIN(E260/60,1)</f>
        <v/>
      </c>
      <c r="M260" s="2">
        <f>MIN(MAX(1-G260,0),1)</f>
        <v/>
      </c>
      <c r="N260" s="2">
        <f>MIN(MAX(1-(H260-1)/4,0),1)</f>
        <v/>
      </c>
      <c r="O260" s="2">
        <f>1-MIN(I260/8,1)</f>
        <v/>
      </c>
      <c r="P260" s="10">
        <f>ROUND(100*(J260*Assumptions!$B$6+K260*Assumptions!$B$7+L260*Assumptions!$B$8+M260*Assumptions!$B$9+N260*Assumptions!$B$10+O260*Assumptions!$B$11),1)</f>
        <v/>
      </c>
      <c r="Q260" s="2">
        <f>IF(P260&gt;=Assumptions!$B$14,"High",IF(P260&gt;=Assumptions!$B$15,"Medium","Low"))</f>
        <v/>
      </c>
      <c r="R260" s="2">
        <f>Cleaned_Data!L260</f>
        <v/>
      </c>
    </row>
    <row r="261">
      <c r="A261" s="2">
        <f>Cleaned_Data!A261</f>
        <v/>
      </c>
      <c r="B261" s="2">
        <f>Cleaned_Data!B261</f>
        <v/>
      </c>
      <c r="C261" s="2">
        <f>Cleaned_Data!G261</f>
        <v/>
      </c>
      <c r="D261" s="2">
        <f>Cleaned_Data!I261</f>
        <v/>
      </c>
      <c r="E261" s="2">
        <f>Cleaned_Data!H261</f>
        <v/>
      </c>
      <c r="F261" s="2">
        <f>Cleaned_Data!F261</f>
        <v/>
      </c>
      <c r="G261" s="9">
        <f>SUMPRODUCT(($B$2:$B$1196=B261)*($F$2:$F$1196&lt;=F261))/SUMPRODUCT(($B$2:$B$1196=B261)*1)</f>
        <v/>
      </c>
      <c r="H261" s="2">
        <f>Cleaned_Data!J261</f>
        <v/>
      </c>
      <c r="I261" s="2">
        <f>Cleaned_Data!E261</f>
        <v/>
      </c>
      <c r="J261" s="2">
        <f>IF(C261="Yes",1,0)</f>
        <v/>
      </c>
      <c r="K261" s="2">
        <f>MIN(MAX(1-(D261-1)/4,0),1)</f>
        <v/>
      </c>
      <c r="L261" s="2">
        <f>MIN(E261/60,1)</f>
        <v/>
      </c>
      <c r="M261" s="2">
        <f>MIN(MAX(1-G261,0),1)</f>
        <v/>
      </c>
      <c r="N261" s="2">
        <f>MIN(MAX(1-(H261-1)/4,0),1)</f>
        <v/>
      </c>
      <c r="O261" s="2">
        <f>1-MIN(I261/8,1)</f>
        <v/>
      </c>
      <c r="P261" s="10">
        <f>ROUND(100*(J261*Assumptions!$B$6+K261*Assumptions!$B$7+L261*Assumptions!$B$8+M261*Assumptions!$B$9+N261*Assumptions!$B$10+O261*Assumptions!$B$11),1)</f>
        <v/>
      </c>
      <c r="Q261" s="2">
        <f>IF(P261&gt;=Assumptions!$B$14,"High",IF(P261&gt;=Assumptions!$B$15,"Medium","Low"))</f>
        <v/>
      </c>
      <c r="R261" s="2">
        <f>Cleaned_Data!L261</f>
        <v/>
      </c>
    </row>
    <row r="262">
      <c r="A262" s="2">
        <f>Cleaned_Data!A262</f>
        <v/>
      </c>
      <c r="B262" s="2">
        <f>Cleaned_Data!B262</f>
        <v/>
      </c>
      <c r="C262" s="2">
        <f>Cleaned_Data!G262</f>
        <v/>
      </c>
      <c r="D262" s="2">
        <f>Cleaned_Data!I262</f>
        <v/>
      </c>
      <c r="E262" s="2">
        <f>Cleaned_Data!H262</f>
        <v/>
      </c>
      <c r="F262" s="2">
        <f>Cleaned_Data!F262</f>
        <v/>
      </c>
      <c r="G262" s="9">
        <f>SUMPRODUCT(($B$2:$B$1196=B262)*($F$2:$F$1196&lt;=F262))/SUMPRODUCT(($B$2:$B$1196=B262)*1)</f>
        <v/>
      </c>
      <c r="H262" s="2">
        <f>Cleaned_Data!J262</f>
        <v/>
      </c>
      <c r="I262" s="2">
        <f>Cleaned_Data!E262</f>
        <v/>
      </c>
      <c r="J262" s="2">
        <f>IF(C262="Yes",1,0)</f>
        <v/>
      </c>
      <c r="K262" s="2">
        <f>MIN(MAX(1-(D262-1)/4,0),1)</f>
        <v/>
      </c>
      <c r="L262" s="2">
        <f>MIN(E262/60,1)</f>
        <v/>
      </c>
      <c r="M262" s="2">
        <f>MIN(MAX(1-G262,0),1)</f>
        <v/>
      </c>
      <c r="N262" s="2">
        <f>MIN(MAX(1-(H262-1)/4,0),1)</f>
        <v/>
      </c>
      <c r="O262" s="2">
        <f>1-MIN(I262/8,1)</f>
        <v/>
      </c>
      <c r="P262" s="10">
        <f>ROUND(100*(J262*Assumptions!$B$6+K262*Assumptions!$B$7+L262*Assumptions!$B$8+M262*Assumptions!$B$9+N262*Assumptions!$B$10+O262*Assumptions!$B$11),1)</f>
        <v/>
      </c>
      <c r="Q262" s="2">
        <f>IF(P262&gt;=Assumptions!$B$14,"High",IF(P262&gt;=Assumptions!$B$15,"Medium","Low"))</f>
        <v/>
      </c>
      <c r="R262" s="2">
        <f>Cleaned_Data!L262</f>
        <v/>
      </c>
    </row>
    <row r="263">
      <c r="A263" s="2">
        <f>Cleaned_Data!A263</f>
        <v/>
      </c>
      <c r="B263" s="2">
        <f>Cleaned_Data!B263</f>
        <v/>
      </c>
      <c r="C263" s="2">
        <f>Cleaned_Data!G263</f>
        <v/>
      </c>
      <c r="D263" s="2">
        <f>Cleaned_Data!I263</f>
        <v/>
      </c>
      <c r="E263" s="2">
        <f>Cleaned_Data!H263</f>
        <v/>
      </c>
      <c r="F263" s="2">
        <f>Cleaned_Data!F263</f>
        <v/>
      </c>
      <c r="G263" s="9">
        <f>SUMPRODUCT(($B$2:$B$1196=B263)*($F$2:$F$1196&lt;=F263))/SUMPRODUCT(($B$2:$B$1196=B263)*1)</f>
        <v/>
      </c>
      <c r="H263" s="2">
        <f>Cleaned_Data!J263</f>
        <v/>
      </c>
      <c r="I263" s="2">
        <f>Cleaned_Data!E263</f>
        <v/>
      </c>
      <c r="J263" s="2">
        <f>IF(C263="Yes",1,0)</f>
        <v/>
      </c>
      <c r="K263" s="2">
        <f>MIN(MAX(1-(D263-1)/4,0),1)</f>
        <v/>
      </c>
      <c r="L263" s="2">
        <f>MIN(E263/60,1)</f>
        <v/>
      </c>
      <c r="M263" s="2">
        <f>MIN(MAX(1-G263,0),1)</f>
        <v/>
      </c>
      <c r="N263" s="2">
        <f>MIN(MAX(1-(H263-1)/4,0),1)</f>
        <v/>
      </c>
      <c r="O263" s="2">
        <f>1-MIN(I263/8,1)</f>
        <v/>
      </c>
      <c r="P263" s="10">
        <f>ROUND(100*(J263*Assumptions!$B$6+K263*Assumptions!$B$7+L263*Assumptions!$B$8+M263*Assumptions!$B$9+N263*Assumptions!$B$10+O263*Assumptions!$B$11),1)</f>
        <v/>
      </c>
      <c r="Q263" s="2">
        <f>IF(P263&gt;=Assumptions!$B$14,"High",IF(P263&gt;=Assumptions!$B$15,"Medium","Low"))</f>
        <v/>
      </c>
      <c r="R263" s="2">
        <f>Cleaned_Data!L263</f>
        <v/>
      </c>
    </row>
    <row r="264">
      <c r="A264" s="2">
        <f>Cleaned_Data!A264</f>
        <v/>
      </c>
      <c r="B264" s="2">
        <f>Cleaned_Data!B264</f>
        <v/>
      </c>
      <c r="C264" s="2">
        <f>Cleaned_Data!G264</f>
        <v/>
      </c>
      <c r="D264" s="2">
        <f>Cleaned_Data!I264</f>
        <v/>
      </c>
      <c r="E264" s="2">
        <f>Cleaned_Data!H264</f>
        <v/>
      </c>
      <c r="F264" s="2">
        <f>Cleaned_Data!F264</f>
        <v/>
      </c>
      <c r="G264" s="9">
        <f>SUMPRODUCT(($B$2:$B$1196=B264)*($F$2:$F$1196&lt;=F264))/SUMPRODUCT(($B$2:$B$1196=B264)*1)</f>
        <v/>
      </c>
      <c r="H264" s="2">
        <f>Cleaned_Data!J264</f>
        <v/>
      </c>
      <c r="I264" s="2">
        <f>Cleaned_Data!E264</f>
        <v/>
      </c>
      <c r="J264" s="2">
        <f>IF(C264="Yes",1,0)</f>
        <v/>
      </c>
      <c r="K264" s="2">
        <f>MIN(MAX(1-(D264-1)/4,0),1)</f>
        <v/>
      </c>
      <c r="L264" s="2">
        <f>MIN(E264/60,1)</f>
        <v/>
      </c>
      <c r="M264" s="2">
        <f>MIN(MAX(1-G264,0),1)</f>
        <v/>
      </c>
      <c r="N264" s="2">
        <f>MIN(MAX(1-(H264-1)/4,0),1)</f>
        <v/>
      </c>
      <c r="O264" s="2">
        <f>1-MIN(I264/8,1)</f>
        <v/>
      </c>
      <c r="P264" s="10">
        <f>ROUND(100*(J264*Assumptions!$B$6+K264*Assumptions!$B$7+L264*Assumptions!$B$8+M264*Assumptions!$B$9+N264*Assumptions!$B$10+O264*Assumptions!$B$11),1)</f>
        <v/>
      </c>
      <c r="Q264" s="2">
        <f>IF(P264&gt;=Assumptions!$B$14,"High",IF(P264&gt;=Assumptions!$B$15,"Medium","Low"))</f>
        <v/>
      </c>
      <c r="R264" s="2">
        <f>Cleaned_Data!L264</f>
        <v/>
      </c>
    </row>
    <row r="265">
      <c r="A265" s="2">
        <f>Cleaned_Data!A265</f>
        <v/>
      </c>
      <c r="B265" s="2">
        <f>Cleaned_Data!B265</f>
        <v/>
      </c>
      <c r="C265" s="2">
        <f>Cleaned_Data!G265</f>
        <v/>
      </c>
      <c r="D265" s="2">
        <f>Cleaned_Data!I265</f>
        <v/>
      </c>
      <c r="E265" s="2">
        <f>Cleaned_Data!H265</f>
        <v/>
      </c>
      <c r="F265" s="2">
        <f>Cleaned_Data!F265</f>
        <v/>
      </c>
      <c r="G265" s="9">
        <f>SUMPRODUCT(($B$2:$B$1196=B265)*($F$2:$F$1196&lt;=F265))/SUMPRODUCT(($B$2:$B$1196=B265)*1)</f>
        <v/>
      </c>
      <c r="H265" s="2">
        <f>Cleaned_Data!J265</f>
        <v/>
      </c>
      <c r="I265" s="2">
        <f>Cleaned_Data!E265</f>
        <v/>
      </c>
      <c r="J265" s="2">
        <f>IF(C265="Yes",1,0)</f>
        <v/>
      </c>
      <c r="K265" s="2">
        <f>MIN(MAX(1-(D265-1)/4,0),1)</f>
        <v/>
      </c>
      <c r="L265" s="2">
        <f>MIN(E265/60,1)</f>
        <v/>
      </c>
      <c r="M265" s="2">
        <f>MIN(MAX(1-G265,0),1)</f>
        <v/>
      </c>
      <c r="N265" s="2">
        <f>MIN(MAX(1-(H265-1)/4,0),1)</f>
        <v/>
      </c>
      <c r="O265" s="2">
        <f>1-MIN(I265/8,1)</f>
        <v/>
      </c>
      <c r="P265" s="10">
        <f>ROUND(100*(J265*Assumptions!$B$6+K265*Assumptions!$B$7+L265*Assumptions!$B$8+M265*Assumptions!$B$9+N265*Assumptions!$B$10+O265*Assumptions!$B$11),1)</f>
        <v/>
      </c>
      <c r="Q265" s="2">
        <f>IF(P265&gt;=Assumptions!$B$14,"High",IF(P265&gt;=Assumptions!$B$15,"Medium","Low"))</f>
        <v/>
      </c>
      <c r="R265" s="2">
        <f>Cleaned_Data!L265</f>
        <v/>
      </c>
    </row>
    <row r="266">
      <c r="A266" s="2">
        <f>Cleaned_Data!A266</f>
        <v/>
      </c>
      <c r="B266" s="2">
        <f>Cleaned_Data!B266</f>
        <v/>
      </c>
      <c r="C266" s="2">
        <f>Cleaned_Data!G266</f>
        <v/>
      </c>
      <c r="D266" s="2">
        <f>Cleaned_Data!I266</f>
        <v/>
      </c>
      <c r="E266" s="2">
        <f>Cleaned_Data!H266</f>
        <v/>
      </c>
      <c r="F266" s="2">
        <f>Cleaned_Data!F266</f>
        <v/>
      </c>
      <c r="G266" s="9">
        <f>SUMPRODUCT(($B$2:$B$1196=B266)*($F$2:$F$1196&lt;=F266))/SUMPRODUCT(($B$2:$B$1196=B266)*1)</f>
        <v/>
      </c>
      <c r="H266" s="2">
        <f>Cleaned_Data!J266</f>
        <v/>
      </c>
      <c r="I266" s="2">
        <f>Cleaned_Data!E266</f>
        <v/>
      </c>
      <c r="J266" s="2">
        <f>IF(C266="Yes",1,0)</f>
        <v/>
      </c>
      <c r="K266" s="2">
        <f>MIN(MAX(1-(D266-1)/4,0),1)</f>
        <v/>
      </c>
      <c r="L266" s="2">
        <f>MIN(E266/60,1)</f>
        <v/>
      </c>
      <c r="M266" s="2">
        <f>MIN(MAX(1-G266,0),1)</f>
        <v/>
      </c>
      <c r="N266" s="2">
        <f>MIN(MAX(1-(H266-1)/4,0),1)</f>
        <v/>
      </c>
      <c r="O266" s="2">
        <f>1-MIN(I266/8,1)</f>
        <v/>
      </c>
      <c r="P266" s="10">
        <f>ROUND(100*(J266*Assumptions!$B$6+K266*Assumptions!$B$7+L266*Assumptions!$B$8+M266*Assumptions!$B$9+N266*Assumptions!$B$10+O266*Assumptions!$B$11),1)</f>
        <v/>
      </c>
      <c r="Q266" s="2">
        <f>IF(P266&gt;=Assumptions!$B$14,"High",IF(P266&gt;=Assumptions!$B$15,"Medium","Low"))</f>
        <v/>
      </c>
      <c r="R266" s="2">
        <f>Cleaned_Data!L266</f>
        <v/>
      </c>
    </row>
    <row r="267">
      <c r="A267" s="2">
        <f>Cleaned_Data!A267</f>
        <v/>
      </c>
      <c r="B267" s="2">
        <f>Cleaned_Data!B267</f>
        <v/>
      </c>
      <c r="C267" s="2">
        <f>Cleaned_Data!G267</f>
        <v/>
      </c>
      <c r="D267" s="2">
        <f>Cleaned_Data!I267</f>
        <v/>
      </c>
      <c r="E267" s="2">
        <f>Cleaned_Data!H267</f>
        <v/>
      </c>
      <c r="F267" s="2">
        <f>Cleaned_Data!F267</f>
        <v/>
      </c>
      <c r="G267" s="9">
        <f>SUMPRODUCT(($B$2:$B$1196=B267)*($F$2:$F$1196&lt;=F267))/SUMPRODUCT(($B$2:$B$1196=B267)*1)</f>
        <v/>
      </c>
      <c r="H267" s="2">
        <f>Cleaned_Data!J267</f>
        <v/>
      </c>
      <c r="I267" s="2">
        <f>Cleaned_Data!E267</f>
        <v/>
      </c>
      <c r="J267" s="2">
        <f>IF(C267="Yes",1,0)</f>
        <v/>
      </c>
      <c r="K267" s="2">
        <f>MIN(MAX(1-(D267-1)/4,0),1)</f>
        <v/>
      </c>
      <c r="L267" s="2">
        <f>MIN(E267/60,1)</f>
        <v/>
      </c>
      <c r="M267" s="2">
        <f>MIN(MAX(1-G267,0),1)</f>
        <v/>
      </c>
      <c r="N267" s="2">
        <f>MIN(MAX(1-(H267-1)/4,0),1)</f>
        <v/>
      </c>
      <c r="O267" s="2">
        <f>1-MIN(I267/8,1)</f>
        <v/>
      </c>
      <c r="P267" s="10">
        <f>ROUND(100*(J267*Assumptions!$B$6+K267*Assumptions!$B$7+L267*Assumptions!$B$8+M267*Assumptions!$B$9+N267*Assumptions!$B$10+O267*Assumptions!$B$11),1)</f>
        <v/>
      </c>
      <c r="Q267" s="2">
        <f>IF(P267&gt;=Assumptions!$B$14,"High",IF(P267&gt;=Assumptions!$B$15,"Medium","Low"))</f>
        <v/>
      </c>
      <c r="R267" s="2">
        <f>Cleaned_Data!L267</f>
        <v/>
      </c>
    </row>
    <row r="268">
      <c r="A268" s="2">
        <f>Cleaned_Data!A268</f>
        <v/>
      </c>
      <c r="B268" s="2">
        <f>Cleaned_Data!B268</f>
        <v/>
      </c>
      <c r="C268" s="2">
        <f>Cleaned_Data!G268</f>
        <v/>
      </c>
      <c r="D268" s="2">
        <f>Cleaned_Data!I268</f>
        <v/>
      </c>
      <c r="E268" s="2">
        <f>Cleaned_Data!H268</f>
        <v/>
      </c>
      <c r="F268" s="2">
        <f>Cleaned_Data!F268</f>
        <v/>
      </c>
      <c r="G268" s="9">
        <f>SUMPRODUCT(($B$2:$B$1196=B268)*($F$2:$F$1196&lt;=F268))/SUMPRODUCT(($B$2:$B$1196=B268)*1)</f>
        <v/>
      </c>
      <c r="H268" s="2">
        <f>Cleaned_Data!J268</f>
        <v/>
      </c>
      <c r="I268" s="2">
        <f>Cleaned_Data!E268</f>
        <v/>
      </c>
      <c r="J268" s="2">
        <f>IF(C268="Yes",1,0)</f>
        <v/>
      </c>
      <c r="K268" s="2">
        <f>MIN(MAX(1-(D268-1)/4,0),1)</f>
        <v/>
      </c>
      <c r="L268" s="2">
        <f>MIN(E268/60,1)</f>
        <v/>
      </c>
      <c r="M268" s="2">
        <f>MIN(MAX(1-G268,0),1)</f>
        <v/>
      </c>
      <c r="N268" s="2">
        <f>MIN(MAX(1-(H268-1)/4,0),1)</f>
        <v/>
      </c>
      <c r="O268" s="2">
        <f>1-MIN(I268/8,1)</f>
        <v/>
      </c>
      <c r="P268" s="10">
        <f>ROUND(100*(J268*Assumptions!$B$6+K268*Assumptions!$B$7+L268*Assumptions!$B$8+M268*Assumptions!$B$9+N268*Assumptions!$B$10+O268*Assumptions!$B$11),1)</f>
        <v/>
      </c>
      <c r="Q268" s="2">
        <f>IF(P268&gt;=Assumptions!$B$14,"High",IF(P268&gt;=Assumptions!$B$15,"Medium","Low"))</f>
        <v/>
      </c>
      <c r="R268" s="2">
        <f>Cleaned_Data!L268</f>
        <v/>
      </c>
    </row>
    <row r="269">
      <c r="A269" s="2">
        <f>Cleaned_Data!A269</f>
        <v/>
      </c>
      <c r="B269" s="2">
        <f>Cleaned_Data!B269</f>
        <v/>
      </c>
      <c r="C269" s="2">
        <f>Cleaned_Data!G269</f>
        <v/>
      </c>
      <c r="D269" s="2">
        <f>Cleaned_Data!I269</f>
        <v/>
      </c>
      <c r="E269" s="2">
        <f>Cleaned_Data!H269</f>
        <v/>
      </c>
      <c r="F269" s="2">
        <f>Cleaned_Data!F269</f>
        <v/>
      </c>
      <c r="G269" s="9">
        <f>SUMPRODUCT(($B$2:$B$1196=B269)*($F$2:$F$1196&lt;=F269))/SUMPRODUCT(($B$2:$B$1196=B269)*1)</f>
        <v/>
      </c>
      <c r="H269" s="2">
        <f>Cleaned_Data!J269</f>
        <v/>
      </c>
      <c r="I269" s="2">
        <f>Cleaned_Data!E269</f>
        <v/>
      </c>
      <c r="J269" s="2">
        <f>IF(C269="Yes",1,0)</f>
        <v/>
      </c>
      <c r="K269" s="2">
        <f>MIN(MAX(1-(D269-1)/4,0),1)</f>
        <v/>
      </c>
      <c r="L269" s="2">
        <f>MIN(E269/60,1)</f>
        <v/>
      </c>
      <c r="M269" s="2">
        <f>MIN(MAX(1-G269,0),1)</f>
        <v/>
      </c>
      <c r="N269" s="2">
        <f>MIN(MAX(1-(H269-1)/4,0),1)</f>
        <v/>
      </c>
      <c r="O269" s="2">
        <f>1-MIN(I269/8,1)</f>
        <v/>
      </c>
      <c r="P269" s="10">
        <f>ROUND(100*(J269*Assumptions!$B$6+K269*Assumptions!$B$7+L269*Assumptions!$B$8+M269*Assumptions!$B$9+N269*Assumptions!$B$10+O269*Assumptions!$B$11),1)</f>
        <v/>
      </c>
      <c r="Q269" s="2">
        <f>IF(P269&gt;=Assumptions!$B$14,"High",IF(P269&gt;=Assumptions!$B$15,"Medium","Low"))</f>
        <v/>
      </c>
      <c r="R269" s="2">
        <f>Cleaned_Data!L269</f>
        <v/>
      </c>
    </row>
    <row r="270">
      <c r="A270" s="2">
        <f>Cleaned_Data!A270</f>
        <v/>
      </c>
      <c r="B270" s="2">
        <f>Cleaned_Data!B270</f>
        <v/>
      </c>
      <c r="C270" s="2">
        <f>Cleaned_Data!G270</f>
        <v/>
      </c>
      <c r="D270" s="2">
        <f>Cleaned_Data!I270</f>
        <v/>
      </c>
      <c r="E270" s="2">
        <f>Cleaned_Data!H270</f>
        <v/>
      </c>
      <c r="F270" s="2">
        <f>Cleaned_Data!F270</f>
        <v/>
      </c>
      <c r="G270" s="9">
        <f>SUMPRODUCT(($B$2:$B$1196=B270)*($F$2:$F$1196&lt;=F270))/SUMPRODUCT(($B$2:$B$1196=B270)*1)</f>
        <v/>
      </c>
      <c r="H270" s="2">
        <f>Cleaned_Data!J270</f>
        <v/>
      </c>
      <c r="I270" s="2">
        <f>Cleaned_Data!E270</f>
        <v/>
      </c>
      <c r="J270" s="2">
        <f>IF(C270="Yes",1,0)</f>
        <v/>
      </c>
      <c r="K270" s="2">
        <f>MIN(MAX(1-(D270-1)/4,0),1)</f>
        <v/>
      </c>
      <c r="L270" s="2">
        <f>MIN(E270/60,1)</f>
        <v/>
      </c>
      <c r="M270" s="2">
        <f>MIN(MAX(1-G270,0),1)</f>
        <v/>
      </c>
      <c r="N270" s="2">
        <f>MIN(MAX(1-(H270-1)/4,0),1)</f>
        <v/>
      </c>
      <c r="O270" s="2">
        <f>1-MIN(I270/8,1)</f>
        <v/>
      </c>
      <c r="P270" s="10">
        <f>ROUND(100*(J270*Assumptions!$B$6+K270*Assumptions!$B$7+L270*Assumptions!$B$8+M270*Assumptions!$B$9+N270*Assumptions!$B$10+O270*Assumptions!$B$11),1)</f>
        <v/>
      </c>
      <c r="Q270" s="2">
        <f>IF(P270&gt;=Assumptions!$B$14,"High",IF(P270&gt;=Assumptions!$B$15,"Medium","Low"))</f>
        <v/>
      </c>
      <c r="R270" s="2">
        <f>Cleaned_Data!L270</f>
        <v/>
      </c>
    </row>
    <row r="271">
      <c r="A271" s="2">
        <f>Cleaned_Data!A271</f>
        <v/>
      </c>
      <c r="B271" s="2">
        <f>Cleaned_Data!B271</f>
        <v/>
      </c>
      <c r="C271" s="2">
        <f>Cleaned_Data!G271</f>
        <v/>
      </c>
      <c r="D271" s="2">
        <f>Cleaned_Data!I271</f>
        <v/>
      </c>
      <c r="E271" s="2">
        <f>Cleaned_Data!H271</f>
        <v/>
      </c>
      <c r="F271" s="2">
        <f>Cleaned_Data!F271</f>
        <v/>
      </c>
      <c r="G271" s="9">
        <f>SUMPRODUCT(($B$2:$B$1196=B271)*($F$2:$F$1196&lt;=F271))/SUMPRODUCT(($B$2:$B$1196=B271)*1)</f>
        <v/>
      </c>
      <c r="H271" s="2">
        <f>Cleaned_Data!J271</f>
        <v/>
      </c>
      <c r="I271" s="2">
        <f>Cleaned_Data!E271</f>
        <v/>
      </c>
      <c r="J271" s="2">
        <f>IF(C271="Yes",1,0)</f>
        <v/>
      </c>
      <c r="K271" s="2">
        <f>MIN(MAX(1-(D271-1)/4,0),1)</f>
        <v/>
      </c>
      <c r="L271" s="2">
        <f>MIN(E271/60,1)</f>
        <v/>
      </c>
      <c r="M271" s="2">
        <f>MIN(MAX(1-G271,0),1)</f>
        <v/>
      </c>
      <c r="N271" s="2">
        <f>MIN(MAX(1-(H271-1)/4,0),1)</f>
        <v/>
      </c>
      <c r="O271" s="2">
        <f>1-MIN(I271/8,1)</f>
        <v/>
      </c>
      <c r="P271" s="10">
        <f>ROUND(100*(J271*Assumptions!$B$6+K271*Assumptions!$B$7+L271*Assumptions!$B$8+M271*Assumptions!$B$9+N271*Assumptions!$B$10+O271*Assumptions!$B$11),1)</f>
        <v/>
      </c>
      <c r="Q271" s="2">
        <f>IF(P271&gt;=Assumptions!$B$14,"High",IF(P271&gt;=Assumptions!$B$15,"Medium","Low"))</f>
        <v/>
      </c>
      <c r="R271" s="2">
        <f>Cleaned_Data!L271</f>
        <v/>
      </c>
    </row>
    <row r="272">
      <c r="A272" s="2">
        <f>Cleaned_Data!A272</f>
        <v/>
      </c>
      <c r="B272" s="2">
        <f>Cleaned_Data!B272</f>
        <v/>
      </c>
      <c r="C272" s="2">
        <f>Cleaned_Data!G272</f>
        <v/>
      </c>
      <c r="D272" s="2">
        <f>Cleaned_Data!I272</f>
        <v/>
      </c>
      <c r="E272" s="2">
        <f>Cleaned_Data!H272</f>
        <v/>
      </c>
      <c r="F272" s="2">
        <f>Cleaned_Data!F272</f>
        <v/>
      </c>
      <c r="G272" s="9">
        <f>SUMPRODUCT(($B$2:$B$1196=B272)*($F$2:$F$1196&lt;=F272))/SUMPRODUCT(($B$2:$B$1196=B272)*1)</f>
        <v/>
      </c>
      <c r="H272" s="2">
        <f>Cleaned_Data!J272</f>
        <v/>
      </c>
      <c r="I272" s="2">
        <f>Cleaned_Data!E272</f>
        <v/>
      </c>
      <c r="J272" s="2">
        <f>IF(C272="Yes",1,0)</f>
        <v/>
      </c>
      <c r="K272" s="2">
        <f>MIN(MAX(1-(D272-1)/4,0),1)</f>
        <v/>
      </c>
      <c r="L272" s="2">
        <f>MIN(E272/60,1)</f>
        <v/>
      </c>
      <c r="M272" s="2">
        <f>MIN(MAX(1-G272,0),1)</f>
        <v/>
      </c>
      <c r="N272" s="2">
        <f>MIN(MAX(1-(H272-1)/4,0),1)</f>
        <v/>
      </c>
      <c r="O272" s="2">
        <f>1-MIN(I272/8,1)</f>
        <v/>
      </c>
      <c r="P272" s="10">
        <f>ROUND(100*(J272*Assumptions!$B$6+K272*Assumptions!$B$7+L272*Assumptions!$B$8+M272*Assumptions!$B$9+N272*Assumptions!$B$10+O272*Assumptions!$B$11),1)</f>
        <v/>
      </c>
      <c r="Q272" s="2">
        <f>IF(P272&gt;=Assumptions!$B$14,"High",IF(P272&gt;=Assumptions!$B$15,"Medium","Low"))</f>
        <v/>
      </c>
      <c r="R272" s="2">
        <f>Cleaned_Data!L272</f>
        <v/>
      </c>
    </row>
    <row r="273">
      <c r="A273" s="2">
        <f>Cleaned_Data!A273</f>
        <v/>
      </c>
      <c r="B273" s="2">
        <f>Cleaned_Data!B273</f>
        <v/>
      </c>
      <c r="C273" s="2">
        <f>Cleaned_Data!G273</f>
        <v/>
      </c>
      <c r="D273" s="2">
        <f>Cleaned_Data!I273</f>
        <v/>
      </c>
      <c r="E273" s="2">
        <f>Cleaned_Data!H273</f>
        <v/>
      </c>
      <c r="F273" s="2">
        <f>Cleaned_Data!F273</f>
        <v/>
      </c>
      <c r="G273" s="9">
        <f>SUMPRODUCT(($B$2:$B$1196=B273)*($F$2:$F$1196&lt;=F273))/SUMPRODUCT(($B$2:$B$1196=B273)*1)</f>
        <v/>
      </c>
      <c r="H273" s="2">
        <f>Cleaned_Data!J273</f>
        <v/>
      </c>
      <c r="I273" s="2">
        <f>Cleaned_Data!E273</f>
        <v/>
      </c>
      <c r="J273" s="2">
        <f>IF(C273="Yes",1,0)</f>
        <v/>
      </c>
      <c r="K273" s="2">
        <f>MIN(MAX(1-(D273-1)/4,0),1)</f>
        <v/>
      </c>
      <c r="L273" s="2">
        <f>MIN(E273/60,1)</f>
        <v/>
      </c>
      <c r="M273" s="2">
        <f>MIN(MAX(1-G273,0),1)</f>
        <v/>
      </c>
      <c r="N273" s="2">
        <f>MIN(MAX(1-(H273-1)/4,0),1)</f>
        <v/>
      </c>
      <c r="O273" s="2">
        <f>1-MIN(I273/8,1)</f>
        <v/>
      </c>
      <c r="P273" s="10">
        <f>ROUND(100*(J273*Assumptions!$B$6+K273*Assumptions!$B$7+L273*Assumptions!$B$8+M273*Assumptions!$B$9+N273*Assumptions!$B$10+O273*Assumptions!$B$11),1)</f>
        <v/>
      </c>
      <c r="Q273" s="2">
        <f>IF(P273&gt;=Assumptions!$B$14,"High",IF(P273&gt;=Assumptions!$B$15,"Medium","Low"))</f>
        <v/>
      </c>
      <c r="R273" s="2">
        <f>Cleaned_Data!L273</f>
        <v/>
      </c>
    </row>
    <row r="274">
      <c r="A274" s="2">
        <f>Cleaned_Data!A274</f>
        <v/>
      </c>
      <c r="B274" s="2">
        <f>Cleaned_Data!B274</f>
        <v/>
      </c>
      <c r="C274" s="2">
        <f>Cleaned_Data!G274</f>
        <v/>
      </c>
      <c r="D274" s="2">
        <f>Cleaned_Data!I274</f>
        <v/>
      </c>
      <c r="E274" s="2">
        <f>Cleaned_Data!H274</f>
        <v/>
      </c>
      <c r="F274" s="2">
        <f>Cleaned_Data!F274</f>
        <v/>
      </c>
      <c r="G274" s="9">
        <f>SUMPRODUCT(($B$2:$B$1196=B274)*($F$2:$F$1196&lt;=F274))/SUMPRODUCT(($B$2:$B$1196=B274)*1)</f>
        <v/>
      </c>
      <c r="H274" s="2">
        <f>Cleaned_Data!J274</f>
        <v/>
      </c>
      <c r="I274" s="2">
        <f>Cleaned_Data!E274</f>
        <v/>
      </c>
      <c r="J274" s="2">
        <f>IF(C274="Yes",1,0)</f>
        <v/>
      </c>
      <c r="K274" s="2">
        <f>MIN(MAX(1-(D274-1)/4,0),1)</f>
        <v/>
      </c>
      <c r="L274" s="2">
        <f>MIN(E274/60,1)</f>
        <v/>
      </c>
      <c r="M274" s="2">
        <f>MIN(MAX(1-G274,0),1)</f>
        <v/>
      </c>
      <c r="N274" s="2">
        <f>MIN(MAX(1-(H274-1)/4,0),1)</f>
        <v/>
      </c>
      <c r="O274" s="2">
        <f>1-MIN(I274/8,1)</f>
        <v/>
      </c>
      <c r="P274" s="10">
        <f>ROUND(100*(J274*Assumptions!$B$6+K274*Assumptions!$B$7+L274*Assumptions!$B$8+M274*Assumptions!$B$9+N274*Assumptions!$B$10+O274*Assumptions!$B$11),1)</f>
        <v/>
      </c>
      <c r="Q274" s="2">
        <f>IF(P274&gt;=Assumptions!$B$14,"High",IF(P274&gt;=Assumptions!$B$15,"Medium","Low"))</f>
        <v/>
      </c>
      <c r="R274" s="2">
        <f>Cleaned_Data!L274</f>
        <v/>
      </c>
    </row>
    <row r="275">
      <c r="A275" s="2">
        <f>Cleaned_Data!A275</f>
        <v/>
      </c>
      <c r="B275" s="2">
        <f>Cleaned_Data!B275</f>
        <v/>
      </c>
      <c r="C275" s="2">
        <f>Cleaned_Data!G275</f>
        <v/>
      </c>
      <c r="D275" s="2">
        <f>Cleaned_Data!I275</f>
        <v/>
      </c>
      <c r="E275" s="2">
        <f>Cleaned_Data!H275</f>
        <v/>
      </c>
      <c r="F275" s="2">
        <f>Cleaned_Data!F275</f>
        <v/>
      </c>
      <c r="G275" s="9">
        <f>SUMPRODUCT(($B$2:$B$1196=B275)*($F$2:$F$1196&lt;=F275))/SUMPRODUCT(($B$2:$B$1196=B275)*1)</f>
        <v/>
      </c>
      <c r="H275" s="2">
        <f>Cleaned_Data!J275</f>
        <v/>
      </c>
      <c r="I275" s="2">
        <f>Cleaned_Data!E275</f>
        <v/>
      </c>
      <c r="J275" s="2">
        <f>IF(C275="Yes",1,0)</f>
        <v/>
      </c>
      <c r="K275" s="2">
        <f>MIN(MAX(1-(D275-1)/4,0),1)</f>
        <v/>
      </c>
      <c r="L275" s="2">
        <f>MIN(E275/60,1)</f>
        <v/>
      </c>
      <c r="M275" s="2">
        <f>MIN(MAX(1-G275,0),1)</f>
        <v/>
      </c>
      <c r="N275" s="2">
        <f>MIN(MAX(1-(H275-1)/4,0),1)</f>
        <v/>
      </c>
      <c r="O275" s="2">
        <f>1-MIN(I275/8,1)</f>
        <v/>
      </c>
      <c r="P275" s="10">
        <f>ROUND(100*(J275*Assumptions!$B$6+K275*Assumptions!$B$7+L275*Assumptions!$B$8+M275*Assumptions!$B$9+N275*Assumptions!$B$10+O275*Assumptions!$B$11),1)</f>
        <v/>
      </c>
      <c r="Q275" s="2">
        <f>IF(P275&gt;=Assumptions!$B$14,"High",IF(P275&gt;=Assumptions!$B$15,"Medium","Low"))</f>
        <v/>
      </c>
      <c r="R275" s="2">
        <f>Cleaned_Data!L275</f>
        <v/>
      </c>
    </row>
    <row r="276">
      <c r="A276" s="2">
        <f>Cleaned_Data!A276</f>
        <v/>
      </c>
      <c r="B276" s="2">
        <f>Cleaned_Data!B276</f>
        <v/>
      </c>
      <c r="C276" s="2">
        <f>Cleaned_Data!G276</f>
        <v/>
      </c>
      <c r="D276" s="2">
        <f>Cleaned_Data!I276</f>
        <v/>
      </c>
      <c r="E276" s="2">
        <f>Cleaned_Data!H276</f>
        <v/>
      </c>
      <c r="F276" s="2">
        <f>Cleaned_Data!F276</f>
        <v/>
      </c>
      <c r="G276" s="9">
        <f>SUMPRODUCT(($B$2:$B$1196=B276)*($F$2:$F$1196&lt;=F276))/SUMPRODUCT(($B$2:$B$1196=B276)*1)</f>
        <v/>
      </c>
      <c r="H276" s="2">
        <f>Cleaned_Data!J276</f>
        <v/>
      </c>
      <c r="I276" s="2">
        <f>Cleaned_Data!E276</f>
        <v/>
      </c>
      <c r="J276" s="2">
        <f>IF(C276="Yes",1,0)</f>
        <v/>
      </c>
      <c r="K276" s="2">
        <f>MIN(MAX(1-(D276-1)/4,0),1)</f>
        <v/>
      </c>
      <c r="L276" s="2">
        <f>MIN(E276/60,1)</f>
        <v/>
      </c>
      <c r="M276" s="2">
        <f>MIN(MAX(1-G276,0),1)</f>
        <v/>
      </c>
      <c r="N276" s="2">
        <f>MIN(MAX(1-(H276-1)/4,0),1)</f>
        <v/>
      </c>
      <c r="O276" s="2">
        <f>1-MIN(I276/8,1)</f>
        <v/>
      </c>
      <c r="P276" s="10">
        <f>ROUND(100*(J276*Assumptions!$B$6+K276*Assumptions!$B$7+L276*Assumptions!$B$8+M276*Assumptions!$B$9+N276*Assumptions!$B$10+O276*Assumptions!$B$11),1)</f>
        <v/>
      </c>
      <c r="Q276" s="2">
        <f>IF(P276&gt;=Assumptions!$B$14,"High",IF(P276&gt;=Assumptions!$B$15,"Medium","Low"))</f>
        <v/>
      </c>
      <c r="R276" s="2">
        <f>Cleaned_Data!L276</f>
        <v/>
      </c>
    </row>
    <row r="277">
      <c r="A277" s="2">
        <f>Cleaned_Data!A277</f>
        <v/>
      </c>
      <c r="B277" s="2">
        <f>Cleaned_Data!B277</f>
        <v/>
      </c>
      <c r="C277" s="2">
        <f>Cleaned_Data!G277</f>
        <v/>
      </c>
      <c r="D277" s="2">
        <f>Cleaned_Data!I277</f>
        <v/>
      </c>
      <c r="E277" s="2">
        <f>Cleaned_Data!H277</f>
        <v/>
      </c>
      <c r="F277" s="2">
        <f>Cleaned_Data!F277</f>
        <v/>
      </c>
      <c r="G277" s="9">
        <f>SUMPRODUCT(($B$2:$B$1196=B277)*($F$2:$F$1196&lt;=F277))/SUMPRODUCT(($B$2:$B$1196=B277)*1)</f>
        <v/>
      </c>
      <c r="H277" s="2">
        <f>Cleaned_Data!J277</f>
        <v/>
      </c>
      <c r="I277" s="2">
        <f>Cleaned_Data!E277</f>
        <v/>
      </c>
      <c r="J277" s="2">
        <f>IF(C277="Yes",1,0)</f>
        <v/>
      </c>
      <c r="K277" s="2">
        <f>MIN(MAX(1-(D277-1)/4,0),1)</f>
        <v/>
      </c>
      <c r="L277" s="2">
        <f>MIN(E277/60,1)</f>
        <v/>
      </c>
      <c r="M277" s="2">
        <f>MIN(MAX(1-G277,0),1)</f>
        <v/>
      </c>
      <c r="N277" s="2">
        <f>MIN(MAX(1-(H277-1)/4,0),1)</f>
        <v/>
      </c>
      <c r="O277" s="2">
        <f>1-MIN(I277/8,1)</f>
        <v/>
      </c>
      <c r="P277" s="10">
        <f>ROUND(100*(J277*Assumptions!$B$6+K277*Assumptions!$B$7+L277*Assumptions!$B$8+M277*Assumptions!$B$9+N277*Assumptions!$B$10+O277*Assumptions!$B$11),1)</f>
        <v/>
      </c>
      <c r="Q277" s="2">
        <f>IF(P277&gt;=Assumptions!$B$14,"High",IF(P277&gt;=Assumptions!$B$15,"Medium","Low"))</f>
        <v/>
      </c>
      <c r="R277" s="2">
        <f>Cleaned_Data!L277</f>
        <v/>
      </c>
    </row>
    <row r="278">
      <c r="A278" s="2">
        <f>Cleaned_Data!A278</f>
        <v/>
      </c>
      <c r="B278" s="2">
        <f>Cleaned_Data!B278</f>
        <v/>
      </c>
      <c r="C278" s="2">
        <f>Cleaned_Data!G278</f>
        <v/>
      </c>
      <c r="D278" s="2">
        <f>Cleaned_Data!I278</f>
        <v/>
      </c>
      <c r="E278" s="2">
        <f>Cleaned_Data!H278</f>
        <v/>
      </c>
      <c r="F278" s="2">
        <f>Cleaned_Data!F278</f>
        <v/>
      </c>
      <c r="G278" s="9">
        <f>SUMPRODUCT(($B$2:$B$1196=B278)*($F$2:$F$1196&lt;=F278))/SUMPRODUCT(($B$2:$B$1196=B278)*1)</f>
        <v/>
      </c>
      <c r="H278" s="2">
        <f>Cleaned_Data!J278</f>
        <v/>
      </c>
      <c r="I278" s="2">
        <f>Cleaned_Data!E278</f>
        <v/>
      </c>
      <c r="J278" s="2">
        <f>IF(C278="Yes",1,0)</f>
        <v/>
      </c>
      <c r="K278" s="2">
        <f>MIN(MAX(1-(D278-1)/4,0),1)</f>
        <v/>
      </c>
      <c r="L278" s="2">
        <f>MIN(E278/60,1)</f>
        <v/>
      </c>
      <c r="M278" s="2">
        <f>MIN(MAX(1-G278,0),1)</f>
        <v/>
      </c>
      <c r="N278" s="2">
        <f>MIN(MAX(1-(H278-1)/4,0),1)</f>
        <v/>
      </c>
      <c r="O278" s="2">
        <f>1-MIN(I278/8,1)</f>
        <v/>
      </c>
      <c r="P278" s="10">
        <f>ROUND(100*(J278*Assumptions!$B$6+K278*Assumptions!$B$7+L278*Assumptions!$B$8+M278*Assumptions!$B$9+N278*Assumptions!$B$10+O278*Assumptions!$B$11),1)</f>
        <v/>
      </c>
      <c r="Q278" s="2">
        <f>IF(P278&gt;=Assumptions!$B$14,"High",IF(P278&gt;=Assumptions!$B$15,"Medium","Low"))</f>
        <v/>
      </c>
      <c r="R278" s="2">
        <f>Cleaned_Data!L278</f>
        <v/>
      </c>
    </row>
    <row r="279">
      <c r="A279" s="2">
        <f>Cleaned_Data!A279</f>
        <v/>
      </c>
      <c r="B279" s="2">
        <f>Cleaned_Data!B279</f>
        <v/>
      </c>
      <c r="C279" s="2">
        <f>Cleaned_Data!G279</f>
        <v/>
      </c>
      <c r="D279" s="2">
        <f>Cleaned_Data!I279</f>
        <v/>
      </c>
      <c r="E279" s="2">
        <f>Cleaned_Data!H279</f>
        <v/>
      </c>
      <c r="F279" s="2">
        <f>Cleaned_Data!F279</f>
        <v/>
      </c>
      <c r="G279" s="9">
        <f>SUMPRODUCT(($B$2:$B$1196=B279)*($F$2:$F$1196&lt;=F279))/SUMPRODUCT(($B$2:$B$1196=B279)*1)</f>
        <v/>
      </c>
      <c r="H279" s="2">
        <f>Cleaned_Data!J279</f>
        <v/>
      </c>
      <c r="I279" s="2">
        <f>Cleaned_Data!E279</f>
        <v/>
      </c>
      <c r="J279" s="2">
        <f>IF(C279="Yes",1,0)</f>
        <v/>
      </c>
      <c r="K279" s="2">
        <f>MIN(MAX(1-(D279-1)/4,0),1)</f>
        <v/>
      </c>
      <c r="L279" s="2">
        <f>MIN(E279/60,1)</f>
        <v/>
      </c>
      <c r="M279" s="2">
        <f>MIN(MAX(1-G279,0),1)</f>
        <v/>
      </c>
      <c r="N279" s="2">
        <f>MIN(MAX(1-(H279-1)/4,0),1)</f>
        <v/>
      </c>
      <c r="O279" s="2">
        <f>1-MIN(I279/8,1)</f>
        <v/>
      </c>
      <c r="P279" s="10">
        <f>ROUND(100*(J279*Assumptions!$B$6+K279*Assumptions!$B$7+L279*Assumptions!$B$8+M279*Assumptions!$B$9+N279*Assumptions!$B$10+O279*Assumptions!$B$11),1)</f>
        <v/>
      </c>
      <c r="Q279" s="2">
        <f>IF(P279&gt;=Assumptions!$B$14,"High",IF(P279&gt;=Assumptions!$B$15,"Medium","Low"))</f>
        <v/>
      </c>
      <c r="R279" s="2">
        <f>Cleaned_Data!L279</f>
        <v/>
      </c>
    </row>
    <row r="280">
      <c r="A280" s="2">
        <f>Cleaned_Data!A280</f>
        <v/>
      </c>
      <c r="B280" s="2">
        <f>Cleaned_Data!B280</f>
        <v/>
      </c>
      <c r="C280" s="2">
        <f>Cleaned_Data!G280</f>
        <v/>
      </c>
      <c r="D280" s="2">
        <f>Cleaned_Data!I280</f>
        <v/>
      </c>
      <c r="E280" s="2">
        <f>Cleaned_Data!H280</f>
        <v/>
      </c>
      <c r="F280" s="2">
        <f>Cleaned_Data!F280</f>
        <v/>
      </c>
      <c r="G280" s="9">
        <f>SUMPRODUCT(($B$2:$B$1196=B280)*($F$2:$F$1196&lt;=F280))/SUMPRODUCT(($B$2:$B$1196=B280)*1)</f>
        <v/>
      </c>
      <c r="H280" s="2">
        <f>Cleaned_Data!J280</f>
        <v/>
      </c>
      <c r="I280" s="2">
        <f>Cleaned_Data!E280</f>
        <v/>
      </c>
      <c r="J280" s="2">
        <f>IF(C280="Yes",1,0)</f>
        <v/>
      </c>
      <c r="K280" s="2">
        <f>MIN(MAX(1-(D280-1)/4,0),1)</f>
        <v/>
      </c>
      <c r="L280" s="2">
        <f>MIN(E280/60,1)</f>
        <v/>
      </c>
      <c r="M280" s="2">
        <f>MIN(MAX(1-G280,0),1)</f>
        <v/>
      </c>
      <c r="N280" s="2">
        <f>MIN(MAX(1-(H280-1)/4,0),1)</f>
        <v/>
      </c>
      <c r="O280" s="2">
        <f>1-MIN(I280/8,1)</f>
        <v/>
      </c>
      <c r="P280" s="10">
        <f>ROUND(100*(J280*Assumptions!$B$6+K280*Assumptions!$B$7+L280*Assumptions!$B$8+M280*Assumptions!$B$9+N280*Assumptions!$B$10+O280*Assumptions!$B$11),1)</f>
        <v/>
      </c>
      <c r="Q280" s="2">
        <f>IF(P280&gt;=Assumptions!$B$14,"High",IF(P280&gt;=Assumptions!$B$15,"Medium","Low"))</f>
        <v/>
      </c>
      <c r="R280" s="2">
        <f>Cleaned_Data!L280</f>
        <v/>
      </c>
    </row>
    <row r="281">
      <c r="A281" s="2">
        <f>Cleaned_Data!A281</f>
        <v/>
      </c>
      <c r="B281" s="2">
        <f>Cleaned_Data!B281</f>
        <v/>
      </c>
      <c r="C281" s="2">
        <f>Cleaned_Data!G281</f>
        <v/>
      </c>
      <c r="D281" s="2">
        <f>Cleaned_Data!I281</f>
        <v/>
      </c>
      <c r="E281" s="2">
        <f>Cleaned_Data!H281</f>
        <v/>
      </c>
      <c r="F281" s="2">
        <f>Cleaned_Data!F281</f>
        <v/>
      </c>
      <c r="G281" s="9">
        <f>SUMPRODUCT(($B$2:$B$1196=B281)*($F$2:$F$1196&lt;=F281))/SUMPRODUCT(($B$2:$B$1196=B281)*1)</f>
        <v/>
      </c>
      <c r="H281" s="2">
        <f>Cleaned_Data!J281</f>
        <v/>
      </c>
      <c r="I281" s="2">
        <f>Cleaned_Data!E281</f>
        <v/>
      </c>
      <c r="J281" s="2">
        <f>IF(C281="Yes",1,0)</f>
        <v/>
      </c>
      <c r="K281" s="2">
        <f>MIN(MAX(1-(D281-1)/4,0),1)</f>
        <v/>
      </c>
      <c r="L281" s="2">
        <f>MIN(E281/60,1)</f>
        <v/>
      </c>
      <c r="M281" s="2">
        <f>MIN(MAX(1-G281,0),1)</f>
        <v/>
      </c>
      <c r="N281" s="2">
        <f>MIN(MAX(1-(H281-1)/4,0),1)</f>
        <v/>
      </c>
      <c r="O281" s="2">
        <f>1-MIN(I281/8,1)</f>
        <v/>
      </c>
      <c r="P281" s="10">
        <f>ROUND(100*(J281*Assumptions!$B$6+K281*Assumptions!$B$7+L281*Assumptions!$B$8+M281*Assumptions!$B$9+N281*Assumptions!$B$10+O281*Assumptions!$B$11),1)</f>
        <v/>
      </c>
      <c r="Q281" s="2">
        <f>IF(P281&gt;=Assumptions!$B$14,"High",IF(P281&gt;=Assumptions!$B$15,"Medium","Low"))</f>
        <v/>
      </c>
      <c r="R281" s="2">
        <f>Cleaned_Data!L281</f>
        <v/>
      </c>
    </row>
    <row r="282">
      <c r="A282" s="2">
        <f>Cleaned_Data!A282</f>
        <v/>
      </c>
      <c r="B282" s="2">
        <f>Cleaned_Data!B282</f>
        <v/>
      </c>
      <c r="C282" s="2">
        <f>Cleaned_Data!G282</f>
        <v/>
      </c>
      <c r="D282" s="2">
        <f>Cleaned_Data!I282</f>
        <v/>
      </c>
      <c r="E282" s="2">
        <f>Cleaned_Data!H282</f>
        <v/>
      </c>
      <c r="F282" s="2">
        <f>Cleaned_Data!F282</f>
        <v/>
      </c>
      <c r="G282" s="9">
        <f>SUMPRODUCT(($B$2:$B$1196=B282)*($F$2:$F$1196&lt;=F282))/SUMPRODUCT(($B$2:$B$1196=B282)*1)</f>
        <v/>
      </c>
      <c r="H282" s="2">
        <f>Cleaned_Data!J282</f>
        <v/>
      </c>
      <c r="I282" s="2">
        <f>Cleaned_Data!E282</f>
        <v/>
      </c>
      <c r="J282" s="2">
        <f>IF(C282="Yes",1,0)</f>
        <v/>
      </c>
      <c r="K282" s="2">
        <f>MIN(MAX(1-(D282-1)/4,0),1)</f>
        <v/>
      </c>
      <c r="L282" s="2">
        <f>MIN(E282/60,1)</f>
        <v/>
      </c>
      <c r="M282" s="2">
        <f>MIN(MAX(1-G282,0),1)</f>
        <v/>
      </c>
      <c r="N282" s="2">
        <f>MIN(MAX(1-(H282-1)/4,0),1)</f>
        <v/>
      </c>
      <c r="O282" s="2">
        <f>1-MIN(I282/8,1)</f>
        <v/>
      </c>
      <c r="P282" s="10">
        <f>ROUND(100*(J282*Assumptions!$B$6+K282*Assumptions!$B$7+L282*Assumptions!$B$8+M282*Assumptions!$B$9+N282*Assumptions!$B$10+O282*Assumptions!$B$11),1)</f>
        <v/>
      </c>
      <c r="Q282" s="2">
        <f>IF(P282&gt;=Assumptions!$B$14,"High",IF(P282&gt;=Assumptions!$B$15,"Medium","Low"))</f>
        <v/>
      </c>
      <c r="R282" s="2">
        <f>Cleaned_Data!L282</f>
        <v/>
      </c>
    </row>
    <row r="283">
      <c r="A283" s="2">
        <f>Cleaned_Data!A283</f>
        <v/>
      </c>
      <c r="B283" s="2">
        <f>Cleaned_Data!B283</f>
        <v/>
      </c>
      <c r="C283" s="2">
        <f>Cleaned_Data!G283</f>
        <v/>
      </c>
      <c r="D283" s="2">
        <f>Cleaned_Data!I283</f>
        <v/>
      </c>
      <c r="E283" s="2">
        <f>Cleaned_Data!H283</f>
        <v/>
      </c>
      <c r="F283" s="2">
        <f>Cleaned_Data!F283</f>
        <v/>
      </c>
      <c r="G283" s="9">
        <f>SUMPRODUCT(($B$2:$B$1196=B283)*($F$2:$F$1196&lt;=F283))/SUMPRODUCT(($B$2:$B$1196=B283)*1)</f>
        <v/>
      </c>
      <c r="H283" s="2">
        <f>Cleaned_Data!J283</f>
        <v/>
      </c>
      <c r="I283" s="2">
        <f>Cleaned_Data!E283</f>
        <v/>
      </c>
      <c r="J283" s="2">
        <f>IF(C283="Yes",1,0)</f>
        <v/>
      </c>
      <c r="K283" s="2">
        <f>MIN(MAX(1-(D283-1)/4,0),1)</f>
        <v/>
      </c>
      <c r="L283" s="2">
        <f>MIN(E283/60,1)</f>
        <v/>
      </c>
      <c r="M283" s="2">
        <f>MIN(MAX(1-G283,0),1)</f>
        <v/>
      </c>
      <c r="N283" s="2">
        <f>MIN(MAX(1-(H283-1)/4,0),1)</f>
        <v/>
      </c>
      <c r="O283" s="2">
        <f>1-MIN(I283/8,1)</f>
        <v/>
      </c>
      <c r="P283" s="10">
        <f>ROUND(100*(J283*Assumptions!$B$6+K283*Assumptions!$B$7+L283*Assumptions!$B$8+M283*Assumptions!$B$9+N283*Assumptions!$B$10+O283*Assumptions!$B$11),1)</f>
        <v/>
      </c>
      <c r="Q283" s="2">
        <f>IF(P283&gt;=Assumptions!$B$14,"High",IF(P283&gt;=Assumptions!$B$15,"Medium","Low"))</f>
        <v/>
      </c>
      <c r="R283" s="2">
        <f>Cleaned_Data!L283</f>
        <v/>
      </c>
    </row>
    <row r="284">
      <c r="A284" s="2">
        <f>Cleaned_Data!A284</f>
        <v/>
      </c>
      <c r="B284" s="2">
        <f>Cleaned_Data!B284</f>
        <v/>
      </c>
      <c r="C284" s="2">
        <f>Cleaned_Data!G284</f>
        <v/>
      </c>
      <c r="D284" s="2">
        <f>Cleaned_Data!I284</f>
        <v/>
      </c>
      <c r="E284" s="2">
        <f>Cleaned_Data!H284</f>
        <v/>
      </c>
      <c r="F284" s="2">
        <f>Cleaned_Data!F284</f>
        <v/>
      </c>
      <c r="G284" s="9">
        <f>SUMPRODUCT(($B$2:$B$1196=B284)*($F$2:$F$1196&lt;=F284))/SUMPRODUCT(($B$2:$B$1196=B284)*1)</f>
        <v/>
      </c>
      <c r="H284" s="2">
        <f>Cleaned_Data!J284</f>
        <v/>
      </c>
      <c r="I284" s="2">
        <f>Cleaned_Data!E284</f>
        <v/>
      </c>
      <c r="J284" s="2">
        <f>IF(C284="Yes",1,0)</f>
        <v/>
      </c>
      <c r="K284" s="2">
        <f>MIN(MAX(1-(D284-1)/4,0),1)</f>
        <v/>
      </c>
      <c r="L284" s="2">
        <f>MIN(E284/60,1)</f>
        <v/>
      </c>
      <c r="M284" s="2">
        <f>MIN(MAX(1-G284,0),1)</f>
        <v/>
      </c>
      <c r="N284" s="2">
        <f>MIN(MAX(1-(H284-1)/4,0),1)</f>
        <v/>
      </c>
      <c r="O284" s="2">
        <f>1-MIN(I284/8,1)</f>
        <v/>
      </c>
      <c r="P284" s="10">
        <f>ROUND(100*(J284*Assumptions!$B$6+K284*Assumptions!$B$7+L284*Assumptions!$B$8+M284*Assumptions!$B$9+N284*Assumptions!$B$10+O284*Assumptions!$B$11),1)</f>
        <v/>
      </c>
      <c r="Q284" s="2">
        <f>IF(P284&gt;=Assumptions!$B$14,"High",IF(P284&gt;=Assumptions!$B$15,"Medium","Low"))</f>
        <v/>
      </c>
      <c r="R284" s="2">
        <f>Cleaned_Data!L284</f>
        <v/>
      </c>
    </row>
    <row r="285">
      <c r="A285" s="2">
        <f>Cleaned_Data!A285</f>
        <v/>
      </c>
      <c r="B285" s="2">
        <f>Cleaned_Data!B285</f>
        <v/>
      </c>
      <c r="C285" s="2">
        <f>Cleaned_Data!G285</f>
        <v/>
      </c>
      <c r="D285" s="2">
        <f>Cleaned_Data!I285</f>
        <v/>
      </c>
      <c r="E285" s="2">
        <f>Cleaned_Data!H285</f>
        <v/>
      </c>
      <c r="F285" s="2">
        <f>Cleaned_Data!F285</f>
        <v/>
      </c>
      <c r="G285" s="9">
        <f>SUMPRODUCT(($B$2:$B$1196=B285)*($F$2:$F$1196&lt;=F285))/SUMPRODUCT(($B$2:$B$1196=B285)*1)</f>
        <v/>
      </c>
      <c r="H285" s="2">
        <f>Cleaned_Data!J285</f>
        <v/>
      </c>
      <c r="I285" s="2">
        <f>Cleaned_Data!E285</f>
        <v/>
      </c>
      <c r="J285" s="2">
        <f>IF(C285="Yes",1,0)</f>
        <v/>
      </c>
      <c r="K285" s="2">
        <f>MIN(MAX(1-(D285-1)/4,0),1)</f>
        <v/>
      </c>
      <c r="L285" s="2">
        <f>MIN(E285/60,1)</f>
        <v/>
      </c>
      <c r="M285" s="2">
        <f>MIN(MAX(1-G285,0),1)</f>
        <v/>
      </c>
      <c r="N285" s="2">
        <f>MIN(MAX(1-(H285-1)/4,0),1)</f>
        <v/>
      </c>
      <c r="O285" s="2">
        <f>1-MIN(I285/8,1)</f>
        <v/>
      </c>
      <c r="P285" s="10">
        <f>ROUND(100*(J285*Assumptions!$B$6+K285*Assumptions!$B$7+L285*Assumptions!$B$8+M285*Assumptions!$B$9+N285*Assumptions!$B$10+O285*Assumptions!$B$11),1)</f>
        <v/>
      </c>
      <c r="Q285" s="2">
        <f>IF(P285&gt;=Assumptions!$B$14,"High",IF(P285&gt;=Assumptions!$B$15,"Medium","Low"))</f>
        <v/>
      </c>
      <c r="R285" s="2">
        <f>Cleaned_Data!L285</f>
        <v/>
      </c>
    </row>
    <row r="286">
      <c r="A286" s="2">
        <f>Cleaned_Data!A286</f>
        <v/>
      </c>
      <c r="B286" s="2">
        <f>Cleaned_Data!B286</f>
        <v/>
      </c>
      <c r="C286" s="2">
        <f>Cleaned_Data!G286</f>
        <v/>
      </c>
      <c r="D286" s="2">
        <f>Cleaned_Data!I286</f>
        <v/>
      </c>
      <c r="E286" s="2">
        <f>Cleaned_Data!H286</f>
        <v/>
      </c>
      <c r="F286" s="2">
        <f>Cleaned_Data!F286</f>
        <v/>
      </c>
      <c r="G286" s="9">
        <f>SUMPRODUCT(($B$2:$B$1196=B286)*($F$2:$F$1196&lt;=F286))/SUMPRODUCT(($B$2:$B$1196=B286)*1)</f>
        <v/>
      </c>
      <c r="H286" s="2">
        <f>Cleaned_Data!J286</f>
        <v/>
      </c>
      <c r="I286" s="2">
        <f>Cleaned_Data!E286</f>
        <v/>
      </c>
      <c r="J286" s="2">
        <f>IF(C286="Yes",1,0)</f>
        <v/>
      </c>
      <c r="K286" s="2">
        <f>MIN(MAX(1-(D286-1)/4,0),1)</f>
        <v/>
      </c>
      <c r="L286" s="2">
        <f>MIN(E286/60,1)</f>
        <v/>
      </c>
      <c r="M286" s="2">
        <f>MIN(MAX(1-G286,0),1)</f>
        <v/>
      </c>
      <c r="N286" s="2">
        <f>MIN(MAX(1-(H286-1)/4,0),1)</f>
        <v/>
      </c>
      <c r="O286" s="2">
        <f>1-MIN(I286/8,1)</f>
        <v/>
      </c>
      <c r="P286" s="10">
        <f>ROUND(100*(J286*Assumptions!$B$6+K286*Assumptions!$B$7+L286*Assumptions!$B$8+M286*Assumptions!$B$9+N286*Assumptions!$B$10+O286*Assumptions!$B$11),1)</f>
        <v/>
      </c>
      <c r="Q286" s="2">
        <f>IF(P286&gt;=Assumptions!$B$14,"High",IF(P286&gt;=Assumptions!$B$15,"Medium","Low"))</f>
        <v/>
      </c>
      <c r="R286" s="2">
        <f>Cleaned_Data!L286</f>
        <v/>
      </c>
    </row>
    <row r="287">
      <c r="A287" s="2">
        <f>Cleaned_Data!A287</f>
        <v/>
      </c>
      <c r="B287" s="2">
        <f>Cleaned_Data!B287</f>
        <v/>
      </c>
      <c r="C287" s="2">
        <f>Cleaned_Data!G287</f>
        <v/>
      </c>
      <c r="D287" s="2">
        <f>Cleaned_Data!I287</f>
        <v/>
      </c>
      <c r="E287" s="2">
        <f>Cleaned_Data!H287</f>
        <v/>
      </c>
      <c r="F287" s="2">
        <f>Cleaned_Data!F287</f>
        <v/>
      </c>
      <c r="G287" s="9">
        <f>SUMPRODUCT(($B$2:$B$1196=B287)*($F$2:$F$1196&lt;=F287))/SUMPRODUCT(($B$2:$B$1196=B287)*1)</f>
        <v/>
      </c>
      <c r="H287" s="2">
        <f>Cleaned_Data!J287</f>
        <v/>
      </c>
      <c r="I287" s="2">
        <f>Cleaned_Data!E287</f>
        <v/>
      </c>
      <c r="J287" s="2">
        <f>IF(C287="Yes",1,0)</f>
        <v/>
      </c>
      <c r="K287" s="2">
        <f>MIN(MAX(1-(D287-1)/4,0),1)</f>
        <v/>
      </c>
      <c r="L287" s="2">
        <f>MIN(E287/60,1)</f>
        <v/>
      </c>
      <c r="M287" s="2">
        <f>MIN(MAX(1-G287,0),1)</f>
        <v/>
      </c>
      <c r="N287" s="2">
        <f>MIN(MAX(1-(H287-1)/4,0),1)</f>
        <v/>
      </c>
      <c r="O287" s="2">
        <f>1-MIN(I287/8,1)</f>
        <v/>
      </c>
      <c r="P287" s="10">
        <f>ROUND(100*(J287*Assumptions!$B$6+K287*Assumptions!$B$7+L287*Assumptions!$B$8+M287*Assumptions!$B$9+N287*Assumptions!$B$10+O287*Assumptions!$B$11),1)</f>
        <v/>
      </c>
      <c r="Q287" s="2">
        <f>IF(P287&gt;=Assumptions!$B$14,"High",IF(P287&gt;=Assumptions!$B$15,"Medium","Low"))</f>
        <v/>
      </c>
      <c r="R287" s="2">
        <f>Cleaned_Data!L287</f>
        <v/>
      </c>
    </row>
    <row r="288">
      <c r="A288" s="2">
        <f>Cleaned_Data!A288</f>
        <v/>
      </c>
      <c r="B288" s="2">
        <f>Cleaned_Data!B288</f>
        <v/>
      </c>
      <c r="C288" s="2">
        <f>Cleaned_Data!G288</f>
        <v/>
      </c>
      <c r="D288" s="2">
        <f>Cleaned_Data!I288</f>
        <v/>
      </c>
      <c r="E288" s="2">
        <f>Cleaned_Data!H288</f>
        <v/>
      </c>
      <c r="F288" s="2">
        <f>Cleaned_Data!F288</f>
        <v/>
      </c>
      <c r="G288" s="9">
        <f>SUMPRODUCT(($B$2:$B$1196=B288)*($F$2:$F$1196&lt;=F288))/SUMPRODUCT(($B$2:$B$1196=B288)*1)</f>
        <v/>
      </c>
      <c r="H288" s="2">
        <f>Cleaned_Data!J288</f>
        <v/>
      </c>
      <c r="I288" s="2">
        <f>Cleaned_Data!E288</f>
        <v/>
      </c>
      <c r="J288" s="2">
        <f>IF(C288="Yes",1,0)</f>
        <v/>
      </c>
      <c r="K288" s="2">
        <f>MIN(MAX(1-(D288-1)/4,0),1)</f>
        <v/>
      </c>
      <c r="L288" s="2">
        <f>MIN(E288/60,1)</f>
        <v/>
      </c>
      <c r="M288" s="2">
        <f>MIN(MAX(1-G288,0),1)</f>
        <v/>
      </c>
      <c r="N288" s="2">
        <f>MIN(MAX(1-(H288-1)/4,0),1)</f>
        <v/>
      </c>
      <c r="O288" s="2">
        <f>1-MIN(I288/8,1)</f>
        <v/>
      </c>
      <c r="P288" s="10">
        <f>ROUND(100*(J288*Assumptions!$B$6+K288*Assumptions!$B$7+L288*Assumptions!$B$8+M288*Assumptions!$B$9+N288*Assumptions!$B$10+O288*Assumptions!$B$11),1)</f>
        <v/>
      </c>
      <c r="Q288" s="2">
        <f>IF(P288&gt;=Assumptions!$B$14,"High",IF(P288&gt;=Assumptions!$B$15,"Medium","Low"))</f>
        <v/>
      </c>
      <c r="R288" s="2">
        <f>Cleaned_Data!L288</f>
        <v/>
      </c>
    </row>
    <row r="289">
      <c r="A289" s="2">
        <f>Cleaned_Data!A289</f>
        <v/>
      </c>
      <c r="B289" s="2">
        <f>Cleaned_Data!B289</f>
        <v/>
      </c>
      <c r="C289" s="2">
        <f>Cleaned_Data!G289</f>
        <v/>
      </c>
      <c r="D289" s="2">
        <f>Cleaned_Data!I289</f>
        <v/>
      </c>
      <c r="E289" s="2">
        <f>Cleaned_Data!H289</f>
        <v/>
      </c>
      <c r="F289" s="2">
        <f>Cleaned_Data!F289</f>
        <v/>
      </c>
      <c r="G289" s="9">
        <f>SUMPRODUCT(($B$2:$B$1196=B289)*($F$2:$F$1196&lt;=F289))/SUMPRODUCT(($B$2:$B$1196=B289)*1)</f>
        <v/>
      </c>
      <c r="H289" s="2">
        <f>Cleaned_Data!J289</f>
        <v/>
      </c>
      <c r="I289" s="2">
        <f>Cleaned_Data!E289</f>
        <v/>
      </c>
      <c r="J289" s="2">
        <f>IF(C289="Yes",1,0)</f>
        <v/>
      </c>
      <c r="K289" s="2">
        <f>MIN(MAX(1-(D289-1)/4,0),1)</f>
        <v/>
      </c>
      <c r="L289" s="2">
        <f>MIN(E289/60,1)</f>
        <v/>
      </c>
      <c r="M289" s="2">
        <f>MIN(MAX(1-G289,0),1)</f>
        <v/>
      </c>
      <c r="N289" s="2">
        <f>MIN(MAX(1-(H289-1)/4,0),1)</f>
        <v/>
      </c>
      <c r="O289" s="2">
        <f>1-MIN(I289/8,1)</f>
        <v/>
      </c>
      <c r="P289" s="10">
        <f>ROUND(100*(J289*Assumptions!$B$6+K289*Assumptions!$B$7+L289*Assumptions!$B$8+M289*Assumptions!$B$9+N289*Assumptions!$B$10+O289*Assumptions!$B$11),1)</f>
        <v/>
      </c>
      <c r="Q289" s="2">
        <f>IF(P289&gt;=Assumptions!$B$14,"High",IF(P289&gt;=Assumptions!$B$15,"Medium","Low"))</f>
        <v/>
      </c>
      <c r="R289" s="2">
        <f>Cleaned_Data!L289</f>
        <v/>
      </c>
    </row>
    <row r="290">
      <c r="A290" s="2">
        <f>Cleaned_Data!A290</f>
        <v/>
      </c>
      <c r="B290" s="2">
        <f>Cleaned_Data!B290</f>
        <v/>
      </c>
      <c r="C290" s="2">
        <f>Cleaned_Data!G290</f>
        <v/>
      </c>
      <c r="D290" s="2">
        <f>Cleaned_Data!I290</f>
        <v/>
      </c>
      <c r="E290" s="2">
        <f>Cleaned_Data!H290</f>
        <v/>
      </c>
      <c r="F290" s="2">
        <f>Cleaned_Data!F290</f>
        <v/>
      </c>
      <c r="G290" s="9">
        <f>SUMPRODUCT(($B$2:$B$1196=B290)*($F$2:$F$1196&lt;=F290))/SUMPRODUCT(($B$2:$B$1196=B290)*1)</f>
        <v/>
      </c>
      <c r="H290" s="2">
        <f>Cleaned_Data!J290</f>
        <v/>
      </c>
      <c r="I290" s="2">
        <f>Cleaned_Data!E290</f>
        <v/>
      </c>
      <c r="J290" s="2">
        <f>IF(C290="Yes",1,0)</f>
        <v/>
      </c>
      <c r="K290" s="2">
        <f>MIN(MAX(1-(D290-1)/4,0),1)</f>
        <v/>
      </c>
      <c r="L290" s="2">
        <f>MIN(E290/60,1)</f>
        <v/>
      </c>
      <c r="M290" s="2">
        <f>MIN(MAX(1-G290,0),1)</f>
        <v/>
      </c>
      <c r="N290" s="2">
        <f>MIN(MAX(1-(H290-1)/4,0),1)</f>
        <v/>
      </c>
      <c r="O290" s="2">
        <f>1-MIN(I290/8,1)</f>
        <v/>
      </c>
      <c r="P290" s="10">
        <f>ROUND(100*(J290*Assumptions!$B$6+K290*Assumptions!$B$7+L290*Assumptions!$B$8+M290*Assumptions!$B$9+N290*Assumptions!$B$10+O290*Assumptions!$B$11),1)</f>
        <v/>
      </c>
      <c r="Q290" s="2">
        <f>IF(P290&gt;=Assumptions!$B$14,"High",IF(P290&gt;=Assumptions!$B$15,"Medium","Low"))</f>
        <v/>
      </c>
      <c r="R290" s="2">
        <f>Cleaned_Data!L290</f>
        <v/>
      </c>
    </row>
    <row r="291">
      <c r="A291" s="2">
        <f>Cleaned_Data!A291</f>
        <v/>
      </c>
      <c r="B291" s="2">
        <f>Cleaned_Data!B291</f>
        <v/>
      </c>
      <c r="C291" s="2">
        <f>Cleaned_Data!G291</f>
        <v/>
      </c>
      <c r="D291" s="2">
        <f>Cleaned_Data!I291</f>
        <v/>
      </c>
      <c r="E291" s="2">
        <f>Cleaned_Data!H291</f>
        <v/>
      </c>
      <c r="F291" s="2">
        <f>Cleaned_Data!F291</f>
        <v/>
      </c>
      <c r="G291" s="9">
        <f>SUMPRODUCT(($B$2:$B$1196=B291)*($F$2:$F$1196&lt;=F291))/SUMPRODUCT(($B$2:$B$1196=B291)*1)</f>
        <v/>
      </c>
      <c r="H291" s="2">
        <f>Cleaned_Data!J291</f>
        <v/>
      </c>
      <c r="I291" s="2">
        <f>Cleaned_Data!E291</f>
        <v/>
      </c>
      <c r="J291" s="2">
        <f>IF(C291="Yes",1,0)</f>
        <v/>
      </c>
      <c r="K291" s="2">
        <f>MIN(MAX(1-(D291-1)/4,0),1)</f>
        <v/>
      </c>
      <c r="L291" s="2">
        <f>MIN(E291/60,1)</f>
        <v/>
      </c>
      <c r="M291" s="2">
        <f>MIN(MAX(1-G291,0),1)</f>
        <v/>
      </c>
      <c r="N291" s="2">
        <f>MIN(MAX(1-(H291-1)/4,0),1)</f>
        <v/>
      </c>
      <c r="O291" s="2">
        <f>1-MIN(I291/8,1)</f>
        <v/>
      </c>
      <c r="P291" s="10">
        <f>ROUND(100*(J291*Assumptions!$B$6+K291*Assumptions!$B$7+L291*Assumptions!$B$8+M291*Assumptions!$B$9+N291*Assumptions!$B$10+O291*Assumptions!$B$11),1)</f>
        <v/>
      </c>
      <c r="Q291" s="2">
        <f>IF(P291&gt;=Assumptions!$B$14,"High",IF(P291&gt;=Assumptions!$B$15,"Medium","Low"))</f>
        <v/>
      </c>
      <c r="R291" s="2">
        <f>Cleaned_Data!L291</f>
        <v/>
      </c>
    </row>
    <row r="292">
      <c r="A292" s="2">
        <f>Cleaned_Data!A292</f>
        <v/>
      </c>
      <c r="B292" s="2">
        <f>Cleaned_Data!B292</f>
        <v/>
      </c>
      <c r="C292" s="2">
        <f>Cleaned_Data!G292</f>
        <v/>
      </c>
      <c r="D292" s="2">
        <f>Cleaned_Data!I292</f>
        <v/>
      </c>
      <c r="E292" s="2">
        <f>Cleaned_Data!H292</f>
        <v/>
      </c>
      <c r="F292" s="2">
        <f>Cleaned_Data!F292</f>
        <v/>
      </c>
      <c r="G292" s="9">
        <f>SUMPRODUCT(($B$2:$B$1196=B292)*($F$2:$F$1196&lt;=F292))/SUMPRODUCT(($B$2:$B$1196=B292)*1)</f>
        <v/>
      </c>
      <c r="H292" s="2">
        <f>Cleaned_Data!J292</f>
        <v/>
      </c>
      <c r="I292" s="2">
        <f>Cleaned_Data!E292</f>
        <v/>
      </c>
      <c r="J292" s="2">
        <f>IF(C292="Yes",1,0)</f>
        <v/>
      </c>
      <c r="K292" s="2">
        <f>MIN(MAX(1-(D292-1)/4,0),1)</f>
        <v/>
      </c>
      <c r="L292" s="2">
        <f>MIN(E292/60,1)</f>
        <v/>
      </c>
      <c r="M292" s="2">
        <f>MIN(MAX(1-G292,0),1)</f>
        <v/>
      </c>
      <c r="N292" s="2">
        <f>MIN(MAX(1-(H292-1)/4,0),1)</f>
        <v/>
      </c>
      <c r="O292" s="2">
        <f>1-MIN(I292/8,1)</f>
        <v/>
      </c>
      <c r="P292" s="10">
        <f>ROUND(100*(J292*Assumptions!$B$6+K292*Assumptions!$B$7+L292*Assumptions!$B$8+M292*Assumptions!$B$9+N292*Assumptions!$B$10+O292*Assumptions!$B$11),1)</f>
        <v/>
      </c>
      <c r="Q292" s="2">
        <f>IF(P292&gt;=Assumptions!$B$14,"High",IF(P292&gt;=Assumptions!$B$15,"Medium","Low"))</f>
        <v/>
      </c>
      <c r="R292" s="2">
        <f>Cleaned_Data!L292</f>
        <v/>
      </c>
    </row>
    <row r="293">
      <c r="A293" s="2">
        <f>Cleaned_Data!A293</f>
        <v/>
      </c>
      <c r="B293" s="2">
        <f>Cleaned_Data!B293</f>
        <v/>
      </c>
      <c r="C293" s="2">
        <f>Cleaned_Data!G293</f>
        <v/>
      </c>
      <c r="D293" s="2">
        <f>Cleaned_Data!I293</f>
        <v/>
      </c>
      <c r="E293" s="2">
        <f>Cleaned_Data!H293</f>
        <v/>
      </c>
      <c r="F293" s="2">
        <f>Cleaned_Data!F293</f>
        <v/>
      </c>
      <c r="G293" s="9">
        <f>SUMPRODUCT(($B$2:$B$1196=B293)*($F$2:$F$1196&lt;=F293))/SUMPRODUCT(($B$2:$B$1196=B293)*1)</f>
        <v/>
      </c>
      <c r="H293" s="2">
        <f>Cleaned_Data!J293</f>
        <v/>
      </c>
      <c r="I293" s="2">
        <f>Cleaned_Data!E293</f>
        <v/>
      </c>
      <c r="J293" s="2">
        <f>IF(C293="Yes",1,0)</f>
        <v/>
      </c>
      <c r="K293" s="2">
        <f>MIN(MAX(1-(D293-1)/4,0),1)</f>
        <v/>
      </c>
      <c r="L293" s="2">
        <f>MIN(E293/60,1)</f>
        <v/>
      </c>
      <c r="M293" s="2">
        <f>MIN(MAX(1-G293,0),1)</f>
        <v/>
      </c>
      <c r="N293" s="2">
        <f>MIN(MAX(1-(H293-1)/4,0),1)</f>
        <v/>
      </c>
      <c r="O293" s="2">
        <f>1-MIN(I293/8,1)</f>
        <v/>
      </c>
      <c r="P293" s="10">
        <f>ROUND(100*(J293*Assumptions!$B$6+K293*Assumptions!$B$7+L293*Assumptions!$B$8+M293*Assumptions!$B$9+N293*Assumptions!$B$10+O293*Assumptions!$B$11),1)</f>
        <v/>
      </c>
      <c r="Q293" s="2">
        <f>IF(P293&gt;=Assumptions!$B$14,"High",IF(P293&gt;=Assumptions!$B$15,"Medium","Low"))</f>
        <v/>
      </c>
      <c r="R293" s="2">
        <f>Cleaned_Data!L293</f>
        <v/>
      </c>
    </row>
    <row r="294">
      <c r="A294" s="2">
        <f>Cleaned_Data!A294</f>
        <v/>
      </c>
      <c r="B294" s="2">
        <f>Cleaned_Data!B294</f>
        <v/>
      </c>
      <c r="C294" s="2">
        <f>Cleaned_Data!G294</f>
        <v/>
      </c>
      <c r="D294" s="2">
        <f>Cleaned_Data!I294</f>
        <v/>
      </c>
      <c r="E294" s="2">
        <f>Cleaned_Data!H294</f>
        <v/>
      </c>
      <c r="F294" s="2">
        <f>Cleaned_Data!F294</f>
        <v/>
      </c>
      <c r="G294" s="9">
        <f>SUMPRODUCT(($B$2:$B$1196=B294)*($F$2:$F$1196&lt;=F294))/SUMPRODUCT(($B$2:$B$1196=B294)*1)</f>
        <v/>
      </c>
      <c r="H294" s="2">
        <f>Cleaned_Data!J294</f>
        <v/>
      </c>
      <c r="I294" s="2">
        <f>Cleaned_Data!E294</f>
        <v/>
      </c>
      <c r="J294" s="2">
        <f>IF(C294="Yes",1,0)</f>
        <v/>
      </c>
      <c r="K294" s="2">
        <f>MIN(MAX(1-(D294-1)/4,0),1)</f>
        <v/>
      </c>
      <c r="L294" s="2">
        <f>MIN(E294/60,1)</f>
        <v/>
      </c>
      <c r="M294" s="2">
        <f>MIN(MAX(1-G294,0),1)</f>
        <v/>
      </c>
      <c r="N294" s="2">
        <f>MIN(MAX(1-(H294-1)/4,0),1)</f>
        <v/>
      </c>
      <c r="O294" s="2">
        <f>1-MIN(I294/8,1)</f>
        <v/>
      </c>
      <c r="P294" s="10">
        <f>ROUND(100*(J294*Assumptions!$B$6+K294*Assumptions!$B$7+L294*Assumptions!$B$8+M294*Assumptions!$B$9+N294*Assumptions!$B$10+O294*Assumptions!$B$11),1)</f>
        <v/>
      </c>
      <c r="Q294" s="2">
        <f>IF(P294&gt;=Assumptions!$B$14,"High",IF(P294&gt;=Assumptions!$B$15,"Medium","Low"))</f>
        <v/>
      </c>
      <c r="R294" s="2">
        <f>Cleaned_Data!L294</f>
        <v/>
      </c>
    </row>
    <row r="295">
      <c r="A295" s="2">
        <f>Cleaned_Data!A295</f>
        <v/>
      </c>
      <c r="B295" s="2">
        <f>Cleaned_Data!B295</f>
        <v/>
      </c>
      <c r="C295" s="2">
        <f>Cleaned_Data!G295</f>
        <v/>
      </c>
      <c r="D295" s="2">
        <f>Cleaned_Data!I295</f>
        <v/>
      </c>
      <c r="E295" s="2">
        <f>Cleaned_Data!H295</f>
        <v/>
      </c>
      <c r="F295" s="2">
        <f>Cleaned_Data!F295</f>
        <v/>
      </c>
      <c r="G295" s="9">
        <f>SUMPRODUCT(($B$2:$B$1196=B295)*($F$2:$F$1196&lt;=F295))/SUMPRODUCT(($B$2:$B$1196=B295)*1)</f>
        <v/>
      </c>
      <c r="H295" s="2">
        <f>Cleaned_Data!J295</f>
        <v/>
      </c>
      <c r="I295" s="2">
        <f>Cleaned_Data!E295</f>
        <v/>
      </c>
      <c r="J295" s="2">
        <f>IF(C295="Yes",1,0)</f>
        <v/>
      </c>
      <c r="K295" s="2">
        <f>MIN(MAX(1-(D295-1)/4,0),1)</f>
        <v/>
      </c>
      <c r="L295" s="2">
        <f>MIN(E295/60,1)</f>
        <v/>
      </c>
      <c r="M295" s="2">
        <f>MIN(MAX(1-G295,0),1)</f>
        <v/>
      </c>
      <c r="N295" s="2">
        <f>MIN(MAX(1-(H295-1)/4,0),1)</f>
        <v/>
      </c>
      <c r="O295" s="2">
        <f>1-MIN(I295/8,1)</f>
        <v/>
      </c>
      <c r="P295" s="10">
        <f>ROUND(100*(J295*Assumptions!$B$6+K295*Assumptions!$B$7+L295*Assumptions!$B$8+M295*Assumptions!$B$9+N295*Assumptions!$B$10+O295*Assumptions!$B$11),1)</f>
        <v/>
      </c>
      <c r="Q295" s="2">
        <f>IF(P295&gt;=Assumptions!$B$14,"High",IF(P295&gt;=Assumptions!$B$15,"Medium","Low"))</f>
        <v/>
      </c>
      <c r="R295" s="2">
        <f>Cleaned_Data!L295</f>
        <v/>
      </c>
    </row>
    <row r="296">
      <c r="A296" s="2">
        <f>Cleaned_Data!A296</f>
        <v/>
      </c>
      <c r="B296" s="2">
        <f>Cleaned_Data!B296</f>
        <v/>
      </c>
      <c r="C296" s="2">
        <f>Cleaned_Data!G296</f>
        <v/>
      </c>
      <c r="D296" s="2">
        <f>Cleaned_Data!I296</f>
        <v/>
      </c>
      <c r="E296" s="2">
        <f>Cleaned_Data!H296</f>
        <v/>
      </c>
      <c r="F296" s="2">
        <f>Cleaned_Data!F296</f>
        <v/>
      </c>
      <c r="G296" s="9">
        <f>SUMPRODUCT(($B$2:$B$1196=B296)*($F$2:$F$1196&lt;=F296))/SUMPRODUCT(($B$2:$B$1196=B296)*1)</f>
        <v/>
      </c>
      <c r="H296" s="2">
        <f>Cleaned_Data!J296</f>
        <v/>
      </c>
      <c r="I296" s="2">
        <f>Cleaned_Data!E296</f>
        <v/>
      </c>
      <c r="J296" s="2">
        <f>IF(C296="Yes",1,0)</f>
        <v/>
      </c>
      <c r="K296" s="2">
        <f>MIN(MAX(1-(D296-1)/4,0),1)</f>
        <v/>
      </c>
      <c r="L296" s="2">
        <f>MIN(E296/60,1)</f>
        <v/>
      </c>
      <c r="M296" s="2">
        <f>MIN(MAX(1-G296,0),1)</f>
        <v/>
      </c>
      <c r="N296" s="2">
        <f>MIN(MAX(1-(H296-1)/4,0),1)</f>
        <v/>
      </c>
      <c r="O296" s="2">
        <f>1-MIN(I296/8,1)</f>
        <v/>
      </c>
      <c r="P296" s="10">
        <f>ROUND(100*(J296*Assumptions!$B$6+K296*Assumptions!$B$7+L296*Assumptions!$B$8+M296*Assumptions!$B$9+N296*Assumptions!$B$10+O296*Assumptions!$B$11),1)</f>
        <v/>
      </c>
      <c r="Q296" s="2">
        <f>IF(P296&gt;=Assumptions!$B$14,"High",IF(P296&gt;=Assumptions!$B$15,"Medium","Low"))</f>
        <v/>
      </c>
      <c r="R296" s="2">
        <f>Cleaned_Data!L296</f>
        <v/>
      </c>
    </row>
    <row r="297">
      <c r="A297" s="2">
        <f>Cleaned_Data!A297</f>
        <v/>
      </c>
      <c r="B297" s="2">
        <f>Cleaned_Data!B297</f>
        <v/>
      </c>
      <c r="C297" s="2">
        <f>Cleaned_Data!G297</f>
        <v/>
      </c>
      <c r="D297" s="2">
        <f>Cleaned_Data!I297</f>
        <v/>
      </c>
      <c r="E297" s="2">
        <f>Cleaned_Data!H297</f>
        <v/>
      </c>
      <c r="F297" s="2">
        <f>Cleaned_Data!F297</f>
        <v/>
      </c>
      <c r="G297" s="9">
        <f>SUMPRODUCT(($B$2:$B$1196=B297)*($F$2:$F$1196&lt;=F297))/SUMPRODUCT(($B$2:$B$1196=B297)*1)</f>
        <v/>
      </c>
      <c r="H297" s="2">
        <f>Cleaned_Data!J297</f>
        <v/>
      </c>
      <c r="I297" s="2">
        <f>Cleaned_Data!E297</f>
        <v/>
      </c>
      <c r="J297" s="2">
        <f>IF(C297="Yes",1,0)</f>
        <v/>
      </c>
      <c r="K297" s="2">
        <f>MIN(MAX(1-(D297-1)/4,0),1)</f>
        <v/>
      </c>
      <c r="L297" s="2">
        <f>MIN(E297/60,1)</f>
        <v/>
      </c>
      <c r="M297" s="2">
        <f>MIN(MAX(1-G297,0),1)</f>
        <v/>
      </c>
      <c r="N297" s="2">
        <f>MIN(MAX(1-(H297-1)/4,0),1)</f>
        <v/>
      </c>
      <c r="O297" s="2">
        <f>1-MIN(I297/8,1)</f>
        <v/>
      </c>
      <c r="P297" s="10">
        <f>ROUND(100*(J297*Assumptions!$B$6+K297*Assumptions!$B$7+L297*Assumptions!$B$8+M297*Assumptions!$B$9+N297*Assumptions!$B$10+O297*Assumptions!$B$11),1)</f>
        <v/>
      </c>
      <c r="Q297" s="2">
        <f>IF(P297&gt;=Assumptions!$B$14,"High",IF(P297&gt;=Assumptions!$B$15,"Medium","Low"))</f>
        <v/>
      </c>
      <c r="R297" s="2">
        <f>Cleaned_Data!L297</f>
        <v/>
      </c>
    </row>
    <row r="298">
      <c r="A298" s="2">
        <f>Cleaned_Data!A298</f>
        <v/>
      </c>
      <c r="B298" s="2">
        <f>Cleaned_Data!B298</f>
        <v/>
      </c>
      <c r="C298" s="2">
        <f>Cleaned_Data!G298</f>
        <v/>
      </c>
      <c r="D298" s="2">
        <f>Cleaned_Data!I298</f>
        <v/>
      </c>
      <c r="E298" s="2">
        <f>Cleaned_Data!H298</f>
        <v/>
      </c>
      <c r="F298" s="2">
        <f>Cleaned_Data!F298</f>
        <v/>
      </c>
      <c r="G298" s="9">
        <f>SUMPRODUCT(($B$2:$B$1196=B298)*($F$2:$F$1196&lt;=F298))/SUMPRODUCT(($B$2:$B$1196=B298)*1)</f>
        <v/>
      </c>
      <c r="H298" s="2">
        <f>Cleaned_Data!J298</f>
        <v/>
      </c>
      <c r="I298" s="2">
        <f>Cleaned_Data!E298</f>
        <v/>
      </c>
      <c r="J298" s="2">
        <f>IF(C298="Yes",1,0)</f>
        <v/>
      </c>
      <c r="K298" s="2">
        <f>MIN(MAX(1-(D298-1)/4,0),1)</f>
        <v/>
      </c>
      <c r="L298" s="2">
        <f>MIN(E298/60,1)</f>
        <v/>
      </c>
      <c r="M298" s="2">
        <f>MIN(MAX(1-G298,0),1)</f>
        <v/>
      </c>
      <c r="N298" s="2">
        <f>MIN(MAX(1-(H298-1)/4,0),1)</f>
        <v/>
      </c>
      <c r="O298" s="2">
        <f>1-MIN(I298/8,1)</f>
        <v/>
      </c>
      <c r="P298" s="10">
        <f>ROUND(100*(J298*Assumptions!$B$6+K298*Assumptions!$B$7+L298*Assumptions!$B$8+M298*Assumptions!$B$9+N298*Assumptions!$B$10+O298*Assumptions!$B$11),1)</f>
        <v/>
      </c>
      <c r="Q298" s="2">
        <f>IF(P298&gt;=Assumptions!$B$14,"High",IF(P298&gt;=Assumptions!$B$15,"Medium","Low"))</f>
        <v/>
      </c>
      <c r="R298" s="2">
        <f>Cleaned_Data!L298</f>
        <v/>
      </c>
    </row>
    <row r="299">
      <c r="A299" s="2">
        <f>Cleaned_Data!A299</f>
        <v/>
      </c>
      <c r="B299" s="2">
        <f>Cleaned_Data!B299</f>
        <v/>
      </c>
      <c r="C299" s="2">
        <f>Cleaned_Data!G299</f>
        <v/>
      </c>
      <c r="D299" s="2">
        <f>Cleaned_Data!I299</f>
        <v/>
      </c>
      <c r="E299" s="2">
        <f>Cleaned_Data!H299</f>
        <v/>
      </c>
      <c r="F299" s="2">
        <f>Cleaned_Data!F299</f>
        <v/>
      </c>
      <c r="G299" s="9">
        <f>SUMPRODUCT(($B$2:$B$1196=B299)*($F$2:$F$1196&lt;=F299))/SUMPRODUCT(($B$2:$B$1196=B299)*1)</f>
        <v/>
      </c>
      <c r="H299" s="2">
        <f>Cleaned_Data!J299</f>
        <v/>
      </c>
      <c r="I299" s="2">
        <f>Cleaned_Data!E299</f>
        <v/>
      </c>
      <c r="J299" s="2">
        <f>IF(C299="Yes",1,0)</f>
        <v/>
      </c>
      <c r="K299" s="2">
        <f>MIN(MAX(1-(D299-1)/4,0),1)</f>
        <v/>
      </c>
      <c r="L299" s="2">
        <f>MIN(E299/60,1)</f>
        <v/>
      </c>
      <c r="M299" s="2">
        <f>MIN(MAX(1-G299,0),1)</f>
        <v/>
      </c>
      <c r="N299" s="2">
        <f>MIN(MAX(1-(H299-1)/4,0),1)</f>
        <v/>
      </c>
      <c r="O299" s="2">
        <f>1-MIN(I299/8,1)</f>
        <v/>
      </c>
      <c r="P299" s="10">
        <f>ROUND(100*(J299*Assumptions!$B$6+K299*Assumptions!$B$7+L299*Assumptions!$B$8+M299*Assumptions!$B$9+N299*Assumptions!$B$10+O299*Assumptions!$B$11),1)</f>
        <v/>
      </c>
      <c r="Q299" s="2">
        <f>IF(P299&gt;=Assumptions!$B$14,"High",IF(P299&gt;=Assumptions!$B$15,"Medium","Low"))</f>
        <v/>
      </c>
      <c r="R299" s="2">
        <f>Cleaned_Data!L299</f>
        <v/>
      </c>
    </row>
    <row r="300">
      <c r="A300" s="2">
        <f>Cleaned_Data!A300</f>
        <v/>
      </c>
      <c r="B300" s="2">
        <f>Cleaned_Data!B300</f>
        <v/>
      </c>
      <c r="C300" s="2">
        <f>Cleaned_Data!G300</f>
        <v/>
      </c>
      <c r="D300" s="2">
        <f>Cleaned_Data!I300</f>
        <v/>
      </c>
      <c r="E300" s="2">
        <f>Cleaned_Data!H300</f>
        <v/>
      </c>
      <c r="F300" s="2">
        <f>Cleaned_Data!F300</f>
        <v/>
      </c>
      <c r="G300" s="9">
        <f>SUMPRODUCT(($B$2:$B$1196=B300)*($F$2:$F$1196&lt;=F300))/SUMPRODUCT(($B$2:$B$1196=B300)*1)</f>
        <v/>
      </c>
      <c r="H300" s="2">
        <f>Cleaned_Data!J300</f>
        <v/>
      </c>
      <c r="I300" s="2">
        <f>Cleaned_Data!E300</f>
        <v/>
      </c>
      <c r="J300" s="2">
        <f>IF(C300="Yes",1,0)</f>
        <v/>
      </c>
      <c r="K300" s="2">
        <f>MIN(MAX(1-(D300-1)/4,0),1)</f>
        <v/>
      </c>
      <c r="L300" s="2">
        <f>MIN(E300/60,1)</f>
        <v/>
      </c>
      <c r="M300" s="2">
        <f>MIN(MAX(1-G300,0),1)</f>
        <v/>
      </c>
      <c r="N300" s="2">
        <f>MIN(MAX(1-(H300-1)/4,0),1)</f>
        <v/>
      </c>
      <c r="O300" s="2">
        <f>1-MIN(I300/8,1)</f>
        <v/>
      </c>
      <c r="P300" s="10">
        <f>ROUND(100*(J300*Assumptions!$B$6+K300*Assumptions!$B$7+L300*Assumptions!$B$8+M300*Assumptions!$B$9+N300*Assumptions!$B$10+O300*Assumptions!$B$11),1)</f>
        <v/>
      </c>
      <c r="Q300" s="2">
        <f>IF(P300&gt;=Assumptions!$B$14,"High",IF(P300&gt;=Assumptions!$B$15,"Medium","Low"))</f>
        <v/>
      </c>
      <c r="R300" s="2">
        <f>Cleaned_Data!L300</f>
        <v/>
      </c>
    </row>
    <row r="301">
      <c r="A301" s="2">
        <f>Cleaned_Data!A301</f>
        <v/>
      </c>
      <c r="B301" s="2">
        <f>Cleaned_Data!B301</f>
        <v/>
      </c>
      <c r="C301" s="2">
        <f>Cleaned_Data!G301</f>
        <v/>
      </c>
      <c r="D301" s="2">
        <f>Cleaned_Data!I301</f>
        <v/>
      </c>
      <c r="E301" s="2">
        <f>Cleaned_Data!H301</f>
        <v/>
      </c>
      <c r="F301" s="2">
        <f>Cleaned_Data!F301</f>
        <v/>
      </c>
      <c r="G301" s="9">
        <f>SUMPRODUCT(($B$2:$B$1196=B301)*($F$2:$F$1196&lt;=F301))/SUMPRODUCT(($B$2:$B$1196=B301)*1)</f>
        <v/>
      </c>
      <c r="H301" s="2">
        <f>Cleaned_Data!J301</f>
        <v/>
      </c>
      <c r="I301" s="2">
        <f>Cleaned_Data!E301</f>
        <v/>
      </c>
      <c r="J301" s="2">
        <f>IF(C301="Yes",1,0)</f>
        <v/>
      </c>
      <c r="K301" s="2">
        <f>MIN(MAX(1-(D301-1)/4,0),1)</f>
        <v/>
      </c>
      <c r="L301" s="2">
        <f>MIN(E301/60,1)</f>
        <v/>
      </c>
      <c r="M301" s="2">
        <f>MIN(MAX(1-G301,0),1)</f>
        <v/>
      </c>
      <c r="N301" s="2">
        <f>MIN(MAX(1-(H301-1)/4,0),1)</f>
        <v/>
      </c>
      <c r="O301" s="2">
        <f>1-MIN(I301/8,1)</f>
        <v/>
      </c>
      <c r="P301" s="10">
        <f>ROUND(100*(J301*Assumptions!$B$6+K301*Assumptions!$B$7+L301*Assumptions!$B$8+M301*Assumptions!$B$9+N301*Assumptions!$B$10+O301*Assumptions!$B$11),1)</f>
        <v/>
      </c>
      <c r="Q301" s="2">
        <f>IF(P301&gt;=Assumptions!$B$14,"High",IF(P301&gt;=Assumptions!$B$15,"Medium","Low"))</f>
        <v/>
      </c>
      <c r="R301" s="2">
        <f>Cleaned_Data!L301</f>
        <v/>
      </c>
    </row>
    <row r="302">
      <c r="A302" s="2">
        <f>Cleaned_Data!A302</f>
        <v/>
      </c>
      <c r="B302" s="2">
        <f>Cleaned_Data!B302</f>
        <v/>
      </c>
      <c r="C302" s="2">
        <f>Cleaned_Data!G302</f>
        <v/>
      </c>
      <c r="D302" s="2">
        <f>Cleaned_Data!I302</f>
        <v/>
      </c>
      <c r="E302" s="2">
        <f>Cleaned_Data!H302</f>
        <v/>
      </c>
      <c r="F302" s="2">
        <f>Cleaned_Data!F302</f>
        <v/>
      </c>
      <c r="G302" s="9">
        <f>SUMPRODUCT(($B$2:$B$1196=B302)*($F$2:$F$1196&lt;=F302))/SUMPRODUCT(($B$2:$B$1196=B302)*1)</f>
        <v/>
      </c>
      <c r="H302" s="2">
        <f>Cleaned_Data!J302</f>
        <v/>
      </c>
      <c r="I302" s="2">
        <f>Cleaned_Data!E302</f>
        <v/>
      </c>
      <c r="J302" s="2">
        <f>IF(C302="Yes",1,0)</f>
        <v/>
      </c>
      <c r="K302" s="2">
        <f>MIN(MAX(1-(D302-1)/4,0),1)</f>
        <v/>
      </c>
      <c r="L302" s="2">
        <f>MIN(E302/60,1)</f>
        <v/>
      </c>
      <c r="M302" s="2">
        <f>MIN(MAX(1-G302,0),1)</f>
        <v/>
      </c>
      <c r="N302" s="2">
        <f>MIN(MAX(1-(H302-1)/4,0),1)</f>
        <v/>
      </c>
      <c r="O302" s="2">
        <f>1-MIN(I302/8,1)</f>
        <v/>
      </c>
      <c r="P302" s="10">
        <f>ROUND(100*(J302*Assumptions!$B$6+K302*Assumptions!$B$7+L302*Assumptions!$B$8+M302*Assumptions!$B$9+N302*Assumptions!$B$10+O302*Assumptions!$B$11),1)</f>
        <v/>
      </c>
      <c r="Q302" s="2">
        <f>IF(P302&gt;=Assumptions!$B$14,"High",IF(P302&gt;=Assumptions!$B$15,"Medium","Low"))</f>
        <v/>
      </c>
      <c r="R302" s="2">
        <f>Cleaned_Data!L302</f>
        <v/>
      </c>
    </row>
    <row r="303">
      <c r="A303" s="2">
        <f>Cleaned_Data!A303</f>
        <v/>
      </c>
      <c r="B303" s="2">
        <f>Cleaned_Data!B303</f>
        <v/>
      </c>
      <c r="C303" s="2">
        <f>Cleaned_Data!G303</f>
        <v/>
      </c>
      <c r="D303" s="2">
        <f>Cleaned_Data!I303</f>
        <v/>
      </c>
      <c r="E303" s="2">
        <f>Cleaned_Data!H303</f>
        <v/>
      </c>
      <c r="F303" s="2">
        <f>Cleaned_Data!F303</f>
        <v/>
      </c>
      <c r="G303" s="9">
        <f>SUMPRODUCT(($B$2:$B$1196=B303)*($F$2:$F$1196&lt;=F303))/SUMPRODUCT(($B$2:$B$1196=B303)*1)</f>
        <v/>
      </c>
      <c r="H303" s="2">
        <f>Cleaned_Data!J303</f>
        <v/>
      </c>
      <c r="I303" s="2">
        <f>Cleaned_Data!E303</f>
        <v/>
      </c>
      <c r="J303" s="2">
        <f>IF(C303="Yes",1,0)</f>
        <v/>
      </c>
      <c r="K303" s="2">
        <f>MIN(MAX(1-(D303-1)/4,0),1)</f>
        <v/>
      </c>
      <c r="L303" s="2">
        <f>MIN(E303/60,1)</f>
        <v/>
      </c>
      <c r="M303" s="2">
        <f>MIN(MAX(1-G303,0),1)</f>
        <v/>
      </c>
      <c r="N303" s="2">
        <f>MIN(MAX(1-(H303-1)/4,0),1)</f>
        <v/>
      </c>
      <c r="O303" s="2">
        <f>1-MIN(I303/8,1)</f>
        <v/>
      </c>
      <c r="P303" s="10">
        <f>ROUND(100*(J303*Assumptions!$B$6+K303*Assumptions!$B$7+L303*Assumptions!$B$8+M303*Assumptions!$B$9+N303*Assumptions!$B$10+O303*Assumptions!$B$11),1)</f>
        <v/>
      </c>
      <c r="Q303" s="2">
        <f>IF(P303&gt;=Assumptions!$B$14,"High",IF(P303&gt;=Assumptions!$B$15,"Medium","Low"))</f>
        <v/>
      </c>
      <c r="R303" s="2">
        <f>Cleaned_Data!L303</f>
        <v/>
      </c>
    </row>
    <row r="304">
      <c r="A304" s="2">
        <f>Cleaned_Data!A304</f>
        <v/>
      </c>
      <c r="B304" s="2">
        <f>Cleaned_Data!B304</f>
        <v/>
      </c>
      <c r="C304" s="2">
        <f>Cleaned_Data!G304</f>
        <v/>
      </c>
      <c r="D304" s="2">
        <f>Cleaned_Data!I304</f>
        <v/>
      </c>
      <c r="E304" s="2">
        <f>Cleaned_Data!H304</f>
        <v/>
      </c>
      <c r="F304" s="2">
        <f>Cleaned_Data!F304</f>
        <v/>
      </c>
      <c r="G304" s="9">
        <f>SUMPRODUCT(($B$2:$B$1196=B304)*($F$2:$F$1196&lt;=F304))/SUMPRODUCT(($B$2:$B$1196=B304)*1)</f>
        <v/>
      </c>
      <c r="H304" s="2">
        <f>Cleaned_Data!J304</f>
        <v/>
      </c>
      <c r="I304" s="2">
        <f>Cleaned_Data!E304</f>
        <v/>
      </c>
      <c r="J304" s="2">
        <f>IF(C304="Yes",1,0)</f>
        <v/>
      </c>
      <c r="K304" s="2">
        <f>MIN(MAX(1-(D304-1)/4,0),1)</f>
        <v/>
      </c>
      <c r="L304" s="2">
        <f>MIN(E304/60,1)</f>
        <v/>
      </c>
      <c r="M304" s="2">
        <f>MIN(MAX(1-G304,0),1)</f>
        <v/>
      </c>
      <c r="N304" s="2">
        <f>MIN(MAX(1-(H304-1)/4,0),1)</f>
        <v/>
      </c>
      <c r="O304" s="2">
        <f>1-MIN(I304/8,1)</f>
        <v/>
      </c>
      <c r="P304" s="10">
        <f>ROUND(100*(J304*Assumptions!$B$6+K304*Assumptions!$B$7+L304*Assumptions!$B$8+M304*Assumptions!$B$9+N304*Assumptions!$B$10+O304*Assumptions!$B$11),1)</f>
        <v/>
      </c>
      <c r="Q304" s="2">
        <f>IF(P304&gt;=Assumptions!$B$14,"High",IF(P304&gt;=Assumptions!$B$15,"Medium","Low"))</f>
        <v/>
      </c>
      <c r="R304" s="2">
        <f>Cleaned_Data!L304</f>
        <v/>
      </c>
    </row>
    <row r="305">
      <c r="A305" s="2">
        <f>Cleaned_Data!A305</f>
        <v/>
      </c>
      <c r="B305" s="2">
        <f>Cleaned_Data!B305</f>
        <v/>
      </c>
      <c r="C305" s="2">
        <f>Cleaned_Data!G305</f>
        <v/>
      </c>
      <c r="D305" s="2">
        <f>Cleaned_Data!I305</f>
        <v/>
      </c>
      <c r="E305" s="2">
        <f>Cleaned_Data!H305</f>
        <v/>
      </c>
      <c r="F305" s="2">
        <f>Cleaned_Data!F305</f>
        <v/>
      </c>
      <c r="G305" s="9">
        <f>SUMPRODUCT(($B$2:$B$1196=B305)*($F$2:$F$1196&lt;=F305))/SUMPRODUCT(($B$2:$B$1196=B305)*1)</f>
        <v/>
      </c>
      <c r="H305" s="2">
        <f>Cleaned_Data!J305</f>
        <v/>
      </c>
      <c r="I305" s="2">
        <f>Cleaned_Data!E305</f>
        <v/>
      </c>
      <c r="J305" s="2">
        <f>IF(C305="Yes",1,0)</f>
        <v/>
      </c>
      <c r="K305" s="2">
        <f>MIN(MAX(1-(D305-1)/4,0),1)</f>
        <v/>
      </c>
      <c r="L305" s="2">
        <f>MIN(E305/60,1)</f>
        <v/>
      </c>
      <c r="M305" s="2">
        <f>MIN(MAX(1-G305,0),1)</f>
        <v/>
      </c>
      <c r="N305" s="2">
        <f>MIN(MAX(1-(H305-1)/4,0),1)</f>
        <v/>
      </c>
      <c r="O305" s="2">
        <f>1-MIN(I305/8,1)</f>
        <v/>
      </c>
      <c r="P305" s="10">
        <f>ROUND(100*(J305*Assumptions!$B$6+K305*Assumptions!$B$7+L305*Assumptions!$B$8+M305*Assumptions!$B$9+N305*Assumptions!$B$10+O305*Assumptions!$B$11),1)</f>
        <v/>
      </c>
      <c r="Q305" s="2">
        <f>IF(P305&gt;=Assumptions!$B$14,"High",IF(P305&gt;=Assumptions!$B$15,"Medium","Low"))</f>
        <v/>
      </c>
      <c r="R305" s="2">
        <f>Cleaned_Data!L305</f>
        <v/>
      </c>
    </row>
    <row r="306">
      <c r="A306" s="2">
        <f>Cleaned_Data!A306</f>
        <v/>
      </c>
      <c r="B306" s="2">
        <f>Cleaned_Data!B306</f>
        <v/>
      </c>
      <c r="C306" s="2">
        <f>Cleaned_Data!G306</f>
        <v/>
      </c>
      <c r="D306" s="2">
        <f>Cleaned_Data!I306</f>
        <v/>
      </c>
      <c r="E306" s="2">
        <f>Cleaned_Data!H306</f>
        <v/>
      </c>
      <c r="F306" s="2">
        <f>Cleaned_Data!F306</f>
        <v/>
      </c>
      <c r="G306" s="9">
        <f>SUMPRODUCT(($B$2:$B$1196=B306)*($F$2:$F$1196&lt;=F306))/SUMPRODUCT(($B$2:$B$1196=B306)*1)</f>
        <v/>
      </c>
      <c r="H306" s="2">
        <f>Cleaned_Data!J306</f>
        <v/>
      </c>
      <c r="I306" s="2">
        <f>Cleaned_Data!E306</f>
        <v/>
      </c>
      <c r="J306" s="2">
        <f>IF(C306="Yes",1,0)</f>
        <v/>
      </c>
      <c r="K306" s="2">
        <f>MIN(MAX(1-(D306-1)/4,0),1)</f>
        <v/>
      </c>
      <c r="L306" s="2">
        <f>MIN(E306/60,1)</f>
        <v/>
      </c>
      <c r="M306" s="2">
        <f>MIN(MAX(1-G306,0),1)</f>
        <v/>
      </c>
      <c r="N306" s="2">
        <f>MIN(MAX(1-(H306-1)/4,0),1)</f>
        <v/>
      </c>
      <c r="O306" s="2">
        <f>1-MIN(I306/8,1)</f>
        <v/>
      </c>
      <c r="P306" s="10">
        <f>ROUND(100*(J306*Assumptions!$B$6+K306*Assumptions!$B$7+L306*Assumptions!$B$8+M306*Assumptions!$B$9+N306*Assumptions!$B$10+O306*Assumptions!$B$11),1)</f>
        <v/>
      </c>
      <c r="Q306" s="2">
        <f>IF(P306&gt;=Assumptions!$B$14,"High",IF(P306&gt;=Assumptions!$B$15,"Medium","Low"))</f>
        <v/>
      </c>
      <c r="R306" s="2">
        <f>Cleaned_Data!L306</f>
        <v/>
      </c>
    </row>
    <row r="307">
      <c r="A307" s="2">
        <f>Cleaned_Data!A307</f>
        <v/>
      </c>
      <c r="B307" s="2">
        <f>Cleaned_Data!B307</f>
        <v/>
      </c>
      <c r="C307" s="2">
        <f>Cleaned_Data!G307</f>
        <v/>
      </c>
      <c r="D307" s="2">
        <f>Cleaned_Data!I307</f>
        <v/>
      </c>
      <c r="E307" s="2">
        <f>Cleaned_Data!H307</f>
        <v/>
      </c>
      <c r="F307" s="2">
        <f>Cleaned_Data!F307</f>
        <v/>
      </c>
      <c r="G307" s="9">
        <f>SUMPRODUCT(($B$2:$B$1196=B307)*($F$2:$F$1196&lt;=F307))/SUMPRODUCT(($B$2:$B$1196=B307)*1)</f>
        <v/>
      </c>
      <c r="H307" s="2">
        <f>Cleaned_Data!J307</f>
        <v/>
      </c>
      <c r="I307" s="2">
        <f>Cleaned_Data!E307</f>
        <v/>
      </c>
      <c r="J307" s="2">
        <f>IF(C307="Yes",1,0)</f>
        <v/>
      </c>
      <c r="K307" s="2">
        <f>MIN(MAX(1-(D307-1)/4,0),1)</f>
        <v/>
      </c>
      <c r="L307" s="2">
        <f>MIN(E307/60,1)</f>
        <v/>
      </c>
      <c r="M307" s="2">
        <f>MIN(MAX(1-G307,0),1)</f>
        <v/>
      </c>
      <c r="N307" s="2">
        <f>MIN(MAX(1-(H307-1)/4,0),1)</f>
        <v/>
      </c>
      <c r="O307" s="2">
        <f>1-MIN(I307/8,1)</f>
        <v/>
      </c>
      <c r="P307" s="10">
        <f>ROUND(100*(J307*Assumptions!$B$6+K307*Assumptions!$B$7+L307*Assumptions!$B$8+M307*Assumptions!$B$9+N307*Assumptions!$B$10+O307*Assumptions!$B$11),1)</f>
        <v/>
      </c>
      <c r="Q307" s="2">
        <f>IF(P307&gt;=Assumptions!$B$14,"High",IF(P307&gt;=Assumptions!$B$15,"Medium","Low"))</f>
        <v/>
      </c>
      <c r="R307" s="2">
        <f>Cleaned_Data!L307</f>
        <v/>
      </c>
    </row>
    <row r="308">
      <c r="A308" s="2">
        <f>Cleaned_Data!A308</f>
        <v/>
      </c>
      <c r="B308" s="2">
        <f>Cleaned_Data!B308</f>
        <v/>
      </c>
      <c r="C308" s="2">
        <f>Cleaned_Data!G308</f>
        <v/>
      </c>
      <c r="D308" s="2">
        <f>Cleaned_Data!I308</f>
        <v/>
      </c>
      <c r="E308" s="2">
        <f>Cleaned_Data!H308</f>
        <v/>
      </c>
      <c r="F308" s="2">
        <f>Cleaned_Data!F308</f>
        <v/>
      </c>
      <c r="G308" s="9">
        <f>SUMPRODUCT(($B$2:$B$1196=B308)*($F$2:$F$1196&lt;=F308))/SUMPRODUCT(($B$2:$B$1196=B308)*1)</f>
        <v/>
      </c>
      <c r="H308" s="2">
        <f>Cleaned_Data!J308</f>
        <v/>
      </c>
      <c r="I308" s="2">
        <f>Cleaned_Data!E308</f>
        <v/>
      </c>
      <c r="J308" s="2">
        <f>IF(C308="Yes",1,0)</f>
        <v/>
      </c>
      <c r="K308" s="2">
        <f>MIN(MAX(1-(D308-1)/4,0),1)</f>
        <v/>
      </c>
      <c r="L308" s="2">
        <f>MIN(E308/60,1)</f>
        <v/>
      </c>
      <c r="M308" s="2">
        <f>MIN(MAX(1-G308,0),1)</f>
        <v/>
      </c>
      <c r="N308" s="2">
        <f>MIN(MAX(1-(H308-1)/4,0),1)</f>
        <v/>
      </c>
      <c r="O308" s="2">
        <f>1-MIN(I308/8,1)</f>
        <v/>
      </c>
      <c r="P308" s="10">
        <f>ROUND(100*(J308*Assumptions!$B$6+K308*Assumptions!$B$7+L308*Assumptions!$B$8+M308*Assumptions!$B$9+N308*Assumptions!$B$10+O308*Assumptions!$B$11),1)</f>
        <v/>
      </c>
      <c r="Q308" s="2">
        <f>IF(P308&gt;=Assumptions!$B$14,"High",IF(P308&gt;=Assumptions!$B$15,"Medium","Low"))</f>
        <v/>
      </c>
      <c r="R308" s="2">
        <f>Cleaned_Data!L308</f>
        <v/>
      </c>
    </row>
    <row r="309">
      <c r="A309" s="2">
        <f>Cleaned_Data!A309</f>
        <v/>
      </c>
      <c r="B309" s="2">
        <f>Cleaned_Data!B309</f>
        <v/>
      </c>
      <c r="C309" s="2">
        <f>Cleaned_Data!G309</f>
        <v/>
      </c>
      <c r="D309" s="2">
        <f>Cleaned_Data!I309</f>
        <v/>
      </c>
      <c r="E309" s="2">
        <f>Cleaned_Data!H309</f>
        <v/>
      </c>
      <c r="F309" s="2">
        <f>Cleaned_Data!F309</f>
        <v/>
      </c>
      <c r="G309" s="9">
        <f>SUMPRODUCT(($B$2:$B$1196=B309)*($F$2:$F$1196&lt;=F309))/SUMPRODUCT(($B$2:$B$1196=B309)*1)</f>
        <v/>
      </c>
      <c r="H309" s="2">
        <f>Cleaned_Data!J309</f>
        <v/>
      </c>
      <c r="I309" s="2">
        <f>Cleaned_Data!E309</f>
        <v/>
      </c>
      <c r="J309" s="2">
        <f>IF(C309="Yes",1,0)</f>
        <v/>
      </c>
      <c r="K309" s="2">
        <f>MIN(MAX(1-(D309-1)/4,0),1)</f>
        <v/>
      </c>
      <c r="L309" s="2">
        <f>MIN(E309/60,1)</f>
        <v/>
      </c>
      <c r="M309" s="2">
        <f>MIN(MAX(1-G309,0),1)</f>
        <v/>
      </c>
      <c r="N309" s="2">
        <f>MIN(MAX(1-(H309-1)/4,0),1)</f>
        <v/>
      </c>
      <c r="O309" s="2">
        <f>1-MIN(I309/8,1)</f>
        <v/>
      </c>
      <c r="P309" s="10">
        <f>ROUND(100*(J309*Assumptions!$B$6+K309*Assumptions!$B$7+L309*Assumptions!$B$8+M309*Assumptions!$B$9+N309*Assumptions!$B$10+O309*Assumptions!$B$11),1)</f>
        <v/>
      </c>
      <c r="Q309" s="2">
        <f>IF(P309&gt;=Assumptions!$B$14,"High",IF(P309&gt;=Assumptions!$B$15,"Medium","Low"))</f>
        <v/>
      </c>
      <c r="R309" s="2">
        <f>Cleaned_Data!L309</f>
        <v/>
      </c>
    </row>
    <row r="310">
      <c r="A310" s="2">
        <f>Cleaned_Data!A310</f>
        <v/>
      </c>
      <c r="B310" s="2">
        <f>Cleaned_Data!B310</f>
        <v/>
      </c>
      <c r="C310" s="2">
        <f>Cleaned_Data!G310</f>
        <v/>
      </c>
      <c r="D310" s="2">
        <f>Cleaned_Data!I310</f>
        <v/>
      </c>
      <c r="E310" s="2">
        <f>Cleaned_Data!H310</f>
        <v/>
      </c>
      <c r="F310" s="2">
        <f>Cleaned_Data!F310</f>
        <v/>
      </c>
      <c r="G310" s="9">
        <f>SUMPRODUCT(($B$2:$B$1196=B310)*($F$2:$F$1196&lt;=F310))/SUMPRODUCT(($B$2:$B$1196=B310)*1)</f>
        <v/>
      </c>
      <c r="H310" s="2">
        <f>Cleaned_Data!J310</f>
        <v/>
      </c>
      <c r="I310" s="2">
        <f>Cleaned_Data!E310</f>
        <v/>
      </c>
      <c r="J310" s="2">
        <f>IF(C310="Yes",1,0)</f>
        <v/>
      </c>
      <c r="K310" s="2">
        <f>MIN(MAX(1-(D310-1)/4,0),1)</f>
        <v/>
      </c>
      <c r="L310" s="2">
        <f>MIN(E310/60,1)</f>
        <v/>
      </c>
      <c r="M310" s="2">
        <f>MIN(MAX(1-G310,0),1)</f>
        <v/>
      </c>
      <c r="N310" s="2">
        <f>MIN(MAX(1-(H310-1)/4,0),1)</f>
        <v/>
      </c>
      <c r="O310" s="2">
        <f>1-MIN(I310/8,1)</f>
        <v/>
      </c>
      <c r="P310" s="10">
        <f>ROUND(100*(J310*Assumptions!$B$6+K310*Assumptions!$B$7+L310*Assumptions!$B$8+M310*Assumptions!$B$9+N310*Assumptions!$B$10+O310*Assumptions!$B$11),1)</f>
        <v/>
      </c>
      <c r="Q310" s="2">
        <f>IF(P310&gt;=Assumptions!$B$14,"High",IF(P310&gt;=Assumptions!$B$15,"Medium","Low"))</f>
        <v/>
      </c>
      <c r="R310" s="2">
        <f>Cleaned_Data!L310</f>
        <v/>
      </c>
    </row>
    <row r="311">
      <c r="A311" s="2">
        <f>Cleaned_Data!A311</f>
        <v/>
      </c>
      <c r="B311" s="2">
        <f>Cleaned_Data!B311</f>
        <v/>
      </c>
      <c r="C311" s="2">
        <f>Cleaned_Data!G311</f>
        <v/>
      </c>
      <c r="D311" s="2">
        <f>Cleaned_Data!I311</f>
        <v/>
      </c>
      <c r="E311" s="2">
        <f>Cleaned_Data!H311</f>
        <v/>
      </c>
      <c r="F311" s="2">
        <f>Cleaned_Data!F311</f>
        <v/>
      </c>
      <c r="G311" s="9">
        <f>SUMPRODUCT(($B$2:$B$1196=B311)*($F$2:$F$1196&lt;=F311))/SUMPRODUCT(($B$2:$B$1196=B311)*1)</f>
        <v/>
      </c>
      <c r="H311" s="2">
        <f>Cleaned_Data!J311</f>
        <v/>
      </c>
      <c r="I311" s="2">
        <f>Cleaned_Data!E311</f>
        <v/>
      </c>
      <c r="J311" s="2">
        <f>IF(C311="Yes",1,0)</f>
        <v/>
      </c>
      <c r="K311" s="2">
        <f>MIN(MAX(1-(D311-1)/4,0),1)</f>
        <v/>
      </c>
      <c r="L311" s="2">
        <f>MIN(E311/60,1)</f>
        <v/>
      </c>
      <c r="M311" s="2">
        <f>MIN(MAX(1-G311,0),1)</f>
        <v/>
      </c>
      <c r="N311" s="2">
        <f>MIN(MAX(1-(H311-1)/4,0),1)</f>
        <v/>
      </c>
      <c r="O311" s="2">
        <f>1-MIN(I311/8,1)</f>
        <v/>
      </c>
      <c r="P311" s="10">
        <f>ROUND(100*(J311*Assumptions!$B$6+K311*Assumptions!$B$7+L311*Assumptions!$B$8+M311*Assumptions!$B$9+N311*Assumptions!$B$10+O311*Assumptions!$B$11),1)</f>
        <v/>
      </c>
      <c r="Q311" s="2">
        <f>IF(P311&gt;=Assumptions!$B$14,"High",IF(P311&gt;=Assumptions!$B$15,"Medium","Low"))</f>
        <v/>
      </c>
      <c r="R311" s="2">
        <f>Cleaned_Data!L311</f>
        <v/>
      </c>
    </row>
    <row r="312">
      <c r="A312" s="2">
        <f>Cleaned_Data!A312</f>
        <v/>
      </c>
      <c r="B312" s="2">
        <f>Cleaned_Data!B312</f>
        <v/>
      </c>
      <c r="C312" s="2">
        <f>Cleaned_Data!G312</f>
        <v/>
      </c>
      <c r="D312" s="2">
        <f>Cleaned_Data!I312</f>
        <v/>
      </c>
      <c r="E312" s="2">
        <f>Cleaned_Data!H312</f>
        <v/>
      </c>
      <c r="F312" s="2">
        <f>Cleaned_Data!F312</f>
        <v/>
      </c>
      <c r="G312" s="9">
        <f>SUMPRODUCT(($B$2:$B$1196=B312)*($F$2:$F$1196&lt;=F312))/SUMPRODUCT(($B$2:$B$1196=B312)*1)</f>
        <v/>
      </c>
      <c r="H312" s="2">
        <f>Cleaned_Data!J312</f>
        <v/>
      </c>
      <c r="I312" s="2">
        <f>Cleaned_Data!E312</f>
        <v/>
      </c>
      <c r="J312" s="2">
        <f>IF(C312="Yes",1,0)</f>
        <v/>
      </c>
      <c r="K312" s="2">
        <f>MIN(MAX(1-(D312-1)/4,0),1)</f>
        <v/>
      </c>
      <c r="L312" s="2">
        <f>MIN(E312/60,1)</f>
        <v/>
      </c>
      <c r="M312" s="2">
        <f>MIN(MAX(1-G312,0),1)</f>
        <v/>
      </c>
      <c r="N312" s="2">
        <f>MIN(MAX(1-(H312-1)/4,0),1)</f>
        <v/>
      </c>
      <c r="O312" s="2">
        <f>1-MIN(I312/8,1)</f>
        <v/>
      </c>
      <c r="P312" s="10">
        <f>ROUND(100*(J312*Assumptions!$B$6+K312*Assumptions!$B$7+L312*Assumptions!$B$8+M312*Assumptions!$B$9+N312*Assumptions!$B$10+O312*Assumptions!$B$11),1)</f>
        <v/>
      </c>
      <c r="Q312" s="2">
        <f>IF(P312&gt;=Assumptions!$B$14,"High",IF(P312&gt;=Assumptions!$B$15,"Medium","Low"))</f>
        <v/>
      </c>
      <c r="R312" s="2">
        <f>Cleaned_Data!L312</f>
        <v/>
      </c>
    </row>
    <row r="313">
      <c r="A313" s="2">
        <f>Cleaned_Data!A313</f>
        <v/>
      </c>
      <c r="B313" s="2">
        <f>Cleaned_Data!B313</f>
        <v/>
      </c>
      <c r="C313" s="2">
        <f>Cleaned_Data!G313</f>
        <v/>
      </c>
      <c r="D313" s="2">
        <f>Cleaned_Data!I313</f>
        <v/>
      </c>
      <c r="E313" s="2">
        <f>Cleaned_Data!H313</f>
        <v/>
      </c>
      <c r="F313" s="2">
        <f>Cleaned_Data!F313</f>
        <v/>
      </c>
      <c r="G313" s="9">
        <f>SUMPRODUCT(($B$2:$B$1196=B313)*($F$2:$F$1196&lt;=F313))/SUMPRODUCT(($B$2:$B$1196=B313)*1)</f>
        <v/>
      </c>
      <c r="H313" s="2">
        <f>Cleaned_Data!J313</f>
        <v/>
      </c>
      <c r="I313" s="2">
        <f>Cleaned_Data!E313</f>
        <v/>
      </c>
      <c r="J313" s="2">
        <f>IF(C313="Yes",1,0)</f>
        <v/>
      </c>
      <c r="K313" s="2">
        <f>MIN(MAX(1-(D313-1)/4,0),1)</f>
        <v/>
      </c>
      <c r="L313" s="2">
        <f>MIN(E313/60,1)</f>
        <v/>
      </c>
      <c r="M313" s="2">
        <f>MIN(MAX(1-G313,0),1)</f>
        <v/>
      </c>
      <c r="N313" s="2">
        <f>MIN(MAX(1-(H313-1)/4,0),1)</f>
        <v/>
      </c>
      <c r="O313" s="2">
        <f>1-MIN(I313/8,1)</f>
        <v/>
      </c>
      <c r="P313" s="10">
        <f>ROUND(100*(J313*Assumptions!$B$6+K313*Assumptions!$B$7+L313*Assumptions!$B$8+M313*Assumptions!$B$9+N313*Assumptions!$B$10+O313*Assumptions!$B$11),1)</f>
        <v/>
      </c>
      <c r="Q313" s="2">
        <f>IF(P313&gt;=Assumptions!$B$14,"High",IF(P313&gt;=Assumptions!$B$15,"Medium","Low"))</f>
        <v/>
      </c>
      <c r="R313" s="2">
        <f>Cleaned_Data!L313</f>
        <v/>
      </c>
    </row>
    <row r="314">
      <c r="A314" s="2">
        <f>Cleaned_Data!A314</f>
        <v/>
      </c>
      <c r="B314" s="2">
        <f>Cleaned_Data!B314</f>
        <v/>
      </c>
      <c r="C314" s="2">
        <f>Cleaned_Data!G314</f>
        <v/>
      </c>
      <c r="D314" s="2">
        <f>Cleaned_Data!I314</f>
        <v/>
      </c>
      <c r="E314" s="2">
        <f>Cleaned_Data!H314</f>
        <v/>
      </c>
      <c r="F314" s="2">
        <f>Cleaned_Data!F314</f>
        <v/>
      </c>
      <c r="G314" s="9">
        <f>SUMPRODUCT(($B$2:$B$1196=B314)*($F$2:$F$1196&lt;=F314))/SUMPRODUCT(($B$2:$B$1196=B314)*1)</f>
        <v/>
      </c>
      <c r="H314" s="2">
        <f>Cleaned_Data!J314</f>
        <v/>
      </c>
      <c r="I314" s="2">
        <f>Cleaned_Data!E314</f>
        <v/>
      </c>
      <c r="J314" s="2">
        <f>IF(C314="Yes",1,0)</f>
        <v/>
      </c>
      <c r="K314" s="2">
        <f>MIN(MAX(1-(D314-1)/4,0),1)</f>
        <v/>
      </c>
      <c r="L314" s="2">
        <f>MIN(E314/60,1)</f>
        <v/>
      </c>
      <c r="M314" s="2">
        <f>MIN(MAX(1-G314,0),1)</f>
        <v/>
      </c>
      <c r="N314" s="2">
        <f>MIN(MAX(1-(H314-1)/4,0),1)</f>
        <v/>
      </c>
      <c r="O314" s="2">
        <f>1-MIN(I314/8,1)</f>
        <v/>
      </c>
      <c r="P314" s="10">
        <f>ROUND(100*(J314*Assumptions!$B$6+K314*Assumptions!$B$7+L314*Assumptions!$B$8+M314*Assumptions!$B$9+N314*Assumptions!$B$10+O314*Assumptions!$B$11),1)</f>
        <v/>
      </c>
      <c r="Q314" s="2">
        <f>IF(P314&gt;=Assumptions!$B$14,"High",IF(P314&gt;=Assumptions!$B$15,"Medium","Low"))</f>
        <v/>
      </c>
      <c r="R314" s="2">
        <f>Cleaned_Data!L314</f>
        <v/>
      </c>
    </row>
    <row r="315">
      <c r="A315" s="2">
        <f>Cleaned_Data!A315</f>
        <v/>
      </c>
      <c r="B315" s="2">
        <f>Cleaned_Data!B315</f>
        <v/>
      </c>
      <c r="C315" s="2">
        <f>Cleaned_Data!G315</f>
        <v/>
      </c>
      <c r="D315" s="2">
        <f>Cleaned_Data!I315</f>
        <v/>
      </c>
      <c r="E315" s="2">
        <f>Cleaned_Data!H315</f>
        <v/>
      </c>
      <c r="F315" s="2">
        <f>Cleaned_Data!F315</f>
        <v/>
      </c>
      <c r="G315" s="9">
        <f>SUMPRODUCT(($B$2:$B$1196=B315)*($F$2:$F$1196&lt;=F315))/SUMPRODUCT(($B$2:$B$1196=B315)*1)</f>
        <v/>
      </c>
      <c r="H315" s="2">
        <f>Cleaned_Data!J315</f>
        <v/>
      </c>
      <c r="I315" s="2">
        <f>Cleaned_Data!E315</f>
        <v/>
      </c>
      <c r="J315" s="2">
        <f>IF(C315="Yes",1,0)</f>
        <v/>
      </c>
      <c r="K315" s="2">
        <f>MIN(MAX(1-(D315-1)/4,0),1)</f>
        <v/>
      </c>
      <c r="L315" s="2">
        <f>MIN(E315/60,1)</f>
        <v/>
      </c>
      <c r="M315" s="2">
        <f>MIN(MAX(1-G315,0),1)</f>
        <v/>
      </c>
      <c r="N315" s="2">
        <f>MIN(MAX(1-(H315-1)/4,0),1)</f>
        <v/>
      </c>
      <c r="O315" s="2">
        <f>1-MIN(I315/8,1)</f>
        <v/>
      </c>
      <c r="P315" s="10">
        <f>ROUND(100*(J315*Assumptions!$B$6+K315*Assumptions!$B$7+L315*Assumptions!$B$8+M315*Assumptions!$B$9+N315*Assumptions!$B$10+O315*Assumptions!$B$11),1)</f>
        <v/>
      </c>
      <c r="Q315" s="2">
        <f>IF(P315&gt;=Assumptions!$B$14,"High",IF(P315&gt;=Assumptions!$B$15,"Medium","Low"))</f>
        <v/>
      </c>
      <c r="R315" s="2">
        <f>Cleaned_Data!L315</f>
        <v/>
      </c>
    </row>
    <row r="316">
      <c r="A316" s="2">
        <f>Cleaned_Data!A316</f>
        <v/>
      </c>
      <c r="B316" s="2">
        <f>Cleaned_Data!B316</f>
        <v/>
      </c>
      <c r="C316" s="2">
        <f>Cleaned_Data!G316</f>
        <v/>
      </c>
      <c r="D316" s="2">
        <f>Cleaned_Data!I316</f>
        <v/>
      </c>
      <c r="E316" s="2">
        <f>Cleaned_Data!H316</f>
        <v/>
      </c>
      <c r="F316" s="2">
        <f>Cleaned_Data!F316</f>
        <v/>
      </c>
      <c r="G316" s="9">
        <f>SUMPRODUCT(($B$2:$B$1196=B316)*($F$2:$F$1196&lt;=F316))/SUMPRODUCT(($B$2:$B$1196=B316)*1)</f>
        <v/>
      </c>
      <c r="H316" s="2">
        <f>Cleaned_Data!J316</f>
        <v/>
      </c>
      <c r="I316" s="2">
        <f>Cleaned_Data!E316</f>
        <v/>
      </c>
      <c r="J316" s="2">
        <f>IF(C316="Yes",1,0)</f>
        <v/>
      </c>
      <c r="K316" s="2">
        <f>MIN(MAX(1-(D316-1)/4,0),1)</f>
        <v/>
      </c>
      <c r="L316" s="2">
        <f>MIN(E316/60,1)</f>
        <v/>
      </c>
      <c r="M316" s="2">
        <f>MIN(MAX(1-G316,0),1)</f>
        <v/>
      </c>
      <c r="N316" s="2">
        <f>MIN(MAX(1-(H316-1)/4,0),1)</f>
        <v/>
      </c>
      <c r="O316" s="2">
        <f>1-MIN(I316/8,1)</f>
        <v/>
      </c>
      <c r="P316" s="10">
        <f>ROUND(100*(J316*Assumptions!$B$6+K316*Assumptions!$B$7+L316*Assumptions!$B$8+M316*Assumptions!$B$9+N316*Assumptions!$B$10+O316*Assumptions!$B$11),1)</f>
        <v/>
      </c>
      <c r="Q316" s="2">
        <f>IF(P316&gt;=Assumptions!$B$14,"High",IF(P316&gt;=Assumptions!$B$15,"Medium","Low"))</f>
        <v/>
      </c>
      <c r="R316" s="2">
        <f>Cleaned_Data!L316</f>
        <v/>
      </c>
    </row>
    <row r="317">
      <c r="A317" s="2">
        <f>Cleaned_Data!A317</f>
        <v/>
      </c>
      <c r="B317" s="2">
        <f>Cleaned_Data!B317</f>
        <v/>
      </c>
      <c r="C317" s="2">
        <f>Cleaned_Data!G317</f>
        <v/>
      </c>
      <c r="D317" s="2">
        <f>Cleaned_Data!I317</f>
        <v/>
      </c>
      <c r="E317" s="2">
        <f>Cleaned_Data!H317</f>
        <v/>
      </c>
      <c r="F317" s="2">
        <f>Cleaned_Data!F317</f>
        <v/>
      </c>
      <c r="G317" s="9">
        <f>SUMPRODUCT(($B$2:$B$1196=B317)*($F$2:$F$1196&lt;=F317))/SUMPRODUCT(($B$2:$B$1196=B317)*1)</f>
        <v/>
      </c>
      <c r="H317" s="2">
        <f>Cleaned_Data!J317</f>
        <v/>
      </c>
      <c r="I317" s="2">
        <f>Cleaned_Data!E317</f>
        <v/>
      </c>
      <c r="J317" s="2">
        <f>IF(C317="Yes",1,0)</f>
        <v/>
      </c>
      <c r="K317" s="2">
        <f>MIN(MAX(1-(D317-1)/4,0),1)</f>
        <v/>
      </c>
      <c r="L317" s="2">
        <f>MIN(E317/60,1)</f>
        <v/>
      </c>
      <c r="M317" s="2">
        <f>MIN(MAX(1-G317,0),1)</f>
        <v/>
      </c>
      <c r="N317" s="2">
        <f>MIN(MAX(1-(H317-1)/4,0),1)</f>
        <v/>
      </c>
      <c r="O317" s="2">
        <f>1-MIN(I317/8,1)</f>
        <v/>
      </c>
      <c r="P317" s="10">
        <f>ROUND(100*(J317*Assumptions!$B$6+K317*Assumptions!$B$7+L317*Assumptions!$B$8+M317*Assumptions!$B$9+N317*Assumptions!$B$10+O317*Assumptions!$B$11),1)</f>
        <v/>
      </c>
      <c r="Q317" s="2">
        <f>IF(P317&gt;=Assumptions!$B$14,"High",IF(P317&gt;=Assumptions!$B$15,"Medium","Low"))</f>
        <v/>
      </c>
      <c r="R317" s="2">
        <f>Cleaned_Data!L317</f>
        <v/>
      </c>
    </row>
    <row r="318">
      <c r="A318" s="2">
        <f>Cleaned_Data!A318</f>
        <v/>
      </c>
      <c r="B318" s="2">
        <f>Cleaned_Data!B318</f>
        <v/>
      </c>
      <c r="C318" s="2">
        <f>Cleaned_Data!G318</f>
        <v/>
      </c>
      <c r="D318" s="2">
        <f>Cleaned_Data!I318</f>
        <v/>
      </c>
      <c r="E318" s="2">
        <f>Cleaned_Data!H318</f>
        <v/>
      </c>
      <c r="F318" s="2">
        <f>Cleaned_Data!F318</f>
        <v/>
      </c>
      <c r="G318" s="9">
        <f>SUMPRODUCT(($B$2:$B$1196=B318)*($F$2:$F$1196&lt;=F318))/SUMPRODUCT(($B$2:$B$1196=B318)*1)</f>
        <v/>
      </c>
      <c r="H318" s="2">
        <f>Cleaned_Data!J318</f>
        <v/>
      </c>
      <c r="I318" s="2">
        <f>Cleaned_Data!E318</f>
        <v/>
      </c>
      <c r="J318" s="2">
        <f>IF(C318="Yes",1,0)</f>
        <v/>
      </c>
      <c r="K318" s="2">
        <f>MIN(MAX(1-(D318-1)/4,0),1)</f>
        <v/>
      </c>
      <c r="L318" s="2">
        <f>MIN(E318/60,1)</f>
        <v/>
      </c>
      <c r="M318" s="2">
        <f>MIN(MAX(1-G318,0),1)</f>
        <v/>
      </c>
      <c r="N318" s="2">
        <f>MIN(MAX(1-(H318-1)/4,0),1)</f>
        <v/>
      </c>
      <c r="O318" s="2">
        <f>1-MIN(I318/8,1)</f>
        <v/>
      </c>
      <c r="P318" s="10">
        <f>ROUND(100*(J318*Assumptions!$B$6+K318*Assumptions!$B$7+L318*Assumptions!$B$8+M318*Assumptions!$B$9+N318*Assumptions!$B$10+O318*Assumptions!$B$11),1)</f>
        <v/>
      </c>
      <c r="Q318" s="2">
        <f>IF(P318&gt;=Assumptions!$B$14,"High",IF(P318&gt;=Assumptions!$B$15,"Medium","Low"))</f>
        <v/>
      </c>
      <c r="R318" s="2">
        <f>Cleaned_Data!L318</f>
        <v/>
      </c>
    </row>
    <row r="319">
      <c r="A319" s="2">
        <f>Cleaned_Data!A319</f>
        <v/>
      </c>
      <c r="B319" s="2">
        <f>Cleaned_Data!B319</f>
        <v/>
      </c>
      <c r="C319" s="2">
        <f>Cleaned_Data!G319</f>
        <v/>
      </c>
      <c r="D319" s="2">
        <f>Cleaned_Data!I319</f>
        <v/>
      </c>
      <c r="E319" s="2">
        <f>Cleaned_Data!H319</f>
        <v/>
      </c>
      <c r="F319" s="2">
        <f>Cleaned_Data!F319</f>
        <v/>
      </c>
      <c r="G319" s="9">
        <f>SUMPRODUCT(($B$2:$B$1196=B319)*($F$2:$F$1196&lt;=F319))/SUMPRODUCT(($B$2:$B$1196=B319)*1)</f>
        <v/>
      </c>
      <c r="H319" s="2">
        <f>Cleaned_Data!J319</f>
        <v/>
      </c>
      <c r="I319" s="2">
        <f>Cleaned_Data!E319</f>
        <v/>
      </c>
      <c r="J319" s="2">
        <f>IF(C319="Yes",1,0)</f>
        <v/>
      </c>
      <c r="K319" s="2">
        <f>MIN(MAX(1-(D319-1)/4,0),1)</f>
        <v/>
      </c>
      <c r="L319" s="2">
        <f>MIN(E319/60,1)</f>
        <v/>
      </c>
      <c r="M319" s="2">
        <f>MIN(MAX(1-G319,0),1)</f>
        <v/>
      </c>
      <c r="N319" s="2">
        <f>MIN(MAX(1-(H319-1)/4,0),1)</f>
        <v/>
      </c>
      <c r="O319" s="2">
        <f>1-MIN(I319/8,1)</f>
        <v/>
      </c>
      <c r="P319" s="10">
        <f>ROUND(100*(J319*Assumptions!$B$6+K319*Assumptions!$B$7+L319*Assumptions!$B$8+M319*Assumptions!$B$9+N319*Assumptions!$B$10+O319*Assumptions!$B$11),1)</f>
        <v/>
      </c>
      <c r="Q319" s="2">
        <f>IF(P319&gt;=Assumptions!$B$14,"High",IF(P319&gt;=Assumptions!$B$15,"Medium","Low"))</f>
        <v/>
      </c>
      <c r="R319" s="2">
        <f>Cleaned_Data!L319</f>
        <v/>
      </c>
    </row>
    <row r="320">
      <c r="A320" s="2">
        <f>Cleaned_Data!A320</f>
        <v/>
      </c>
      <c r="B320" s="2">
        <f>Cleaned_Data!B320</f>
        <v/>
      </c>
      <c r="C320" s="2">
        <f>Cleaned_Data!G320</f>
        <v/>
      </c>
      <c r="D320" s="2">
        <f>Cleaned_Data!I320</f>
        <v/>
      </c>
      <c r="E320" s="2">
        <f>Cleaned_Data!H320</f>
        <v/>
      </c>
      <c r="F320" s="2">
        <f>Cleaned_Data!F320</f>
        <v/>
      </c>
      <c r="G320" s="9">
        <f>SUMPRODUCT(($B$2:$B$1196=B320)*($F$2:$F$1196&lt;=F320))/SUMPRODUCT(($B$2:$B$1196=B320)*1)</f>
        <v/>
      </c>
      <c r="H320" s="2">
        <f>Cleaned_Data!J320</f>
        <v/>
      </c>
      <c r="I320" s="2">
        <f>Cleaned_Data!E320</f>
        <v/>
      </c>
      <c r="J320" s="2">
        <f>IF(C320="Yes",1,0)</f>
        <v/>
      </c>
      <c r="K320" s="2">
        <f>MIN(MAX(1-(D320-1)/4,0),1)</f>
        <v/>
      </c>
      <c r="L320" s="2">
        <f>MIN(E320/60,1)</f>
        <v/>
      </c>
      <c r="M320" s="2">
        <f>MIN(MAX(1-G320,0),1)</f>
        <v/>
      </c>
      <c r="N320" s="2">
        <f>MIN(MAX(1-(H320-1)/4,0),1)</f>
        <v/>
      </c>
      <c r="O320" s="2">
        <f>1-MIN(I320/8,1)</f>
        <v/>
      </c>
      <c r="P320" s="10">
        <f>ROUND(100*(J320*Assumptions!$B$6+K320*Assumptions!$B$7+L320*Assumptions!$B$8+M320*Assumptions!$B$9+N320*Assumptions!$B$10+O320*Assumptions!$B$11),1)</f>
        <v/>
      </c>
      <c r="Q320" s="2">
        <f>IF(P320&gt;=Assumptions!$B$14,"High",IF(P320&gt;=Assumptions!$B$15,"Medium","Low"))</f>
        <v/>
      </c>
      <c r="R320" s="2">
        <f>Cleaned_Data!L320</f>
        <v/>
      </c>
    </row>
    <row r="321">
      <c r="A321" s="2">
        <f>Cleaned_Data!A321</f>
        <v/>
      </c>
      <c r="B321" s="2">
        <f>Cleaned_Data!B321</f>
        <v/>
      </c>
      <c r="C321" s="2">
        <f>Cleaned_Data!G321</f>
        <v/>
      </c>
      <c r="D321" s="2">
        <f>Cleaned_Data!I321</f>
        <v/>
      </c>
      <c r="E321" s="2">
        <f>Cleaned_Data!H321</f>
        <v/>
      </c>
      <c r="F321" s="2">
        <f>Cleaned_Data!F321</f>
        <v/>
      </c>
      <c r="G321" s="9">
        <f>SUMPRODUCT(($B$2:$B$1196=B321)*($F$2:$F$1196&lt;=F321))/SUMPRODUCT(($B$2:$B$1196=B321)*1)</f>
        <v/>
      </c>
      <c r="H321" s="2">
        <f>Cleaned_Data!J321</f>
        <v/>
      </c>
      <c r="I321" s="2">
        <f>Cleaned_Data!E321</f>
        <v/>
      </c>
      <c r="J321" s="2">
        <f>IF(C321="Yes",1,0)</f>
        <v/>
      </c>
      <c r="K321" s="2">
        <f>MIN(MAX(1-(D321-1)/4,0),1)</f>
        <v/>
      </c>
      <c r="L321" s="2">
        <f>MIN(E321/60,1)</f>
        <v/>
      </c>
      <c r="M321" s="2">
        <f>MIN(MAX(1-G321,0),1)</f>
        <v/>
      </c>
      <c r="N321" s="2">
        <f>MIN(MAX(1-(H321-1)/4,0),1)</f>
        <v/>
      </c>
      <c r="O321" s="2">
        <f>1-MIN(I321/8,1)</f>
        <v/>
      </c>
      <c r="P321" s="10">
        <f>ROUND(100*(J321*Assumptions!$B$6+K321*Assumptions!$B$7+L321*Assumptions!$B$8+M321*Assumptions!$B$9+N321*Assumptions!$B$10+O321*Assumptions!$B$11),1)</f>
        <v/>
      </c>
      <c r="Q321" s="2">
        <f>IF(P321&gt;=Assumptions!$B$14,"High",IF(P321&gt;=Assumptions!$B$15,"Medium","Low"))</f>
        <v/>
      </c>
      <c r="R321" s="2">
        <f>Cleaned_Data!L321</f>
        <v/>
      </c>
    </row>
    <row r="322">
      <c r="A322" s="2">
        <f>Cleaned_Data!A322</f>
        <v/>
      </c>
      <c r="B322" s="2">
        <f>Cleaned_Data!B322</f>
        <v/>
      </c>
      <c r="C322" s="2">
        <f>Cleaned_Data!G322</f>
        <v/>
      </c>
      <c r="D322" s="2">
        <f>Cleaned_Data!I322</f>
        <v/>
      </c>
      <c r="E322" s="2">
        <f>Cleaned_Data!H322</f>
        <v/>
      </c>
      <c r="F322" s="2">
        <f>Cleaned_Data!F322</f>
        <v/>
      </c>
      <c r="G322" s="9">
        <f>SUMPRODUCT(($B$2:$B$1196=B322)*($F$2:$F$1196&lt;=F322))/SUMPRODUCT(($B$2:$B$1196=B322)*1)</f>
        <v/>
      </c>
      <c r="H322" s="2">
        <f>Cleaned_Data!J322</f>
        <v/>
      </c>
      <c r="I322" s="2">
        <f>Cleaned_Data!E322</f>
        <v/>
      </c>
      <c r="J322" s="2">
        <f>IF(C322="Yes",1,0)</f>
        <v/>
      </c>
      <c r="K322" s="2">
        <f>MIN(MAX(1-(D322-1)/4,0),1)</f>
        <v/>
      </c>
      <c r="L322" s="2">
        <f>MIN(E322/60,1)</f>
        <v/>
      </c>
      <c r="M322" s="2">
        <f>MIN(MAX(1-G322,0),1)</f>
        <v/>
      </c>
      <c r="N322" s="2">
        <f>MIN(MAX(1-(H322-1)/4,0),1)</f>
        <v/>
      </c>
      <c r="O322" s="2">
        <f>1-MIN(I322/8,1)</f>
        <v/>
      </c>
      <c r="P322" s="10">
        <f>ROUND(100*(J322*Assumptions!$B$6+K322*Assumptions!$B$7+L322*Assumptions!$B$8+M322*Assumptions!$B$9+N322*Assumptions!$B$10+O322*Assumptions!$B$11),1)</f>
        <v/>
      </c>
      <c r="Q322" s="2">
        <f>IF(P322&gt;=Assumptions!$B$14,"High",IF(P322&gt;=Assumptions!$B$15,"Medium","Low"))</f>
        <v/>
      </c>
      <c r="R322" s="2">
        <f>Cleaned_Data!L322</f>
        <v/>
      </c>
    </row>
    <row r="323">
      <c r="A323" s="2">
        <f>Cleaned_Data!A323</f>
        <v/>
      </c>
      <c r="B323" s="2">
        <f>Cleaned_Data!B323</f>
        <v/>
      </c>
      <c r="C323" s="2">
        <f>Cleaned_Data!G323</f>
        <v/>
      </c>
      <c r="D323" s="2">
        <f>Cleaned_Data!I323</f>
        <v/>
      </c>
      <c r="E323" s="2">
        <f>Cleaned_Data!H323</f>
        <v/>
      </c>
      <c r="F323" s="2">
        <f>Cleaned_Data!F323</f>
        <v/>
      </c>
      <c r="G323" s="9">
        <f>SUMPRODUCT(($B$2:$B$1196=B323)*($F$2:$F$1196&lt;=F323))/SUMPRODUCT(($B$2:$B$1196=B323)*1)</f>
        <v/>
      </c>
      <c r="H323" s="2">
        <f>Cleaned_Data!J323</f>
        <v/>
      </c>
      <c r="I323" s="2">
        <f>Cleaned_Data!E323</f>
        <v/>
      </c>
      <c r="J323" s="2">
        <f>IF(C323="Yes",1,0)</f>
        <v/>
      </c>
      <c r="K323" s="2">
        <f>MIN(MAX(1-(D323-1)/4,0),1)</f>
        <v/>
      </c>
      <c r="L323" s="2">
        <f>MIN(E323/60,1)</f>
        <v/>
      </c>
      <c r="M323" s="2">
        <f>MIN(MAX(1-G323,0),1)</f>
        <v/>
      </c>
      <c r="N323" s="2">
        <f>MIN(MAX(1-(H323-1)/4,0),1)</f>
        <v/>
      </c>
      <c r="O323" s="2">
        <f>1-MIN(I323/8,1)</f>
        <v/>
      </c>
      <c r="P323" s="10">
        <f>ROUND(100*(J323*Assumptions!$B$6+K323*Assumptions!$B$7+L323*Assumptions!$B$8+M323*Assumptions!$B$9+N323*Assumptions!$B$10+O323*Assumptions!$B$11),1)</f>
        <v/>
      </c>
      <c r="Q323" s="2">
        <f>IF(P323&gt;=Assumptions!$B$14,"High",IF(P323&gt;=Assumptions!$B$15,"Medium","Low"))</f>
        <v/>
      </c>
      <c r="R323" s="2">
        <f>Cleaned_Data!L323</f>
        <v/>
      </c>
    </row>
    <row r="324">
      <c r="A324" s="2">
        <f>Cleaned_Data!A324</f>
        <v/>
      </c>
      <c r="B324" s="2">
        <f>Cleaned_Data!B324</f>
        <v/>
      </c>
      <c r="C324" s="2">
        <f>Cleaned_Data!G324</f>
        <v/>
      </c>
      <c r="D324" s="2">
        <f>Cleaned_Data!I324</f>
        <v/>
      </c>
      <c r="E324" s="2">
        <f>Cleaned_Data!H324</f>
        <v/>
      </c>
      <c r="F324" s="2">
        <f>Cleaned_Data!F324</f>
        <v/>
      </c>
      <c r="G324" s="9">
        <f>SUMPRODUCT(($B$2:$B$1196=B324)*($F$2:$F$1196&lt;=F324))/SUMPRODUCT(($B$2:$B$1196=B324)*1)</f>
        <v/>
      </c>
      <c r="H324" s="2">
        <f>Cleaned_Data!J324</f>
        <v/>
      </c>
      <c r="I324" s="2">
        <f>Cleaned_Data!E324</f>
        <v/>
      </c>
      <c r="J324" s="2">
        <f>IF(C324="Yes",1,0)</f>
        <v/>
      </c>
      <c r="K324" s="2">
        <f>MIN(MAX(1-(D324-1)/4,0),1)</f>
        <v/>
      </c>
      <c r="L324" s="2">
        <f>MIN(E324/60,1)</f>
        <v/>
      </c>
      <c r="M324" s="2">
        <f>MIN(MAX(1-G324,0),1)</f>
        <v/>
      </c>
      <c r="N324" s="2">
        <f>MIN(MAX(1-(H324-1)/4,0),1)</f>
        <v/>
      </c>
      <c r="O324" s="2">
        <f>1-MIN(I324/8,1)</f>
        <v/>
      </c>
      <c r="P324" s="10">
        <f>ROUND(100*(J324*Assumptions!$B$6+K324*Assumptions!$B$7+L324*Assumptions!$B$8+M324*Assumptions!$B$9+N324*Assumptions!$B$10+O324*Assumptions!$B$11),1)</f>
        <v/>
      </c>
      <c r="Q324" s="2">
        <f>IF(P324&gt;=Assumptions!$B$14,"High",IF(P324&gt;=Assumptions!$B$15,"Medium","Low"))</f>
        <v/>
      </c>
      <c r="R324" s="2">
        <f>Cleaned_Data!L324</f>
        <v/>
      </c>
    </row>
    <row r="325">
      <c r="A325" s="2">
        <f>Cleaned_Data!A325</f>
        <v/>
      </c>
      <c r="B325" s="2">
        <f>Cleaned_Data!B325</f>
        <v/>
      </c>
      <c r="C325" s="2">
        <f>Cleaned_Data!G325</f>
        <v/>
      </c>
      <c r="D325" s="2">
        <f>Cleaned_Data!I325</f>
        <v/>
      </c>
      <c r="E325" s="2">
        <f>Cleaned_Data!H325</f>
        <v/>
      </c>
      <c r="F325" s="2">
        <f>Cleaned_Data!F325</f>
        <v/>
      </c>
      <c r="G325" s="9">
        <f>SUMPRODUCT(($B$2:$B$1196=B325)*($F$2:$F$1196&lt;=F325))/SUMPRODUCT(($B$2:$B$1196=B325)*1)</f>
        <v/>
      </c>
      <c r="H325" s="2">
        <f>Cleaned_Data!J325</f>
        <v/>
      </c>
      <c r="I325" s="2">
        <f>Cleaned_Data!E325</f>
        <v/>
      </c>
      <c r="J325" s="2">
        <f>IF(C325="Yes",1,0)</f>
        <v/>
      </c>
      <c r="K325" s="2">
        <f>MIN(MAX(1-(D325-1)/4,0),1)</f>
        <v/>
      </c>
      <c r="L325" s="2">
        <f>MIN(E325/60,1)</f>
        <v/>
      </c>
      <c r="M325" s="2">
        <f>MIN(MAX(1-G325,0),1)</f>
        <v/>
      </c>
      <c r="N325" s="2">
        <f>MIN(MAX(1-(H325-1)/4,0),1)</f>
        <v/>
      </c>
      <c r="O325" s="2">
        <f>1-MIN(I325/8,1)</f>
        <v/>
      </c>
      <c r="P325" s="10">
        <f>ROUND(100*(J325*Assumptions!$B$6+K325*Assumptions!$B$7+L325*Assumptions!$B$8+M325*Assumptions!$B$9+N325*Assumptions!$B$10+O325*Assumptions!$B$11),1)</f>
        <v/>
      </c>
      <c r="Q325" s="2">
        <f>IF(P325&gt;=Assumptions!$B$14,"High",IF(P325&gt;=Assumptions!$B$15,"Medium","Low"))</f>
        <v/>
      </c>
      <c r="R325" s="2">
        <f>Cleaned_Data!L325</f>
        <v/>
      </c>
    </row>
    <row r="326">
      <c r="A326" s="2">
        <f>Cleaned_Data!A326</f>
        <v/>
      </c>
      <c r="B326" s="2">
        <f>Cleaned_Data!B326</f>
        <v/>
      </c>
      <c r="C326" s="2">
        <f>Cleaned_Data!G326</f>
        <v/>
      </c>
      <c r="D326" s="2">
        <f>Cleaned_Data!I326</f>
        <v/>
      </c>
      <c r="E326" s="2">
        <f>Cleaned_Data!H326</f>
        <v/>
      </c>
      <c r="F326" s="2">
        <f>Cleaned_Data!F326</f>
        <v/>
      </c>
      <c r="G326" s="9">
        <f>SUMPRODUCT(($B$2:$B$1196=B326)*($F$2:$F$1196&lt;=F326))/SUMPRODUCT(($B$2:$B$1196=B326)*1)</f>
        <v/>
      </c>
      <c r="H326" s="2">
        <f>Cleaned_Data!J326</f>
        <v/>
      </c>
      <c r="I326" s="2">
        <f>Cleaned_Data!E326</f>
        <v/>
      </c>
      <c r="J326" s="2">
        <f>IF(C326="Yes",1,0)</f>
        <v/>
      </c>
      <c r="K326" s="2">
        <f>MIN(MAX(1-(D326-1)/4,0),1)</f>
        <v/>
      </c>
      <c r="L326" s="2">
        <f>MIN(E326/60,1)</f>
        <v/>
      </c>
      <c r="M326" s="2">
        <f>MIN(MAX(1-G326,0),1)</f>
        <v/>
      </c>
      <c r="N326" s="2">
        <f>MIN(MAX(1-(H326-1)/4,0),1)</f>
        <v/>
      </c>
      <c r="O326" s="2">
        <f>1-MIN(I326/8,1)</f>
        <v/>
      </c>
      <c r="P326" s="10">
        <f>ROUND(100*(J326*Assumptions!$B$6+K326*Assumptions!$B$7+L326*Assumptions!$B$8+M326*Assumptions!$B$9+N326*Assumptions!$B$10+O326*Assumptions!$B$11),1)</f>
        <v/>
      </c>
      <c r="Q326" s="2">
        <f>IF(P326&gt;=Assumptions!$B$14,"High",IF(P326&gt;=Assumptions!$B$15,"Medium","Low"))</f>
        <v/>
      </c>
      <c r="R326" s="2">
        <f>Cleaned_Data!L326</f>
        <v/>
      </c>
    </row>
    <row r="327">
      <c r="A327" s="2">
        <f>Cleaned_Data!A327</f>
        <v/>
      </c>
      <c r="B327" s="2">
        <f>Cleaned_Data!B327</f>
        <v/>
      </c>
      <c r="C327" s="2">
        <f>Cleaned_Data!G327</f>
        <v/>
      </c>
      <c r="D327" s="2">
        <f>Cleaned_Data!I327</f>
        <v/>
      </c>
      <c r="E327" s="2">
        <f>Cleaned_Data!H327</f>
        <v/>
      </c>
      <c r="F327" s="2">
        <f>Cleaned_Data!F327</f>
        <v/>
      </c>
      <c r="G327" s="9">
        <f>SUMPRODUCT(($B$2:$B$1196=B327)*($F$2:$F$1196&lt;=F327))/SUMPRODUCT(($B$2:$B$1196=B327)*1)</f>
        <v/>
      </c>
      <c r="H327" s="2">
        <f>Cleaned_Data!J327</f>
        <v/>
      </c>
      <c r="I327" s="2">
        <f>Cleaned_Data!E327</f>
        <v/>
      </c>
      <c r="J327" s="2">
        <f>IF(C327="Yes",1,0)</f>
        <v/>
      </c>
      <c r="K327" s="2">
        <f>MIN(MAX(1-(D327-1)/4,0),1)</f>
        <v/>
      </c>
      <c r="L327" s="2">
        <f>MIN(E327/60,1)</f>
        <v/>
      </c>
      <c r="M327" s="2">
        <f>MIN(MAX(1-G327,0),1)</f>
        <v/>
      </c>
      <c r="N327" s="2">
        <f>MIN(MAX(1-(H327-1)/4,0),1)</f>
        <v/>
      </c>
      <c r="O327" s="2">
        <f>1-MIN(I327/8,1)</f>
        <v/>
      </c>
      <c r="P327" s="10">
        <f>ROUND(100*(J327*Assumptions!$B$6+K327*Assumptions!$B$7+L327*Assumptions!$B$8+M327*Assumptions!$B$9+N327*Assumptions!$B$10+O327*Assumptions!$B$11),1)</f>
        <v/>
      </c>
      <c r="Q327" s="2">
        <f>IF(P327&gt;=Assumptions!$B$14,"High",IF(P327&gt;=Assumptions!$B$15,"Medium","Low"))</f>
        <v/>
      </c>
      <c r="R327" s="2">
        <f>Cleaned_Data!L327</f>
        <v/>
      </c>
    </row>
    <row r="328">
      <c r="A328" s="2">
        <f>Cleaned_Data!A328</f>
        <v/>
      </c>
      <c r="B328" s="2">
        <f>Cleaned_Data!B328</f>
        <v/>
      </c>
      <c r="C328" s="2">
        <f>Cleaned_Data!G328</f>
        <v/>
      </c>
      <c r="D328" s="2">
        <f>Cleaned_Data!I328</f>
        <v/>
      </c>
      <c r="E328" s="2">
        <f>Cleaned_Data!H328</f>
        <v/>
      </c>
      <c r="F328" s="2">
        <f>Cleaned_Data!F328</f>
        <v/>
      </c>
      <c r="G328" s="9">
        <f>SUMPRODUCT(($B$2:$B$1196=B328)*($F$2:$F$1196&lt;=F328))/SUMPRODUCT(($B$2:$B$1196=B328)*1)</f>
        <v/>
      </c>
      <c r="H328" s="2">
        <f>Cleaned_Data!J328</f>
        <v/>
      </c>
      <c r="I328" s="2">
        <f>Cleaned_Data!E328</f>
        <v/>
      </c>
      <c r="J328" s="2">
        <f>IF(C328="Yes",1,0)</f>
        <v/>
      </c>
      <c r="K328" s="2">
        <f>MIN(MAX(1-(D328-1)/4,0),1)</f>
        <v/>
      </c>
      <c r="L328" s="2">
        <f>MIN(E328/60,1)</f>
        <v/>
      </c>
      <c r="M328" s="2">
        <f>MIN(MAX(1-G328,0),1)</f>
        <v/>
      </c>
      <c r="N328" s="2">
        <f>MIN(MAX(1-(H328-1)/4,0),1)</f>
        <v/>
      </c>
      <c r="O328" s="2">
        <f>1-MIN(I328/8,1)</f>
        <v/>
      </c>
      <c r="P328" s="10">
        <f>ROUND(100*(J328*Assumptions!$B$6+K328*Assumptions!$B$7+L328*Assumptions!$B$8+M328*Assumptions!$B$9+N328*Assumptions!$B$10+O328*Assumptions!$B$11),1)</f>
        <v/>
      </c>
      <c r="Q328" s="2">
        <f>IF(P328&gt;=Assumptions!$B$14,"High",IF(P328&gt;=Assumptions!$B$15,"Medium","Low"))</f>
        <v/>
      </c>
      <c r="R328" s="2">
        <f>Cleaned_Data!L328</f>
        <v/>
      </c>
    </row>
    <row r="329">
      <c r="A329" s="2">
        <f>Cleaned_Data!A329</f>
        <v/>
      </c>
      <c r="B329" s="2">
        <f>Cleaned_Data!B329</f>
        <v/>
      </c>
      <c r="C329" s="2">
        <f>Cleaned_Data!G329</f>
        <v/>
      </c>
      <c r="D329" s="2">
        <f>Cleaned_Data!I329</f>
        <v/>
      </c>
      <c r="E329" s="2">
        <f>Cleaned_Data!H329</f>
        <v/>
      </c>
      <c r="F329" s="2">
        <f>Cleaned_Data!F329</f>
        <v/>
      </c>
      <c r="G329" s="9">
        <f>SUMPRODUCT(($B$2:$B$1196=B329)*($F$2:$F$1196&lt;=F329))/SUMPRODUCT(($B$2:$B$1196=B329)*1)</f>
        <v/>
      </c>
      <c r="H329" s="2">
        <f>Cleaned_Data!J329</f>
        <v/>
      </c>
      <c r="I329" s="2">
        <f>Cleaned_Data!E329</f>
        <v/>
      </c>
      <c r="J329" s="2">
        <f>IF(C329="Yes",1,0)</f>
        <v/>
      </c>
      <c r="K329" s="2">
        <f>MIN(MAX(1-(D329-1)/4,0),1)</f>
        <v/>
      </c>
      <c r="L329" s="2">
        <f>MIN(E329/60,1)</f>
        <v/>
      </c>
      <c r="M329" s="2">
        <f>MIN(MAX(1-G329,0),1)</f>
        <v/>
      </c>
      <c r="N329" s="2">
        <f>MIN(MAX(1-(H329-1)/4,0),1)</f>
        <v/>
      </c>
      <c r="O329" s="2">
        <f>1-MIN(I329/8,1)</f>
        <v/>
      </c>
      <c r="P329" s="10">
        <f>ROUND(100*(J329*Assumptions!$B$6+K329*Assumptions!$B$7+L329*Assumptions!$B$8+M329*Assumptions!$B$9+N329*Assumptions!$B$10+O329*Assumptions!$B$11),1)</f>
        <v/>
      </c>
      <c r="Q329" s="2">
        <f>IF(P329&gt;=Assumptions!$B$14,"High",IF(P329&gt;=Assumptions!$B$15,"Medium","Low"))</f>
        <v/>
      </c>
      <c r="R329" s="2">
        <f>Cleaned_Data!L329</f>
        <v/>
      </c>
    </row>
    <row r="330">
      <c r="A330" s="2">
        <f>Cleaned_Data!A330</f>
        <v/>
      </c>
      <c r="B330" s="2">
        <f>Cleaned_Data!B330</f>
        <v/>
      </c>
      <c r="C330" s="2">
        <f>Cleaned_Data!G330</f>
        <v/>
      </c>
      <c r="D330" s="2">
        <f>Cleaned_Data!I330</f>
        <v/>
      </c>
      <c r="E330" s="2">
        <f>Cleaned_Data!H330</f>
        <v/>
      </c>
      <c r="F330" s="2">
        <f>Cleaned_Data!F330</f>
        <v/>
      </c>
      <c r="G330" s="9">
        <f>SUMPRODUCT(($B$2:$B$1196=B330)*($F$2:$F$1196&lt;=F330))/SUMPRODUCT(($B$2:$B$1196=B330)*1)</f>
        <v/>
      </c>
      <c r="H330" s="2">
        <f>Cleaned_Data!J330</f>
        <v/>
      </c>
      <c r="I330" s="2">
        <f>Cleaned_Data!E330</f>
        <v/>
      </c>
      <c r="J330" s="2">
        <f>IF(C330="Yes",1,0)</f>
        <v/>
      </c>
      <c r="K330" s="2">
        <f>MIN(MAX(1-(D330-1)/4,0),1)</f>
        <v/>
      </c>
      <c r="L330" s="2">
        <f>MIN(E330/60,1)</f>
        <v/>
      </c>
      <c r="M330" s="2">
        <f>MIN(MAX(1-G330,0),1)</f>
        <v/>
      </c>
      <c r="N330" s="2">
        <f>MIN(MAX(1-(H330-1)/4,0),1)</f>
        <v/>
      </c>
      <c r="O330" s="2">
        <f>1-MIN(I330/8,1)</f>
        <v/>
      </c>
      <c r="P330" s="10">
        <f>ROUND(100*(J330*Assumptions!$B$6+K330*Assumptions!$B$7+L330*Assumptions!$B$8+M330*Assumptions!$B$9+N330*Assumptions!$B$10+O330*Assumptions!$B$11),1)</f>
        <v/>
      </c>
      <c r="Q330" s="2">
        <f>IF(P330&gt;=Assumptions!$B$14,"High",IF(P330&gt;=Assumptions!$B$15,"Medium","Low"))</f>
        <v/>
      </c>
      <c r="R330" s="2">
        <f>Cleaned_Data!L330</f>
        <v/>
      </c>
    </row>
    <row r="331">
      <c r="A331" s="2">
        <f>Cleaned_Data!A331</f>
        <v/>
      </c>
      <c r="B331" s="2">
        <f>Cleaned_Data!B331</f>
        <v/>
      </c>
      <c r="C331" s="2">
        <f>Cleaned_Data!G331</f>
        <v/>
      </c>
      <c r="D331" s="2">
        <f>Cleaned_Data!I331</f>
        <v/>
      </c>
      <c r="E331" s="2">
        <f>Cleaned_Data!H331</f>
        <v/>
      </c>
      <c r="F331" s="2">
        <f>Cleaned_Data!F331</f>
        <v/>
      </c>
      <c r="G331" s="9">
        <f>SUMPRODUCT(($B$2:$B$1196=B331)*($F$2:$F$1196&lt;=F331))/SUMPRODUCT(($B$2:$B$1196=B331)*1)</f>
        <v/>
      </c>
      <c r="H331" s="2">
        <f>Cleaned_Data!J331</f>
        <v/>
      </c>
      <c r="I331" s="2">
        <f>Cleaned_Data!E331</f>
        <v/>
      </c>
      <c r="J331" s="2">
        <f>IF(C331="Yes",1,0)</f>
        <v/>
      </c>
      <c r="K331" s="2">
        <f>MIN(MAX(1-(D331-1)/4,0),1)</f>
        <v/>
      </c>
      <c r="L331" s="2">
        <f>MIN(E331/60,1)</f>
        <v/>
      </c>
      <c r="M331" s="2">
        <f>MIN(MAX(1-G331,0),1)</f>
        <v/>
      </c>
      <c r="N331" s="2">
        <f>MIN(MAX(1-(H331-1)/4,0),1)</f>
        <v/>
      </c>
      <c r="O331" s="2">
        <f>1-MIN(I331/8,1)</f>
        <v/>
      </c>
      <c r="P331" s="10">
        <f>ROUND(100*(J331*Assumptions!$B$6+K331*Assumptions!$B$7+L331*Assumptions!$B$8+M331*Assumptions!$B$9+N331*Assumptions!$B$10+O331*Assumptions!$B$11),1)</f>
        <v/>
      </c>
      <c r="Q331" s="2">
        <f>IF(P331&gt;=Assumptions!$B$14,"High",IF(P331&gt;=Assumptions!$B$15,"Medium","Low"))</f>
        <v/>
      </c>
      <c r="R331" s="2">
        <f>Cleaned_Data!L331</f>
        <v/>
      </c>
    </row>
    <row r="332">
      <c r="A332" s="2">
        <f>Cleaned_Data!A332</f>
        <v/>
      </c>
      <c r="B332" s="2">
        <f>Cleaned_Data!B332</f>
        <v/>
      </c>
      <c r="C332" s="2">
        <f>Cleaned_Data!G332</f>
        <v/>
      </c>
      <c r="D332" s="2">
        <f>Cleaned_Data!I332</f>
        <v/>
      </c>
      <c r="E332" s="2">
        <f>Cleaned_Data!H332</f>
        <v/>
      </c>
      <c r="F332" s="2">
        <f>Cleaned_Data!F332</f>
        <v/>
      </c>
      <c r="G332" s="9">
        <f>SUMPRODUCT(($B$2:$B$1196=B332)*($F$2:$F$1196&lt;=F332))/SUMPRODUCT(($B$2:$B$1196=B332)*1)</f>
        <v/>
      </c>
      <c r="H332" s="2">
        <f>Cleaned_Data!J332</f>
        <v/>
      </c>
      <c r="I332" s="2">
        <f>Cleaned_Data!E332</f>
        <v/>
      </c>
      <c r="J332" s="2">
        <f>IF(C332="Yes",1,0)</f>
        <v/>
      </c>
      <c r="K332" s="2">
        <f>MIN(MAX(1-(D332-1)/4,0),1)</f>
        <v/>
      </c>
      <c r="L332" s="2">
        <f>MIN(E332/60,1)</f>
        <v/>
      </c>
      <c r="M332" s="2">
        <f>MIN(MAX(1-G332,0),1)</f>
        <v/>
      </c>
      <c r="N332" s="2">
        <f>MIN(MAX(1-(H332-1)/4,0),1)</f>
        <v/>
      </c>
      <c r="O332" s="2">
        <f>1-MIN(I332/8,1)</f>
        <v/>
      </c>
      <c r="P332" s="10">
        <f>ROUND(100*(J332*Assumptions!$B$6+K332*Assumptions!$B$7+L332*Assumptions!$B$8+M332*Assumptions!$B$9+N332*Assumptions!$B$10+O332*Assumptions!$B$11),1)</f>
        <v/>
      </c>
      <c r="Q332" s="2">
        <f>IF(P332&gt;=Assumptions!$B$14,"High",IF(P332&gt;=Assumptions!$B$15,"Medium","Low"))</f>
        <v/>
      </c>
      <c r="R332" s="2">
        <f>Cleaned_Data!L332</f>
        <v/>
      </c>
    </row>
    <row r="333">
      <c r="A333" s="2">
        <f>Cleaned_Data!A333</f>
        <v/>
      </c>
      <c r="B333" s="2">
        <f>Cleaned_Data!B333</f>
        <v/>
      </c>
      <c r="C333" s="2">
        <f>Cleaned_Data!G333</f>
        <v/>
      </c>
      <c r="D333" s="2">
        <f>Cleaned_Data!I333</f>
        <v/>
      </c>
      <c r="E333" s="2">
        <f>Cleaned_Data!H333</f>
        <v/>
      </c>
      <c r="F333" s="2">
        <f>Cleaned_Data!F333</f>
        <v/>
      </c>
      <c r="G333" s="9">
        <f>SUMPRODUCT(($B$2:$B$1196=B333)*($F$2:$F$1196&lt;=F333))/SUMPRODUCT(($B$2:$B$1196=B333)*1)</f>
        <v/>
      </c>
      <c r="H333" s="2">
        <f>Cleaned_Data!J333</f>
        <v/>
      </c>
      <c r="I333" s="2">
        <f>Cleaned_Data!E333</f>
        <v/>
      </c>
      <c r="J333" s="2">
        <f>IF(C333="Yes",1,0)</f>
        <v/>
      </c>
      <c r="K333" s="2">
        <f>MIN(MAX(1-(D333-1)/4,0),1)</f>
        <v/>
      </c>
      <c r="L333" s="2">
        <f>MIN(E333/60,1)</f>
        <v/>
      </c>
      <c r="M333" s="2">
        <f>MIN(MAX(1-G333,0),1)</f>
        <v/>
      </c>
      <c r="N333" s="2">
        <f>MIN(MAX(1-(H333-1)/4,0),1)</f>
        <v/>
      </c>
      <c r="O333" s="2">
        <f>1-MIN(I333/8,1)</f>
        <v/>
      </c>
      <c r="P333" s="10">
        <f>ROUND(100*(J333*Assumptions!$B$6+K333*Assumptions!$B$7+L333*Assumptions!$B$8+M333*Assumptions!$B$9+N333*Assumptions!$B$10+O333*Assumptions!$B$11),1)</f>
        <v/>
      </c>
      <c r="Q333" s="2">
        <f>IF(P333&gt;=Assumptions!$B$14,"High",IF(P333&gt;=Assumptions!$B$15,"Medium","Low"))</f>
        <v/>
      </c>
      <c r="R333" s="2">
        <f>Cleaned_Data!L333</f>
        <v/>
      </c>
    </row>
    <row r="334">
      <c r="A334" s="2">
        <f>Cleaned_Data!A334</f>
        <v/>
      </c>
      <c r="B334" s="2">
        <f>Cleaned_Data!B334</f>
        <v/>
      </c>
      <c r="C334" s="2">
        <f>Cleaned_Data!G334</f>
        <v/>
      </c>
      <c r="D334" s="2">
        <f>Cleaned_Data!I334</f>
        <v/>
      </c>
      <c r="E334" s="2">
        <f>Cleaned_Data!H334</f>
        <v/>
      </c>
      <c r="F334" s="2">
        <f>Cleaned_Data!F334</f>
        <v/>
      </c>
      <c r="G334" s="9">
        <f>SUMPRODUCT(($B$2:$B$1196=B334)*($F$2:$F$1196&lt;=F334))/SUMPRODUCT(($B$2:$B$1196=B334)*1)</f>
        <v/>
      </c>
      <c r="H334" s="2">
        <f>Cleaned_Data!J334</f>
        <v/>
      </c>
      <c r="I334" s="2">
        <f>Cleaned_Data!E334</f>
        <v/>
      </c>
      <c r="J334" s="2">
        <f>IF(C334="Yes",1,0)</f>
        <v/>
      </c>
      <c r="K334" s="2">
        <f>MIN(MAX(1-(D334-1)/4,0),1)</f>
        <v/>
      </c>
      <c r="L334" s="2">
        <f>MIN(E334/60,1)</f>
        <v/>
      </c>
      <c r="M334" s="2">
        <f>MIN(MAX(1-G334,0),1)</f>
        <v/>
      </c>
      <c r="N334" s="2">
        <f>MIN(MAX(1-(H334-1)/4,0),1)</f>
        <v/>
      </c>
      <c r="O334" s="2">
        <f>1-MIN(I334/8,1)</f>
        <v/>
      </c>
      <c r="P334" s="10">
        <f>ROUND(100*(J334*Assumptions!$B$6+K334*Assumptions!$B$7+L334*Assumptions!$B$8+M334*Assumptions!$B$9+N334*Assumptions!$B$10+O334*Assumptions!$B$11),1)</f>
        <v/>
      </c>
      <c r="Q334" s="2">
        <f>IF(P334&gt;=Assumptions!$B$14,"High",IF(P334&gt;=Assumptions!$B$15,"Medium","Low"))</f>
        <v/>
      </c>
      <c r="R334" s="2">
        <f>Cleaned_Data!L334</f>
        <v/>
      </c>
    </row>
    <row r="335">
      <c r="A335" s="2">
        <f>Cleaned_Data!A335</f>
        <v/>
      </c>
      <c r="B335" s="2">
        <f>Cleaned_Data!B335</f>
        <v/>
      </c>
      <c r="C335" s="2">
        <f>Cleaned_Data!G335</f>
        <v/>
      </c>
      <c r="D335" s="2">
        <f>Cleaned_Data!I335</f>
        <v/>
      </c>
      <c r="E335" s="2">
        <f>Cleaned_Data!H335</f>
        <v/>
      </c>
      <c r="F335" s="2">
        <f>Cleaned_Data!F335</f>
        <v/>
      </c>
      <c r="G335" s="9">
        <f>SUMPRODUCT(($B$2:$B$1196=B335)*($F$2:$F$1196&lt;=F335))/SUMPRODUCT(($B$2:$B$1196=B335)*1)</f>
        <v/>
      </c>
      <c r="H335" s="2">
        <f>Cleaned_Data!J335</f>
        <v/>
      </c>
      <c r="I335" s="2">
        <f>Cleaned_Data!E335</f>
        <v/>
      </c>
      <c r="J335" s="2">
        <f>IF(C335="Yes",1,0)</f>
        <v/>
      </c>
      <c r="K335" s="2">
        <f>MIN(MAX(1-(D335-1)/4,0),1)</f>
        <v/>
      </c>
      <c r="L335" s="2">
        <f>MIN(E335/60,1)</f>
        <v/>
      </c>
      <c r="M335" s="2">
        <f>MIN(MAX(1-G335,0),1)</f>
        <v/>
      </c>
      <c r="N335" s="2">
        <f>MIN(MAX(1-(H335-1)/4,0),1)</f>
        <v/>
      </c>
      <c r="O335" s="2">
        <f>1-MIN(I335/8,1)</f>
        <v/>
      </c>
      <c r="P335" s="10">
        <f>ROUND(100*(J335*Assumptions!$B$6+K335*Assumptions!$B$7+L335*Assumptions!$B$8+M335*Assumptions!$B$9+N335*Assumptions!$B$10+O335*Assumptions!$B$11),1)</f>
        <v/>
      </c>
      <c r="Q335" s="2">
        <f>IF(P335&gt;=Assumptions!$B$14,"High",IF(P335&gt;=Assumptions!$B$15,"Medium","Low"))</f>
        <v/>
      </c>
      <c r="R335" s="2">
        <f>Cleaned_Data!L335</f>
        <v/>
      </c>
    </row>
    <row r="336">
      <c r="A336" s="2">
        <f>Cleaned_Data!A336</f>
        <v/>
      </c>
      <c r="B336" s="2">
        <f>Cleaned_Data!B336</f>
        <v/>
      </c>
      <c r="C336" s="2">
        <f>Cleaned_Data!G336</f>
        <v/>
      </c>
      <c r="D336" s="2">
        <f>Cleaned_Data!I336</f>
        <v/>
      </c>
      <c r="E336" s="2">
        <f>Cleaned_Data!H336</f>
        <v/>
      </c>
      <c r="F336" s="2">
        <f>Cleaned_Data!F336</f>
        <v/>
      </c>
      <c r="G336" s="9">
        <f>SUMPRODUCT(($B$2:$B$1196=B336)*($F$2:$F$1196&lt;=F336))/SUMPRODUCT(($B$2:$B$1196=B336)*1)</f>
        <v/>
      </c>
      <c r="H336" s="2">
        <f>Cleaned_Data!J336</f>
        <v/>
      </c>
      <c r="I336" s="2">
        <f>Cleaned_Data!E336</f>
        <v/>
      </c>
      <c r="J336" s="2">
        <f>IF(C336="Yes",1,0)</f>
        <v/>
      </c>
      <c r="K336" s="2">
        <f>MIN(MAX(1-(D336-1)/4,0),1)</f>
        <v/>
      </c>
      <c r="L336" s="2">
        <f>MIN(E336/60,1)</f>
        <v/>
      </c>
      <c r="M336" s="2">
        <f>MIN(MAX(1-G336,0),1)</f>
        <v/>
      </c>
      <c r="N336" s="2">
        <f>MIN(MAX(1-(H336-1)/4,0),1)</f>
        <v/>
      </c>
      <c r="O336" s="2">
        <f>1-MIN(I336/8,1)</f>
        <v/>
      </c>
      <c r="P336" s="10">
        <f>ROUND(100*(J336*Assumptions!$B$6+K336*Assumptions!$B$7+L336*Assumptions!$B$8+M336*Assumptions!$B$9+N336*Assumptions!$B$10+O336*Assumptions!$B$11),1)</f>
        <v/>
      </c>
      <c r="Q336" s="2">
        <f>IF(P336&gt;=Assumptions!$B$14,"High",IF(P336&gt;=Assumptions!$B$15,"Medium","Low"))</f>
        <v/>
      </c>
      <c r="R336" s="2">
        <f>Cleaned_Data!L336</f>
        <v/>
      </c>
    </row>
    <row r="337">
      <c r="A337" s="2">
        <f>Cleaned_Data!A337</f>
        <v/>
      </c>
      <c r="B337" s="2">
        <f>Cleaned_Data!B337</f>
        <v/>
      </c>
      <c r="C337" s="2">
        <f>Cleaned_Data!G337</f>
        <v/>
      </c>
      <c r="D337" s="2">
        <f>Cleaned_Data!I337</f>
        <v/>
      </c>
      <c r="E337" s="2">
        <f>Cleaned_Data!H337</f>
        <v/>
      </c>
      <c r="F337" s="2">
        <f>Cleaned_Data!F337</f>
        <v/>
      </c>
      <c r="G337" s="9">
        <f>SUMPRODUCT(($B$2:$B$1196=B337)*($F$2:$F$1196&lt;=F337))/SUMPRODUCT(($B$2:$B$1196=B337)*1)</f>
        <v/>
      </c>
      <c r="H337" s="2">
        <f>Cleaned_Data!J337</f>
        <v/>
      </c>
      <c r="I337" s="2">
        <f>Cleaned_Data!E337</f>
        <v/>
      </c>
      <c r="J337" s="2">
        <f>IF(C337="Yes",1,0)</f>
        <v/>
      </c>
      <c r="K337" s="2">
        <f>MIN(MAX(1-(D337-1)/4,0),1)</f>
        <v/>
      </c>
      <c r="L337" s="2">
        <f>MIN(E337/60,1)</f>
        <v/>
      </c>
      <c r="M337" s="2">
        <f>MIN(MAX(1-G337,0),1)</f>
        <v/>
      </c>
      <c r="N337" s="2">
        <f>MIN(MAX(1-(H337-1)/4,0),1)</f>
        <v/>
      </c>
      <c r="O337" s="2">
        <f>1-MIN(I337/8,1)</f>
        <v/>
      </c>
      <c r="P337" s="10">
        <f>ROUND(100*(J337*Assumptions!$B$6+K337*Assumptions!$B$7+L337*Assumptions!$B$8+M337*Assumptions!$B$9+N337*Assumptions!$B$10+O337*Assumptions!$B$11),1)</f>
        <v/>
      </c>
      <c r="Q337" s="2">
        <f>IF(P337&gt;=Assumptions!$B$14,"High",IF(P337&gt;=Assumptions!$B$15,"Medium","Low"))</f>
        <v/>
      </c>
      <c r="R337" s="2">
        <f>Cleaned_Data!L337</f>
        <v/>
      </c>
    </row>
    <row r="338">
      <c r="A338" s="2">
        <f>Cleaned_Data!A338</f>
        <v/>
      </c>
      <c r="B338" s="2">
        <f>Cleaned_Data!B338</f>
        <v/>
      </c>
      <c r="C338" s="2">
        <f>Cleaned_Data!G338</f>
        <v/>
      </c>
      <c r="D338" s="2">
        <f>Cleaned_Data!I338</f>
        <v/>
      </c>
      <c r="E338" s="2">
        <f>Cleaned_Data!H338</f>
        <v/>
      </c>
      <c r="F338" s="2">
        <f>Cleaned_Data!F338</f>
        <v/>
      </c>
      <c r="G338" s="9">
        <f>SUMPRODUCT(($B$2:$B$1196=B338)*($F$2:$F$1196&lt;=F338))/SUMPRODUCT(($B$2:$B$1196=B338)*1)</f>
        <v/>
      </c>
      <c r="H338" s="2">
        <f>Cleaned_Data!J338</f>
        <v/>
      </c>
      <c r="I338" s="2">
        <f>Cleaned_Data!E338</f>
        <v/>
      </c>
      <c r="J338" s="2">
        <f>IF(C338="Yes",1,0)</f>
        <v/>
      </c>
      <c r="K338" s="2">
        <f>MIN(MAX(1-(D338-1)/4,0),1)</f>
        <v/>
      </c>
      <c r="L338" s="2">
        <f>MIN(E338/60,1)</f>
        <v/>
      </c>
      <c r="M338" s="2">
        <f>MIN(MAX(1-G338,0),1)</f>
        <v/>
      </c>
      <c r="N338" s="2">
        <f>MIN(MAX(1-(H338-1)/4,0),1)</f>
        <v/>
      </c>
      <c r="O338" s="2">
        <f>1-MIN(I338/8,1)</f>
        <v/>
      </c>
      <c r="P338" s="10">
        <f>ROUND(100*(J338*Assumptions!$B$6+K338*Assumptions!$B$7+L338*Assumptions!$B$8+M338*Assumptions!$B$9+N338*Assumptions!$B$10+O338*Assumptions!$B$11),1)</f>
        <v/>
      </c>
      <c r="Q338" s="2">
        <f>IF(P338&gt;=Assumptions!$B$14,"High",IF(P338&gt;=Assumptions!$B$15,"Medium","Low"))</f>
        <v/>
      </c>
      <c r="R338" s="2">
        <f>Cleaned_Data!L338</f>
        <v/>
      </c>
    </row>
    <row r="339">
      <c r="A339" s="2">
        <f>Cleaned_Data!A339</f>
        <v/>
      </c>
      <c r="B339" s="2">
        <f>Cleaned_Data!B339</f>
        <v/>
      </c>
      <c r="C339" s="2">
        <f>Cleaned_Data!G339</f>
        <v/>
      </c>
      <c r="D339" s="2">
        <f>Cleaned_Data!I339</f>
        <v/>
      </c>
      <c r="E339" s="2">
        <f>Cleaned_Data!H339</f>
        <v/>
      </c>
      <c r="F339" s="2">
        <f>Cleaned_Data!F339</f>
        <v/>
      </c>
      <c r="G339" s="9">
        <f>SUMPRODUCT(($B$2:$B$1196=B339)*($F$2:$F$1196&lt;=F339))/SUMPRODUCT(($B$2:$B$1196=B339)*1)</f>
        <v/>
      </c>
      <c r="H339" s="2">
        <f>Cleaned_Data!J339</f>
        <v/>
      </c>
      <c r="I339" s="2">
        <f>Cleaned_Data!E339</f>
        <v/>
      </c>
      <c r="J339" s="2">
        <f>IF(C339="Yes",1,0)</f>
        <v/>
      </c>
      <c r="K339" s="2">
        <f>MIN(MAX(1-(D339-1)/4,0),1)</f>
        <v/>
      </c>
      <c r="L339" s="2">
        <f>MIN(E339/60,1)</f>
        <v/>
      </c>
      <c r="M339" s="2">
        <f>MIN(MAX(1-G339,0),1)</f>
        <v/>
      </c>
      <c r="N339" s="2">
        <f>MIN(MAX(1-(H339-1)/4,0),1)</f>
        <v/>
      </c>
      <c r="O339" s="2">
        <f>1-MIN(I339/8,1)</f>
        <v/>
      </c>
      <c r="P339" s="10">
        <f>ROUND(100*(J339*Assumptions!$B$6+K339*Assumptions!$B$7+L339*Assumptions!$B$8+M339*Assumptions!$B$9+N339*Assumptions!$B$10+O339*Assumptions!$B$11),1)</f>
        <v/>
      </c>
      <c r="Q339" s="2">
        <f>IF(P339&gt;=Assumptions!$B$14,"High",IF(P339&gt;=Assumptions!$B$15,"Medium","Low"))</f>
        <v/>
      </c>
      <c r="R339" s="2">
        <f>Cleaned_Data!L339</f>
        <v/>
      </c>
    </row>
    <row r="340">
      <c r="A340" s="2">
        <f>Cleaned_Data!A340</f>
        <v/>
      </c>
      <c r="B340" s="2">
        <f>Cleaned_Data!B340</f>
        <v/>
      </c>
      <c r="C340" s="2">
        <f>Cleaned_Data!G340</f>
        <v/>
      </c>
      <c r="D340" s="2">
        <f>Cleaned_Data!I340</f>
        <v/>
      </c>
      <c r="E340" s="2">
        <f>Cleaned_Data!H340</f>
        <v/>
      </c>
      <c r="F340" s="2">
        <f>Cleaned_Data!F340</f>
        <v/>
      </c>
      <c r="G340" s="9">
        <f>SUMPRODUCT(($B$2:$B$1196=B340)*($F$2:$F$1196&lt;=F340))/SUMPRODUCT(($B$2:$B$1196=B340)*1)</f>
        <v/>
      </c>
      <c r="H340" s="2">
        <f>Cleaned_Data!J340</f>
        <v/>
      </c>
      <c r="I340" s="2">
        <f>Cleaned_Data!E340</f>
        <v/>
      </c>
      <c r="J340" s="2">
        <f>IF(C340="Yes",1,0)</f>
        <v/>
      </c>
      <c r="K340" s="2">
        <f>MIN(MAX(1-(D340-1)/4,0),1)</f>
        <v/>
      </c>
      <c r="L340" s="2">
        <f>MIN(E340/60,1)</f>
        <v/>
      </c>
      <c r="M340" s="2">
        <f>MIN(MAX(1-G340,0),1)</f>
        <v/>
      </c>
      <c r="N340" s="2">
        <f>MIN(MAX(1-(H340-1)/4,0),1)</f>
        <v/>
      </c>
      <c r="O340" s="2">
        <f>1-MIN(I340/8,1)</f>
        <v/>
      </c>
      <c r="P340" s="10">
        <f>ROUND(100*(J340*Assumptions!$B$6+K340*Assumptions!$B$7+L340*Assumptions!$B$8+M340*Assumptions!$B$9+N340*Assumptions!$B$10+O340*Assumptions!$B$11),1)</f>
        <v/>
      </c>
      <c r="Q340" s="2">
        <f>IF(P340&gt;=Assumptions!$B$14,"High",IF(P340&gt;=Assumptions!$B$15,"Medium","Low"))</f>
        <v/>
      </c>
      <c r="R340" s="2">
        <f>Cleaned_Data!L340</f>
        <v/>
      </c>
    </row>
    <row r="341">
      <c r="A341" s="2">
        <f>Cleaned_Data!A341</f>
        <v/>
      </c>
      <c r="B341" s="2">
        <f>Cleaned_Data!B341</f>
        <v/>
      </c>
      <c r="C341" s="2">
        <f>Cleaned_Data!G341</f>
        <v/>
      </c>
      <c r="D341" s="2">
        <f>Cleaned_Data!I341</f>
        <v/>
      </c>
      <c r="E341" s="2">
        <f>Cleaned_Data!H341</f>
        <v/>
      </c>
      <c r="F341" s="2">
        <f>Cleaned_Data!F341</f>
        <v/>
      </c>
      <c r="G341" s="9">
        <f>SUMPRODUCT(($B$2:$B$1196=B341)*($F$2:$F$1196&lt;=F341))/SUMPRODUCT(($B$2:$B$1196=B341)*1)</f>
        <v/>
      </c>
      <c r="H341" s="2">
        <f>Cleaned_Data!J341</f>
        <v/>
      </c>
      <c r="I341" s="2">
        <f>Cleaned_Data!E341</f>
        <v/>
      </c>
      <c r="J341" s="2">
        <f>IF(C341="Yes",1,0)</f>
        <v/>
      </c>
      <c r="K341" s="2">
        <f>MIN(MAX(1-(D341-1)/4,0),1)</f>
        <v/>
      </c>
      <c r="L341" s="2">
        <f>MIN(E341/60,1)</f>
        <v/>
      </c>
      <c r="M341" s="2">
        <f>MIN(MAX(1-G341,0),1)</f>
        <v/>
      </c>
      <c r="N341" s="2">
        <f>MIN(MAX(1-(H341-1)/4,0),1)</f>
        <v/>
      </c>
      <c r="O341" s="2">
        <f>1-MIN(I341/8,1)</f>
        <v/>
      </c>
      <c r="P341" s="10">
        <f>ROUND(100*(J341*Assumptions!$B$6+K341*Assumptions!$B$7+L341*Assumptions!$B$8+M341*Assumptions!$B$9+N341*Assumptions!$B$10+O341*Assumptions!$B$11),1)</f>
        <v/>
      </c>
      <c r="Q341" s="2">
        <f>IF(P341&gt;=Assumptions!$B$14,"High",IF(P341&gt;=Assumptions!$B$15,"Medium","Low"))</f>
        <v/>
      </c>
      <c r="R341" s="2">
        <f>Cleaned_Data!L341</f>
        <v/>
      </c>
    </row>
    <row r="342">
      <c r="A342" s="2">
        <f>Cleaned_Data!A342</f>
        <v/>
      </c>
      <c r="B342" s="2">
        <f>Cleaned_Data!B342</f>
        <v/>
      </c>
      <c r="C342" s="2">
        <f>Cleaned_Data!G342</f>
        <v/>
      </c>
      <c r="D342" s="2">
        <f>Cleaned_Data!I342</f>
        <v/>
      </c>
      <c r="E342" s="2">
        <f>Cleaned_Data!H342</f>
        <v/>
      </c>
      <c r="F342" s="2">
        <f>Cleaned_Data!F342</f>
        <v/>
      </c>
      <c r="G342" s="9">
        <f>SUMPRODUCT(($B$2:$B$1196=B342)*($F$2:$F$1196&lt;=F342))/SUMPRODUCT(($B$2:$B$1196=B342)*1)</f>
        <v/>
      </c>
      <c r="H342" s="2">
        <f>Cleaned_Data!J342</f>
        <v/>
      </c>
      <c r="I342" s="2">
        <f>Cleaned_Data!E342</f>
        <v/>
      </c>
      <c r="J342" s="2">
        <f>IF(C342="Yes",1,0)</f>
        <v/>
      </c>
      <c r="K342" s="2">
        <f>MIN(MAX(1-(D342-1)/4,0),1)</f>
        <v/>
      </c>
      <c r="L342" s="2">
        <f>MIN(E342/60,1)</f>
        <v/>
      </c>
      <c r="M342" s="2">
        <f>MIN(MAX(1-G342,0),1)</f>
        <v/>
      </c>
      <c r="N342" s="2">
        <f>MIN(MAX(1-(H342-1)/4,0),1)</f>
        <v/>
      </c>
      <c r="O342" s="2">
        <f>1-MIN(I342/8,1)</f>
        <v/>
      </c>
      <c r="P342" s="10">
        <f>ROUND(100*(J342*Assumptions!$B$6+K342*Assumptions!$B$7+L342*Assumptions!$B$8+M342*Assumptions!$B$9+N342*Assumptions!$B$10+O342*Assumptions!$B$11),1)</f>
        <v/>
      </c>
      <c r="Q342" s="2">
        <f>IF(P342&gt;=Assumptions!$B$14,"High",IF(P342&gt;=Assumptions!$B$15,"Medium","Low"))</f>
        <v/>
      </c>
      <c r="R342" s="2">
        <f>Cleaned_Data!L342</f>
        <v/>
      </c>
    </row>
    <row r="343">
      <c r="A343" s="2">
        <f>Cleaned_Data!A343</f>
        <v/>
      </c>
      <c r="B343" s="2">
        <f>Cleaned_Data!B343</f>
        <v/>
      </c>
      <c r="C343" s="2">
        <f>Cleaned_Data!G343</f>
        <v/>
      </c>
      <c r="D343" s="2">
        <f>Cleaned_Data!I343</f>
        <v/>
      </c>
      <c r="E343" s="2">
        <f>Cleaned_Data!H343</f>
        <v/>
      </c>
      <c r="F343" s="2">
        <f>Cleaned_Data!F343</f>
        <v/>
      </c>
      <c r="G343" s="9">
        <f>SUMPRODUCT(($B$2:$B$1196=B343)*($F$2:$F$1196&lt;=F343))/SUMPRODUCT(($B$2:$B$1196=B343)*1)</f>
        <v/>
      </c>
      <c r="H343" s="2">
        <f>Cleaned_Data!J343</f>
        <v/>
      </c>
      <c r="I343" s="2">
        <f>Cleaned_Data!E343</f>
        <v/>
      </c>
      <c r="J343" s="2">
        <f>IF(C343="Yes",1,0)</f>
        <v/>
      </c>
      <c r="K343" s="2">
        <f>MIN(MAX(1-(D343-1)/4,0),1)</f>
        <v/>
      </c>
      <c r="L343" s="2">
        <f>MIN(E343/60,1)</f>
        <v/>
      </c>
      <c r="M343" s="2">
        <f>MIN(MAX(1-G343,0),1)</f>
        <v/>
      </c>
      <c r="N343" s="2">
        <f>MIN(MAX(1-(H343-1)/4,0),1)</f>
        <v/>
      </c>
      <c r="O343" s="2">
        <f>1-MIN(I343/8,1)</f>
        <v/>
      </c>
      <c r="P343" s="10">
        <f>ROUND(100*(J343*Assumptions!$B$6+K343*Assumptions!$B$7+L343*Assumptions!$B$8+M343*Assumptions!$B$9+N343*Assumptions!$B$10+O343*Assumptions!$B$11),1)</f>
        <v/>
      </c>
      <c r="Q343" s="2">
        <f>IF(P343&gt;=Assumptions!$B$14,"High",IF(P343&gt;=Assumptions!$B$15,"Medium","Low"))</f>
        <v/>
      </c>
      <c r="R343" s="2">
        <f>Cleaned_Data!L343</f>
        <v/>
      </c>
    </row>
    <row r="344">
      <c r="A344" s="2">
        <f>Cleaned_Data!A344</f>
        <v/>
      </c>
      <c r="B344" s="2">
        <f>Cleaned_Data!B344</f>
        <v/>
      </c>
      <c r="C344" s="2">
        <f>Cleaned_Data!G344</f>
        <v/>
      </c>
      <c r="D344" s="2">
        <f>Cleaned_Data!I344</f>
        <v/>
      </c>
      <c r="E344" s="2">
        <f>Cleaned_Data!H344</f>
        <v/>
      </c>
      <c r="F344" s="2">
        <f>Cleaned_Data!F344</f>
        <v/>
      </c>
      <c r="G344" s="9">
        <f>SUMPRODUCT(($B$2:$B$1196=B344)*($F$2:$F$1196&lt;=F344))/SUMPRODUCT(($B$2:$B$1196=B344)*1)</f>
        <v/>
      </c>
      <c r="H344" s="2">
        <f>Cleaned_Data!J344</f>
        <v/>
      </c>
      <c r="I344" s="2">
        <f>Cleaned_Data!E344</f>
        <v/>
      </c>
      <c r="J344" s="2">
        <f>IF(C344="Yes",1,0)</f>
        <v/>
      </c>
      <c r="K344" s="2">
        <f>MIN(MAX(1-(D344-1)/4,0),1)</f>
        <v/>
      </c>
      <c r="L344" s="2">
        <f>MIN(E344/60,1)</f>
        <v/>
      </c>
      <c r="M344" s="2">
        <f>MIN(MAX(1-G344,0),1)</f>
        <v/>
      </c>
      <c r="N344" s="2">
        <f>MIN(MAX(1-(H344-1)/4,0),1)</f>
        <v/>
      </c>
      <c r="O344" s="2">
        <f>1-MIN(I344/8,1)</f>
        <v/>
      </c>
      <c r="P344" s="10">
        <f>ROUND(100*(J344*Assumptions!$B$6+K344*Assumptions!$B$7+L344*Assumptions!$B$8+M344*Assumptions!$B$9+N344*Assumptions!$B$10+O344*Assumptions!$B$11),1)</f>
        <v/>
      </c>
      <c r="Q344" s="2">
        <f>IF(P344&gt;=Assumptions!$B$14,"High",IF(P344&gt;=Assumptions!$B$15,"Medium","Low"))</f>
        <v/>
      </c>
      <c r="R344" s="2">
        <f>Cleaned_Data!L344</f>
        <v/>
      </c>
    </row>
    <row r="345">
      <c r="A345" s="2">
        <f>Cleaned_Data!A345</f>
        <v/>
      </c>
      <c r="B345" s="2">
        <f>Cleaned_Data!B345</f>
        <v/>
      </c>
      <c r="C345" s="2">
        <f>Cleaned_Data!G345</f>
        <v/>
      </c>
      <c r="D345" s="2">
        <f>Cleaned_Data!I345</f>
        <v/>
      </c>
      <c r="E345" s="2">
        <f>Cleaned_Data!H345</f>
        <v/>
      </c>
      <c r="F345" s="2">
        <f>Cleaned_Data!F345</f>
        <v/>
      </c>
      <c r="G345" s="9">
        <f>SUMPRODUCT(($B$2:$B$1196=B345)*($F$2:$F$1196&lt;=F345))/SUMPRODUCT(($B$2:$B$1196=B345)*1)</f>
        <v/>
      </c>
      <c r="H345" s="2">
        <f>Cleaned_Data!J345</f>
        <v/>
      </c>
      <c r="I345" s="2">
        <f>Cleaned_Data!E345</f>
        <v/>
      </c>
      <c r="J345" s="2">
        <f>IF(C345="Yes",1,0)</f>
        <v/>
      </c>
      <c r="K345" s="2">
        <f>MIN(MAX(1-(D345-1)/4,0),1)</f>
        <v/>
      </c>
      <c r="L345" s="2">
        <f>MIN(E345/60,1)</f>
        <v/>
      </c>
      <c r="M345" s="2">
        <f>MIN(MAX(1-G345,0),1)</f>
        <v/>
      </c>
      <c r="N345" s="2">
        <f>MIN(MAX(1-(H345-1)/4,0),1)</f>
        <v/>
      </c>
      <c r="O345" s="2">
        <f>1-MIN(I345/8,1)</f>
        <v/>
      </c>
      <c r="P345" s="10">
        <f>ROUND(100*(J345*Assumptions!$B$6+K345*Assumptions!$B$7+L345*Assumptions!$B$8+M345*Assumptions!$B$9+N345*Assumptions!$B$10+O345*Assumptions!$B$11),1)</f>
        <v/>
      </c>
      <c r="Q345" s="2">
        <f>IF(P345&gt;=Assumptions!$B$14,"High",IF(P345&gt;=Assumptions!$B$15,"Medium","Low"))</f>
        <v/>
      </c>
      <c r="R345" s="2">
        <f>Cleaned_Data!L345</f>
        <v/>
      </c>
    </row>
    <row r="346">
      <c r="A346" s="2">
        <f>Cleaned_Data!A346</f>
        <v/>
      </c>
      <c r="B346" s="2">
        <f>Cleaned_Data!B346</f>
        <v/>
      </c>
      <c r="C346" s="2">
        <f>Cleaned_Data!G346</f>
        <v/>
      </c>
      <c r="D346" s="2">
        <f>Cleaned_Data!I346</f>
        <v/>
      </c>
      <c r="E346" s="2">
        <f>Cleaned_Data!H346</f>
        <v/>
      </c>
      <c r="F346" s="2">
        <f>Cleaned_Data!F346</f>
        <v/>
      </c>
      <c r="G346" s="9">
        <f>SUMPRODUCT(($B$2:$B$1196=B346)*($F$2:$F$1196&lt;=F346))/SUMPRODUCT(($B$2:$B$1196=B346)*1)</f>
        <v/>
      </c>
      <c r="H346" s="2">
        <f>Cleaned_Data!J346</f>
        <v/>
      </c>
      <c r="I346" s="2">
        <f>Cleaned_Data!E346</f>
        <v/>
      </c>
      <c r="J346" s="2">
        <f>IF(C346="Yes",1,0)</f>
        <v/>
      </c>
      <c r="K346" s="2">
        <f>MIN(MAX(1-(D346-1)/4,0),1)</f>
        <v/>
      </c>
      <c r="L346" s="2">
        <f>MIN(E346/60,1)</f>
        <v/>
      </c>
      <c r="M346" s="2">
        <f>MIN(MAX(1-G346,0),1)</f>
        <v/>
      </c>
      <c r="N346" s="2">
        <f>MIN(MAX(1-(H346-1)/4,0),1)</f>
        <v/>
      </c>
      <c r="O346" s="2">
        <f>1-MIN(I346/8,1)</f>
        <v/>
      </c>
      <c r="P346" s="10">
        <f>ROUND(100*(J346*Assumptions!$B$6+K346*Assumptions!$B$7+L346*Assumptions!$B$8+M346*Assumptions!$B$9+N346*Assumptions!$B$10+O346*Assumptions!$B$11),1)</f>
        <v/>
      </c>
      <c r="Q346" s="2">
        <f>IF(P346&gt;=Assumptions!$B$14,"High",IF(P346&gt;=Assumptions!$B$15,"Medium","Low"))</f>
        <v/>
      </c>
      <c r="R346" s="2">
        <f>Cleaned_Data!L346</f>
        <v/>
      </c>
    </row>
    <row r="347">
      <c r="A347" s="2">
        <f>Cleaned_Data!A347</f>
        <v/>
      </c>
      <c r="B347" s="2">
        <f>Cleaned_Data!B347</f>
        <v/>
      </c>
      <c r="C347" s="2">
        <f>Cleaned_Data!G347</f>
        <v/>
      </c>
      <c r="D347" s="2">
        <f>Cleaned_Data!I347</f>
        <v/>
      </c>
      <c r="E347" s="2">
        <f>Cleaned_Data!H347</f>
        <v/>
      </c>
      <c r="F347" s="2">
        <f>Cleaned_Data!F347</f>
        <v/>
      </c>
      <c r="G347" s="9">
        <f>SUMPRODUCT(($B$2:$B$1196=B347)*($F$2:$F$1196&lt;=F347))/SUMPRODUCT(($B$2:$B$1196=B347)*1)</f>
        <v/>
      </c>
      <c r="H347" s="2">
        <f>Cleaned_Data!J347</f>
        <v/>
      </c>
      <c r="I347" s="2">
        <f>Cleaned_Data!E347</f>
        <v/>
      </c>
      <c r="J347" s="2">
        <f>IF(C347="Yes",1,0)</f>
        <v/>
      </c>
      <c r="K347" s="2">
        <f>MIN(MAX(1-(D347-1)/4,0),1)</f>
        <v/>
      </c>
      <c r="L347" s="2">
        <f>MIN(E347/60,1)</f>
        <v/>
      </c>
      <c r="M347" s="2">
        <f>MIN(MAX(1-G347,0),1)</f>
        <v/>
      </c>
      <c r="N347" s="2">
        <f>MIN(MAX(1-(H347-1)/4,0),1)</f>
        <v/>
      </c>
      <c r="O347" s="2">
        <f>1-MIN(I347/8,1)</f>
        <v/>
      </c>
      <c r="P347" s="10">
        <f>ROUND(100*(J347*Assumptions!$B$6+K347*Assumptions!$B$7+L347*Assumptions!$B$8+M347*Assumptions!$B$9+N347*Assumptions!$B$10+O347*Assumptions!$B$11),1)</f>
        <v/>
      </c>
      <c r="Q347" s="2">
        <f>IF(P347&gt;=Assumptions!$B$14,"High",IF(P347&gt;=Assumptions!$B$15,"Medium","Low"))</f>
        <v/>
      </c>
      <c r="R347" s="2">
        <f>Cleaned_Data!L347</f>
        <v/>
      </c>
    </row>
    <row r="348">
      <c r="A348" s="2">
        <f>Cleaned_Data!A348</f>
        <v/>
      </c>
      <c r="B348" s="2">
        <f>Cleaned_Data!B348</f>
        <v/>
      </c>
      <c r="C348" s="2">
        <f>Cleaned_Data!G348</f>
        <v/>
      </c>
      <c r="D348" s="2">
        <f>Cleaned_Data!I348</f>
        <v/>
      </c>
      <c r="E348" s="2">
        <f>Cleaned_Data!H348</f>
        <v/>
      </c>
      <c r="F348" s="2">
        <f>Cleaned_Data!F348</f>
        <v/>
      </c>
      <c r="G348" s="9">
        <f>SUMPRODUCT(($B$2:$B$1196=B348)*($F$2:$F$1196&lt;=F348))/SUMPRODUCT(($B$2:$B$1196=B348)*1)</f>
        <v/>
      </c>
      <c r="H348" s="2">
        <f>Cleaned_Data!J348</f>
        <v/>
      </c>
      <c r="I348" s="2">
        <f>Cleaned_Data!E348</f>
        <v/>
      </c>
      <c r="J348" s="2">
        <f>IF(C348="Yes",1,0)</f>
        <v/>
      </c>
      <c r="K348" s="2">
        <f>MIN(MAX(1-(D348-1)/4,0),1)</f>
        <v/>
      </c>
      <c r="L348" s="2">
        <f>MIN(E348/60,1)</f>
        <v/>
      </c>
      <c r="M348" s="2">
        <f>MIN(MAX(1-G348,0),1)</f>
        <v/>
      </c>
      <c r="N348" s="2">
        <f>MIN(MAX(1-(H348-1)/4,0),1)</f>
        <v/>
      </c>
      <c r="O348" s="2">
        <f>1-MIN(I348/8,1)</f>
        <v/>
      </c>
      <c r="P348" s="10">
        <f>ROUND(100*(J348*Assumptions!$B$6+K348*Assumptions!$B$7+L348*Assumptions!$B$8+M348*Assumptions!$B$9+N348*Assumptions!$B$10+O348*Assumptions!$B$11),1)</f>
        <v/>
      </c>
      <c r="Q348" s="2">
        <f>IF(P348&gt;=Assumptions!$B$14,"High",IF(P348&gt;=Assumptions!$B$15,"Medium","Low"))</f>
        <v/>
      </c>
      <c r="R348" s="2">
        <f>Cleaned_Data!L348</f>
        <v/>
      </c>
    </row>
    <row r="349">
      <c r="A349" s="2">
        <f>Cleaned_Data!A349</f>
        <v/>
      </c>
      <c r="B349" s="2">
        <f>Cleaned_Data!B349</f>
        <v/>
      </c>
      <c r="C349" s="2">
        <f>Cleaned_Data!G349</f>
        <v/>
      </c>
      <c r="D349" s="2">
        <f>Cleaned_Data!I349</f>
        <v/>
      </c>
      <c r="E349" s="2">
        <f>Cleaned_Data!H349</f>
        <v/>
      </c>
      <c r="F349" s="2">
        <f>Cleaned_Data!F349</f>
        <v/>
      </c>
      <c r="G349" s="9">
        <f>SUMPRODUCT(($B$2:$B$1196=B349)*($F$2:$F$1196&lt;=F349))/SUMPRODUCT(($B$2:$B$1196=B349)*1)</f>
        <v/>
      </c>
      <c r="H349" s="2">
        <f>Cleaned_Data!J349</f>
        <v/>
      </c>
      <c r="I349" s="2">
        <f>Cleaned_Data!E349</f>
        <v/>
      </c>
      <c r="J349" s="2">
        <f>IF(C349="Yes",1,0)</f>
        <v/>
      </c>
      <c r="K349" s="2">
        <f>MIN(MAX(1-(D349-1)/4,0),1)</f>
        <v/>
      </c>
      <c r="L349" s="2">
        <f>MIN(E349/60,1)</f>
        <v/>
      </c>
      <c r="M349" s="2">
        <f>MIN(MAX(1-G349,0),1)</f>
        <v/>
      </c>
      <c r="N349" s="2">
        <f>MIN(MAX(1-(H349-1)/4,0),1)</f>
        <v/>
      </c>
      <c r="O349" s="2">
        <f>1-MIN(I349/8,1)</f>
        <v/>
      </c>
      <c r="P349" s="10">
        <f>ROUND(100*(J349*Assumptions!$B$6+K349*Assumptions!$B$7+L349*Assumptions!$B$8+M349*Assumptions!$B$9+N349*Assumptions!$B$10+O349*Assumptions!$B$11),1)</f>
        <v/>
      </c>
      <c r="Q349" s="2">
        <f>IF(P349&gt;=Assumptions!$B$14,"High",IF(P349&gt;=Assumptions!$B$15,"Medium","Low"))</f>
        <v/>
      </c>
      <c r="R349" s="2">
        <f>Cleaned_Data!L349</f>
        <v/>
      </c>
    </row>
    <row r="350">
      <c r="A350" s="2">
        <f>Cleaned_Data!A350</f>
        <v/>
      </c>
      <c r="B350" s="2">
        <f>Cleaned_Data!B350</f>
        <v/>
      </c>
      <c r="C350" s="2">
        <f>Cleaned_Data!G350</f>
        <v/>
      </c>
      <c r="D350" s="2">
        <f>Cleaned_Data!I350</f>
        <v/>
      </c>
      <c r="E350" s="2">
        <f>Cleaned_Data!H350</f>
        <v/>
      </c>
      <c r="F350" s="2">
        <f>Cleaned_Data!F350</f>
        <v/>
      </c>
      <c r="G350" s="9">
        <f>SUMPRODUCT(($B$2:$B$1196=B350)*($F$2:$F$1196&lt;=F350))/SUMPRODUCT(($B$2:$B$1196=B350)*1)</f>
        <v/>
      </c>
      <c r="H350" s="2">
        <f>Cleaned_Data!J350</f>
        <v/>
      </c>
      <c r="I350" s="2">
        <f>Cleaned_Data!E350</f>
        <v/>
      </c>
      <c r="J350" s="2">
        <f>IF(C350="Yes",1,0)</f>
        <v/>
      </c>
      <c r="K350" s="2">
        <f>MIN(MAX(1-(D350-1)/4,0),1)</f>
        <v/>
      </c>
      <c r="L350" s="2">
        <f>MIN(E350/60,1)</f>
        <v/>
      </c>
      <c r="M350" s="2">
        <f>MIN(MAX(1-G350,0),1)</f>
        <v/>
      </c>
      <c r="N350" s="2">
        <f>MIN(MAX(1-(H350-1)/4,0),1)</f>
        <v/>
      </c>
      <c r="O350" s="2">
        <f>1-MIN(I350/8,1)</f>
        <v/>
      </c>
      <c r="P350" s="10">
        <f>ROUND(100*(J350*Assumptions!$B$6+K350*Assumptions!$B$7+L350*Assumptions!$B$8+M350*Assumptions!$B$9+N350*Assumptions!$B$10+O350*Assumptions!$B$11),1)</f>
        <v/>
      </c>
      <c r="Q350" s="2">
        <f>IF(P350&gt;=Assumptions!$B$14,"High",IF(P350&gt;=Assumptions!$B$15,"Medium","Low"))</f>
        <v/>
      </c>
      <c r="R350" s="2">
        <f>Cleaned_Data!L350</f>
        <v/>
      </c>
    </row>
    <row r="351">
      <c r="A351" s="2">
        <f>Cleaned_Data!A351</f>
        <v/>
      </c>
      <c r="B351" s="2">
        <f>Cleaned_Data!B351</f>
        <v/>
      </c>
      <c r="C351" s="2">
        <f>Cleaned_Data!G351</f>
        <v/>
      </c>
      <c r="D351" s="2">
        <f>Cleaned_Data!I351</f>
        <v/>
      </c>
      <c r="E351" s="2">
        <f>Cleaned_Data!H351</f>
        <v/>
      </c>
      <c r="F351" s="2">
        <f>Cleaned_Data!F351</f>
        <v/>
      </c>
      <c r="G351" s="9">
        <f>SUMPRODUCT(($B$2:$B$1196=B351)*($F$2:$F$1196&lt;=F351))/SUMPRODUCT(($B$2:$B$1196=B351)*1)</f>
        <v/>
      </c>
      <c r="H351" s="2">
        <f>Cleaned_Data!J351</f>
        <v/>
      </c>
      <c r="I351" s="2">
        <f>Cleaned_Data!E351</f>
        <v/>
      </c>
      <c r="J351" s="2">
        <f>IF(C351="Yes",1,0)</f>
        <v/>
      </c>
      <c r="K351" s="2">
        <f>MIN(MAX(1-(D351-1)/4,0),1)</f>
        <v/>
      </c>
      <c r="L351" s="2">
        <f>MIN(E351/60,1)</f>
        <v/>
      </c>
      <c r="M351" s="2">
        <f>MIN(MAX(1-G351,0),1)</f>
        <v/>
      </c>
      <c r="N351" s="2">
        <f>MIN(MAX(1-(H351-1)/4,0),1)</f>
        <v/>
      </c>
      <c r="O351" s="2">
        <f>1-MIN(I351/8,1)</f>
        <v/>
      </c>
      <c r="P351" s="10">
        <f>ROUND(100*(J351*Assumptions!$B$6+K351*Assumptions!$B$7+L351*Assumptions!$B$8+M351*Assumptions!$B$9+N351*Assumptions!$B$10+O351*Assumptions!$B$11),1)</f>
        <v/>
      </c>
      <c r="Q351" s="2">
        <f>IF(P351&gt;=Assumptions!$B$14,"High",IF(P351&gt;=Assumptions!$B$15,"Medium","Low"))</f>
        <v/>
      </c>
      <c r="R351" s="2">
        <f>Cleaned_Data!L351</f>
        <v/>
      </c>
    </row>
    <row r="352">
      <c r="A352" s="2">
        <f>Cleaned_Data!A352</f>
        <v/>
      </c>
      <c r="B352" s="2">
        <f>Cleaned_Data!B352</f>
        <v/>
      </c>
      <c r="C352" s="2">
        <f>Cleaned_Data!G352</f>
        <v/>
      </c>
      <c r="D352" s="2">
        <f>Cleaned_Data!I352</f>
        <v/>
      </c>
      <c r="E352" s="2">
        <f>Cleaned_Data!H352</f>
        <v/>
      </c>
      <c r="F352" s="2">
        <f>Cleaned_Data!F352</f>
        <v/>
      </c>
      <c r="G352" s="9">
        <f>SUMPRODUCT(($B$2:$B$1196=B352)*($F$2:$F$1196&lt;=F352))/SUMPRODUCT(($B$2:$B$1196=B352)*1)</f>
        <v/>
      </c>
      <c r="H352" s="2">
        <f>Cleaned_Data!J352</f>
        <v/>
      </c>
      <c r="I352" s="2">
        <f>Cleaned_Data!E352</f>
        <v/>
      </c>
      <c r="J352" s="2">
        <f>IF(C352="Yes",1,0)</f>
        <v/>
      </c>
      <c r="K352" s="2">
        <f>MIN(MAX(1-(D352-1)/4,0),1)</f>
        <v/>
      </c>
      <c r="L352" s="2">
        <f>MIN(E352/60,1)</f>
        <v/>
      </c>
      <c r="M352" s="2">
        <f>MIN(MAX(1-G352,0),1)</f>
        <v/>
      </c>
      <c r="N352" s="2">
        <f>MIN(MAX(1-(H352-1)/4,0),1)</f>
        <v/>
      </c>
      <c r="O352" s="2">
        <f>1-MIN(I352/8,1)</f>
        <v/>
      </c>
      <c r="P352" s="10">
        <f>ROUND(100*(J352*Assumptions!$B$6+K352*Assumptions!$B$7+L352*Assumptions!$B$8+M352*Assumptions!$B$9+N352*Assumptions!$B$10+O352*Assumptions!$B$11),1)</f>
        <v/>
      </c>
      <c r="Q352" s="2">
        <f>IF(P352&gt;=Assumptions!$B$14,"High",IF(P352&gt;=Assumptions!$B$15,"Medium","Low"))</f>
        <v/>
      </c>
      <c r="R352" s="2">
        <f>Cleaned_Data!L352</f>
        <v/>
      </c>
    </row>
    <row r="353">
      <c r="A353" s="2">
        <f>Cleaned_Data!A353</f>
        <v/>
      </c>
      <c r="B353" s="2">
        <f>Cleaned_Data!B353</f>
        <v/>
      </c>
      <c r="C353" s="2">
        <f>Cleaned_Data!G353</f>
        <v/>
      </c>
      <c r="D353" s="2">
        <f>Cleaned_Data!I353</f>
        <v/>
      </c>
      <c r="E353" s="2">
        <f>Cleaned_Data!H353</f>
        <v/>
      </c>
      <c r="F353" s="2">
        <f>Cleaned_Data!F353</f>
        <v/>
      </c>
      <c r="G353" s="9">
        <f>SUMPRODUCT(($B$2:$B$1196=B353)*($F$2:$F$1196&lt;=F353))/SUMPRODUCT(($B$2:$B$1196=B353)*1)</f>
        <v/>
      </c>
      <c r="H353" s="2">
        <f>Cleaned_Data!J353</f>
        <v/>
      </c>
      <c r="I353" s="2">
        <f>Cleaned_Data!E353</f>
        <v/>
      </c>
      <c r="J353" s="2">
        <f>IF(C353="Yes",1,0)</f>
        <v/>
      </c>
      <c r="K353" s="2">
        <f>MIN(MAX(1-(D353-1)/4,0),1)</f>
        <v/>
      </c>
      <c r="L353" s="2">
        <f>MIN(E353/60,1)</f>
        <v/>
      </c>
      <c r="M353" s="2">
        <f>MIN(MAX(1-G353,0),1)</f>
        <v/>
      </c>
      <c r="N353" s="2">
        <f>MIN(MAX(1-(H353-1)/4,0),1)</f>
        <v/>
      </c>
      <c r="O353" s="2">
        <f>1-MIN(I353/8,1)</f>
        <v/>
      </c>
      <c r="P353" s="10">
        <f>ROUND(100*(J353*Assumptions!$B$6+K353*Assumptions!$B$7+L353*Assumptions!$B$8+M353*Assumptions!$B$9+N353*Assumptions!$B$10+O353*Assumptions!$B$11),1)</f>
        <v/>
      </c>
      <c r="Q353" s="2">
        <f>IF(P353&gt;=Assumptions!$B$14,"High",IF(P353&gt;=Assumptions!$B$15,"Medium","Low"))</f>
        <v/>
      </c>
      <c r="R353" s="2">
        <f>Cleaned_Data!L353</f>
        <v/>
      </c>
    </row>
    <row r="354">
      <c r="A354" s="2">
        <f>Cleaned_Data!A354</f>
        <v/>
      </c>
      <c r="B354" s="2">
        <f>Cleaned_Data!B354</f>
        <v/>
      </c>
      <c r="C354" s="2">
        <f>Cleaned_Data!G354</f>
        <v/>
      </c>
      <c r="D354" s="2">
        <f>Cleaned_Data!I354</f>
        <v/>
      </c>
      <c r="E354" s="2">
        <f>Cleaned_Data!H354</f>
        <v/>
      </c>
      <c r="F354" s="2">
        <f>Cleaned_Data!F354</f>
        <v/>
      </c>
      <c r="G354" s="9">
        <f>SUMPRODUCT(($B$2:$B$1196=B354)*($F$2:$F$1196&lt;=F354))/SUMPRODUCT(($B$2:$B$1196=B354)*1)</f>
        <v/>
      </c>
      <c r="H354" s="2">
        <f>Cleaned_Data!J354</f>
        <v/>
      </c>
      <c r="I354" s="2">
        <f>Cleaned_Data!E354</f>
        <v/>
      </c>
      <c r="J354" s="2">
        <f>IF(C354="Yes",1,0)</f>
        <v/>
      </c>
      <c r="K354" s="2">
        <f>MIN(MAX(1-(D354-1)/4,0),1)</f>
        <v/>
      </c>
      <c r="L354" s="2">
        <f>MIN(E354/60,1)</f>
        <v/>
      </c>
      <c r="M354" s="2">
        <f>MIN(MAX(1-G354,0),1)</f>
        <v/>
      </c>
      <c r="N354" s="2">
        <f>MIN(MAX(1-(H354-1)/4,0),1)</f>
        <v/>
      </c>
      <c r="O354" s="2">
        <f>1-MIN(I354/8,1)</f>
        <v/>
      </c>
      <c r="P354" s="10">
        <f>ROUND(100*(J354*Assumptions!$B$6+K354*Assumptions!$B$7+L354*Assumptions!$B$8+M354*Assumptions!$B$9+N354*Assumptions!$B$10+O354*Assumptions!$B$11),1)</f>
        <v/>
      </c>
      <c r="Q354" s="2">
        <f>IF(P354&gt;=Assumptions!$B$14,"High",IF(P354&gt;=Assumptions!$B$15,"Medium","Low"))</f>
        <v/>
      </c>
      <c r="R354" s="2">
        <f>Cleaned_Data!L354</f>
        <v/>
      </c>
    </row>
    <row r="355">
      <c r="A355" s="2">
        <f>Cleaned_Data!A355</f>
        <v/>
      </c>
      <c r="B355" s="2">
        <f>Cleaned_Data!B355</f>
        <v/>
      </c>
      <c r="C355" s="2">
        <f>Cleaned_Data!G355</f>
        <v/>
      </c>
      <c r="D355" s="2">
        <f>Cleaned_Data!I355</f>
        <v/>
      </c>
      <c r="E355" s="2">
        <f>Cleaned_Data!H355</f>
        <v/>
      </c>
      <c r="F355" s="2">
        <f>Cleaned_Data!F355</f>
        <v/>
      </c>
      <c r="G355" s="9">
        <f>SUMPRODUCT(($B$2:$B$1196=B355)*($F$2:$F$1196&lt;=F355))/SUMPRODUCT(($B$2:$B$1196=B355)*1)</f>
        <v/>
      </c>
      <c r="H355" s="2">
        <f>Cleaned_Data!J355</f>
        <v/>
      </c>
      <c r="I355" s="2">
        <f>Cleaned_Data!E355</f>
        <v/>
      </c>
      <c r="J355" s="2">
        <f>IF(C355="Yes",1,0)</f>
        <v/>
      </c>
      <c r="K355" s="2">
        <f>MIN(MAX(1-(D355-1)/4,0),1)</f>
        <v/>
      </c>
      <c r="L355" s="2">
        <f>MIN(E355/60,1)</f>
        <v/>
      </c>
      <c r="M355" s="2">
        <f>MIN(MAX(1-G355,0),1)</f>
        <v/>
      </c>
      <c r="N355" s="2">
        <f>MIN(MAX(1-(H355-1)/4,0),1)</f>
        <v/>
      </c>
      <c r="O355" s="2">
        <f>1-MIN(I355/8,1)</f>
        <v/>
      </c>
      <c r="P355" s="10">
        <f>ROUND(100*(J355*Assumptions!$B$6+K355*Assumptions!$B$7+L355*Assumptions!$B$8+M355*Assumptions!$B$9+N355*Assumptions!$B$10+O355*Assumptions!$B$11),1)</f>
        <v/>
      </c>
      <c r="Q355" s="2">
        <f>IF(P355&gt;=Assumptions!$B$14,"High",IF(P355&gt;=Assumptions!$B$15,"Medium","Low"))</f>
        <v/>
      </c>
      <c r="R355" s="2">
        <f>Cleaned_Data!L355</f>
        <v/>
      </c>
    </row>
    <row r="356">
      <c r="A356" s="2">
        <f>Cleaned_Data!A356</f>
        <v/>
      </c>
      <c r="B356" s="2">
        <f>Cleaned_Data!B356</f>
        <v/>
      </c>
      <c r="C356" s="2">
        <f>Cleaned_Data!G356</f>
        <v/>
      </c>
      <c r="D356" s="2">
        <f>Cleaned_Data!I356</f>
        <v/>
      </c>
      <c r="E356" s="2">
        <f>Cleaned_Data!H356</f>
        <v/>
      </c>
      <c r="F356" s="2">
        <f>Cleaned_Data!F356</f>
        <v/>
      </c>
      <c r="G356" s="9">
        <f>SUMPRODUCT(($B$2:$B$1196=B356)*($F$2:$F$1196&lt;=F356))/SUMPRODUCT(($B$2:$B$1196=B356)*1)</f>
        <v/>
      </c>
      <c r="H356" s="2">
        <f>Cleaned_Data!J356</f>
        <v/>
      </c>
      <c r="I356" s="2">
        <f>Cleaned_Data!E356</f>
        <v/>
      </c>
      <c r="J356" s="2">
        <f>IF(C356="Yes",1,0)</f>
        <v/>
      </c>
      <c r="K356" s="2">
        <f>MIN(MAX(1-(D356-1)/4,0),1)</f>
        <v/>
      </c>
      <c r="L356" s="2">
        <f>MIN(E356/60,1)</f>
        <v/>
      </c>
      <c r="M356" s="2">
        <f>MIN(MAX(1-G356,0),1)</f>
        <v/>
      </c>
      <c r="N356" s="2">
        <f>MIN(MAX(1-(H356-1)/4,0),1)</f>
        <v/>
      </c>
      <c r="O356" s="2">
        <f>1-MIN(I356/8,1)</f>
        <v/>
      </c>
      <c r="P356" s="10">
        <f>ROUND(100*(J356*Assumptions!$B$6+K356*Assumptions!$B$7+L356*Assumptions!$B$8+M356*Assumptions!$B$9+N356*Assumptions!$B$10+O356*Assumptions!$B$11),1)</f>
        <v/>
      </c>
      <c r="Q356" s="2">
        <f>IF(P356&gt;=Assumptions!$B$14,"High",IF(P356&gt;=Assumptions!$B$15,"Medium","Low"))</f>
        <v/>
      </c>
      <c r="R356" s="2">
        <f>Cleaned_Data!L356</f>
        <v/>
      </c>
    </row>
    <row r="357">
      <c r="A357" s="2">
        <f>Cleaned_Data!A357</f>
        <v/>
      </c>
      <c r="B357" s="2">
        <f>Cleaned_Data!B357</f>
        <v/>
      </c>
      <c r="C357" s="2">
        <f>Cleaned_Data!G357</f>
        <v/>
      </c>
      <c r="D357" s="2">
        <f>Cleaned_Data!I357</f>
        <v/>
      </c>
      <c r="E357" s="2">
        <f>Cleaned_Data!H357</f>
        <v/>
      </c>
      <c r="F357" s="2">
        <f>Cleaned_Data!F357</f>
        <v/>
      </c>
      <c r="G357" s="9">
        <f>SUMPRODUCT(($B$2:$B$1196=B357)*($F$2:$F$1196&lt;=F357))/SUMPRODUCT(($B$2:$B$1196=B357)*1)</f>
        <v/>
      </c>
      <c r="H357" s="2">
        <f>Cleaned_Data!J357</f>
        <v/>
      </c>
      <c r="I357" s="2">
        <f>Cleaned_Data!E357</f>
        <v/>
      </c>
      <c r="J357" s="2">
        <f>IF(C357="Yes",1,0)</f>
        <v/>
      </c>
      <c r="K357" s="2">
        <f>MIN(MAX(1-(D357-1)/4,0),1)</f>
        <v/>
      </c>
      <c r="L357" s="2">
        <f>MIN(E357/60,1)</f>
        <v/>
      </c>
      <c r="M357" s="2">
        <f>MIN(MAX(1-G357,0),1)</f>
        <v/>
      </c>
      <c r="N357" s="2">
        <f>MIN(MAX(1-(H357-1)/4,0),1)</f>
        <v/>
      </c>
      <c r="O357" s="2">
        <f>1-MIN(I357/8,1)</f>
        <v/>
      </c>
      <c r="P357" s="10">
        <f>ROUND(100*(J357*Assumptions!$B$6+K357*Assumptions!$B$7+L357*Assumptions!$B$8+M357*Assumptions!$B$9+N357*Assumptions!$B$10+O357*Assumptions!$B$11),1)</f>
        <v/>
      </c>
      <c r="Q357" s="2">
        <f>IF(P357&gt;=Assumptions!$B$14,"High",IF(P357&gt;=Assumptions!$B$15,"Medium","Low"))</f>
        <v/>
      </c>
      <c r="R357" s="2">
        <f>Cleaned_Data!L357</f>
        <v/>
      </c>
    </row>
    <row r="358">
      <c r="A358" s="2">
        <f>Cleaned_Data!A358</f>
        <v/>
      </c>
      <c r="B358" s="2">
        <f>Cleaned_Data!B358</f>
        <v/>
      </c>
      <c r="C358" s="2">
        <f>Cleaned_Data!G358</f>
        <v/>
      </c>
      <c r="D358" s="2">
        <f>Cleaned_Data!I358</f>
        <v/>
      </c>
      <c r="E358" s="2">
        <f>Cleaned_Data!H358</f>
        <v/>
      </c>
      <c r="F358" s="2">
        <f>Cleaned_Data!F358</f>
        <v/>
      </c>
      <c r="G358" s="9">
        <f>SUMPRODUCT(($B$2:$B$1196=B358)*($F$2:$F$1196&lt;=F358))/SUMPRODUCT(($B$2:$B$1196=B358)*1)</f>
        <v/>
      </c>
      <c r="H358" s="2">
        <f>Cleaned_Data!J358</f>
        <v/>
      </c>
      <c r="I358" s="2">
        <f>Cleaned_Data!E358</f>
        <v/>
      </c>
      <c r="J358" s="2">
        <f>IF(C358="Yes",1,0)</f>
        <v/>
      </c>
      <c r="K358" s="2">
        <f>MIN(MAX(1-(D358-1)/4,0),1)</f>
        <v/>
      </c>
      <c r="L358" s="2">
        <f>MIN(E358/60,1)</f>
        <v/>
      </c>
      <c r="M358" s="2">
        <f>MIN(MAX(1-G358,0),1)</f>
        <v/>
      </c>
      <c r="N358" s="2">
        <f>MIN(MAX(1-(H358-1)/4,0),1)</f>
        <v/>
      </c>
      <c r="O358" s="2">
        <f>1-MIN(I358/8,1)</f>
        <v/>
      </c>
      <c r="P358" s="10">
        <f>ROUND(100*(J358*Assumptions!$B$6+K358*Assumptions!$B$7+L358*Assumptions!$B$8+M358*Assumptions!$B$9+N358*Assumptions!$B$10+O358*Assumptions!$B$11),1)</f>
        <v/>
      </c>
      <c r="Q358" s="2">
        <f>IF(P358&gt;=Assumptions!$B$14,"High",IF(P358&gt;=Assumptions!$B$15,"Medium","Low"))</f>
        <v/>
      </c>
      <c r="R358" s="2">
        <f>Cleaned_Data!L358</f>
        <v/>
      </c>
    </row>
    <row r="359">
      <c r="A359" s="2">
        <f>Cleaned_Data!A359</f>
        <v/>
      </c>
      <c r="B359" s="2">
        <f>Cleaned_Data!B359</f>
        <v/>
      </c>
      <c r="C359" s="2">
        <f>Cleaned_Data!G359</f>
        <v/>
      </c>
      <c r="D359" s="2">
        <f>Cleaned_Data!I359</f>
        <v/>
      </c>
      <c r="E359" s="2">
        <f>Cleaned_Data!H359</f>
        <v/>
      </c>
      <c r="F359" s="2">
        <f>Cleaned_Data!F359</f>
        <v/>
      </c>
      <c r="G359" s="9">
        <f>SUMPRODUCT(($B$2:$B$1196=B359)*($F$2:$F$1196&lt;=F359))/SUMPRODUCT(($B$2:$B$1196=B359)*1)</f>
        <v/>
      </c>
      <c r="H359" s="2">
        <f>Cleaned_Data!J359</f>
        <v/>
      </c>
      <c r="I359" s="2">
        <f>Cleaned_Data!E359</f>
        <v/>
      </c>
      <c r="J359" s="2">
        <f>IF(C359="Yes",1,0)</f>
        <v/>
      </c>
      <c r="K359" s="2">
        <f>MIN(MAX(1-(D359-1)/4,0),1)</f>
        <v/>
      </c>
      <c r="L359" s="2">
        <f>MIN(E359/60,1)</f>
        <v/>
      </c>
      <c r="M359" s="2">
        <f>MIN(MAX(1-G359,0),1)</f>
        <v/>
      </c>
      <c r="N359" s="2">
        <f>MIN(MAX(1-(H359-1)/4,0),1)</f>
        <v/>
      </c>
      <c r="O359" s="2">
        <f>1-MIN(I359/8,1)</f>
        <v/>
      </c>
      <c r="P359" s="10">
        <f>ROUND(100*(J359*Assumptions!$B$6+K359*Assumptions!$B$7+L359*Assumptions!$B$8+M359*Assumptions!$B$9+N359*Assumptions!$B$10+O359*Assumptions!$B$11),1)</f>
        <v/>
      </c>
      <c r="Q359" s="2">
        <f>IF(P359&gt;=Assumptions!$B$14,"High",IF(P359&gt;=Assumptions!$B$15,"Medium","Low"))</f>
        <v/>
      </c>
      <c r="R359" s="2">
        <f>Cleaned_Data!L359</f>
        <v/>
      </c>
    </row>
    <row r="360">
      <c r="A360" s="2">
        <f>Cleaned_Data!A360</f>
        <v/>
      </c>
      <c r="B360" s="2">
        <f>Cleaned_Data!B360</f>
        <v/>
      </c>
      <c r="C360" s="2">
        <f>Cleaned_Data!G360</f>
        <v/>
      </c>
      <c r="D360" s="2">
        <f>Cleaned_Data!I360</f>
        <v/>
      </c>
      <c r="E360" s="2">
        <f>Cleaned_Data!H360</f>
        <v/>
      </c>
      <c r="F360" s="2">
        <f>Cleaned_Data!F360</f>
        <v/>
      </c>
      <c r="G360" s="9">
        <f>SUMPRODUCT(($B$2:$B$1196=B360)*($F$2:$F$1196&lt;=F360))/SUMPRODUCT(($B$2:$B$1196=B360)*1)</f>
        <v/>
      </c>
      <c r="H360" s="2">
        <f>Cleaned_Data!J360</f>
        <v/>
      </c>
      <c r="I360" s="2">
        <f>Cleaned_Data!E360</f>
        <v/>
      </c>
      <c r="J360" s="2">
        <f>IF(C360="Yes",1,0)</f>
        <v/>
      </c>
      <c r="K360" s="2">
        <f>MIN(MAX(1-(D360-1)/4,0),1)</f>
        <v/>
      </c>
      <c r="L360" s="2">
        <f>MIN(E360/60,1)</f>
        <v/>
      </c>
      <c r="M360" s="2">
        <f>MIN(MAX(1-G360,0),1)</f>
        <v/>
      </c>
      <c r="N360" s="2">
        <f>MIN(MAX(1-(H360-1)/4,0),1)</f>
        <v/>
      </c>
      <c r="O360" s="2">
        <f>1-MIN(I360/8,1)</f>
        <v/>
      </c>
      <c r="P360" s="10">
        <f>ROUND(100*(J360*Assumptions!$B$6+K360*Assumptions!$B$7+L360*Assumptions!$B$8+M360*Assumptions!$B$9+N360*Assumptions!$B$10+O360*Assumptions!$B$11),1)</f>
        <v/>
      </c>
      <c r="Q360" s="2">
        <f>IF(P360&gt;=Assumptions!$B$14,"High",IF(P360&gt;=Assumptions!$B$15,"Medium","Low"))</f>
        <v/>
      </c>
      <c r="R360" s="2">
        <f>Cleaned_Data!L360</f>
        <v/>
      </c>
    </row>
    <row r="361">
      <c r="A361" s="2">
        <f>Cleaned_Data!A361</f>
        <v/>
      </c>
      <c r="B361" s="2">
        <f>Cleaned_Data!B361</f>
        <v/>
      </c>
      <c r="C361" s="2">
        <f>Cleaned_Data!G361</f>
        <v/>
      </c>
      <c r="D361" s="2">
        <f>Cleaned_Data!I361</f>
        <v/>
      </c>
      <c r="E361" s="2">
        <f>Cleaned_Data!H361</f>
        <v/>
      </c>
      <c r="F361" s="2">
        <f>Cleaned_Data!F361</f>
        <v/>
      </c>
      <c r="G361" s="9">
        <f>SUMPRODUCT(($B$2:$B$1196=B361)*($F$2:$F$1196&lt;=F361))/SUMPRODUCT(($B$2:$B$1196=B361)*1)</f>
        <v/>
      </c>
      <c r="H361" s="2">
        <f>Cleaned_Data!J361</f>
        <v/>
      </c>
      <c r="I361" s="2">
        <f>Cleaned_Data!E361</f>
        <v/>
      </c>
      <c r="J361" s="2">
        <f>IF(C361="Yes",1,0)</f>
        <v/>
      </c>
      <c r="K361" s="2">
        <f>MIN(MAX(1-(D361-1)/4,0),1)</f>
        <v/>
      </c>
      <c r="L361" s="2">
        <f>MIN(E361/60,1)</f>
        <v/>
      </c>
      <c r="M361" s="2">
        <f>MIN(MAX(1-G361,0),1)</f>
        <v/>
      </c>
      <c r="N361" s="2">
        <f>MIN(MAX(1-(H361-1)/4,0),1)</f>
        <v/>
      </c>
      <c r="O361" s="2">
        <f>1-MIN(I361/8,1)</f>
        <v/>
      </c>
      <c r="P361" s="10">
        <f>ROUND(100*(J361*Assumptions!$B$6+K361*Assumptions!$B$7+L361*Assumptions!$B$8+M361*Assumptions!$B$9+N361*Assumptions!$B$10+O361*Assumptions!$B$11),1)</f>
        <v/>
      </c>
      <c r="Q361" s="2">
        <f>IF(P361&gt;=Assumptions!$B$14,"High",IF(P361&gt;=Assumptions!$B$15,"Medium","Low"))</f>
        <v/>
      </c>
      <c r="R361" s="2">
        <f>Cleaned_Data!L361</f>
        <v/>
      </c>
    </row>
    <row r="362">
      <c r="A362" s="2">
        <f>Cleaned_Data!A362</f>
        <v/>
      </c>
      <c r="B362" s="2">
        <f>Cleaned_Data!B362</f>
        <v/>
      </c>
      <c r="C362" s="2">
        <f>Cleaned_Data!G362</f>
        <v/>
      </c>
      <c r="D362" s="2">
        <f>Cleaned_Data!I362</f>
        <v/>
      </c>
      <c r="E362" s="2">
        <f>Cleaned_Data!H362</f>
        <v/>
      </c>
      <c r="F362" s="2">
        <f>Cleaned_Data!F362</f>
        <v/>
      </c>
      <c r="G362" s="9">
        <f>SUMPRODUCT(($B$2:$B$1196=B362)*($F$2:$F$1196&lt;=F362))/SUMPRODUCT(($B$2:$B$1196=B362)*1)</f>
        <v/>
      </c>
      <c r="H362" s="2">
        <f>Cleaned_Data!J362</f>
        <v/>
      </c>
      <c r="I362" s="2">
        <f>Cleaned_Data!E362</f>
        <v/>
      </c>
      <c r="J362" s="2">
        <f>IF(C362="Yes",1,0)</f>
        <v/>
      </c>
      <c r="K362" s="2">
        <f>MIN(MAX(1-(D362-1)/4,0),1)</f>
        <v/>
      </c>
      <c r="L362" s="2">
        <f>MIN(E362/60,1)</f>
        <v/>
      </c>
      <c r="M362" s="2">
        <f>MIN(MAX(1-G362,0),1)</f>
        <v/>
      </c>
      <c r="N362" s="2">
        <f>MIN(MAX(1-(H362-1)/4,0),1)</f>
        <v/>
      </c>
      <c r="O362" s="2">
        <f>1-MIN(I362/8,1)</f>
        <v/>
      </c>
      <c r="P362" s="10">
        <f>ROUND(100*(J362*Assumptions!$B$6+K362*Assumptions!$B$7+L362*Assumptions!$B$8+M362*Assumptions!$B$9+N362*Assumptions!$B$10+O362*Assumptions!$B$11),1)</f>
        <v/>
      </c>
      <c r="Q362" s="2">
        <f>IF(P362&gt;=Assumptions!$B$14,"High",IF(P362&gt;=Assumptions!$B$15,"Medium","Low"))</f>
        <v/>
      </c>
      <c r="R362" s="2">
        <f>Cleaned_Data!L362</f>
        <v/>
      </c>
    </row>
    <row r="363">
      <c r="A363" s="2">
        <f>Cleaned_Data!A363</f>
        <v/>
      </c>
      <c r="B363" s="2">
        <f>Cleaned_Data!B363</f>
        <v/>
      </c>
      <c r="C363" s="2">
        <f>Cleaned_Data!G363</f>
        <v/>
      </c>
      <c r="D363" s="2">
        <f>Cleaned_Data!I363</f>
        <v/>
      </c>
      <c r="E363" s="2">
        <f>Cleaned_Data!H363</f>
        <v/>
      </c>
      <c r="F363" s="2">
        <f>Cleaned_Data!F363</f>
        <v/>
      </c>
      <c r="G363" s="9">
        <f>SUMPRODUCT(($B$2:$B$1196=B363)*($F$2:$F$1196&lt;=F363))/SUMPRODUCT(($B$2:$B$1196=B363)*1)</f>
        <v/>
      </c>
      <c r="H363" s="2">
        <f>Cleaned_Data!J363</f>
        <v/>
      </c>
      <c r="I363" s="2">
        <f>Cleaned_Data!E363</f>
        <v/>
      </c>
      <c r="J363" s="2">
        <f>IF(C363="Yes",1,0)</f>
        <v/>
      </c>
      <c r="K363" s="2">
        <f>MIN(MAX(1-(D363-1)/4,0),1)</f>
        <v/>
      </c>
      <c r="L363" s="2">
        <f>MIN(E363/60,1)</f>
        <v/>
      </c>
      <c r="M363" s="2">
        <f>MIN(MAX(1-G363,0),1)</f>
        <v/>
      </c>
      <c r="N363" s="2">
        <f>MIN(MAX(1-(H363-1)/4,0),1)</f>
        <v/>
      </c>
      <c r="O363" s="2">
        <f>1-MIN(I363/8,1)</f>
        <v/>
      </c>
      <c r="P363" s="10">
        <f>ROUND(100*(J363*Assumptions!$B$6+K363*Assumptions!$B$7+L363*Assumptions!$B$8+M363*Assumptions!$B$9+N363*Assumptions!$B$10+O363*Assumptions!$B$11),1)</f>
        <v/>
      </c>
      <c r="Q363" s="2">
        <f>IF(P363&gt;=Assumptions!$B$14,"High",IF(P363&gt;=Assumptions!$B$15,"Medium","Low"))</f>
        <v/>
      </c>
      <c r="R363" s="2">
        <f>Cleaned_Data!L363</f>
        <v/>
      </c>
    </row>
    <row r="364">
      <c r="A364" s="2">
        <f>Cleaned_Data!A364</f>
        <v/>
      </c>
      <c r="B364" s="2">
        <f>Cleaned_Data!B364</f>
        <v/>
      </c>
      <c r="C364" s="2">
        <f>Cleaned_Data!G364</f>
        <v/>
      </c>
      <c r="D364" s="2">
        <f>Cleaned_Data!I364</f>
        <v/>
      </c>
      <c r="E364" s="2">
        <f>Cleaned_Data!H364</f>
        <v/>
      </c>
      <c r="F364" s="2">
        <f>Cleaned_Data!F364</f>
        <v/>
      </c>
      <c r="G364" s="9">
        <f>SUMPRODUCT(($B$2:$B$1196=B364)*($F$2:$F$1196&lt;=F364))/SUMPRODUCT(($B$2:$B$1196=B364)*1)</f>
        <v/>
      </c>
      <c r="H364" s="2">
        <f>Cleaned_Data!J364</f>
        <v/>
      </c>
      <c r="I364" s="2">
        <f>Cleaned_Data!E364</f>
        <v/>
      </c>
      <c r="J364" s="2">
        <f>IF(C364="Yes",1,0)</f>
        <v/>
      </c>
      <c r="K364" s="2">
        <f>MIN(MAX(1-(D364-1)/4,0),1)</f>
        <v/>
      </c>
      <c r="L364" s="2">
        <f>MIN(E364/60,1)</f>
        <v/>
      </c>
      <c r="M364" s="2">
        <f>MIN(MAX(1-G364,0),1)</f>
        <v/>
      </c>
      <c r="N364" s="2">
        <f>MIN(MAX(1-(H364-1)/4,0),1)</f>
        <v/>
      </c>
      <c r="O364" s="2">
        <f>1-MIN(I364/8,1)</f>
        <v/>
      </c>
      <c r="P364" s="10">
        <f>ROUND(100*(J364*Assumptions!$B$6+K364*Assumptions!$B$7+L364*Assumptions!$B$8+M364*Assumptions!$B$9+N364*Assumptions!$B$10+O364*Assumptions!$B$11),1)</f>
        <v/>
      </c>
      <c r="Q364" s="2">
        <f>IF(P364&gt;=Assumptions!$B$14,"High",IF(P364&gt;=Assumptions!$B$15,"Medium","Low"))</f>
        <v/>
      </c>
      <c r="R364" s="2">
        <f>Cleaned_Data!L364</f>
        <v/>
      </c>
    </row>
    <row r="365">
      <c r="A365" s="2">
        <f>Cleaned_Data!A365</f>
        <v/>
      </c>
      <c r="B365" s="2">
        <f>Cleaned_Data!B365</f>
        <v/>
      </c>
      <c r="C365" s="2">
        <f>Cleaned_Data!G365</f>
        <v/>
      </c>
      <c r="D365" s="2">
        <f>Cleaned_Data!I365</f>
        <v/>
      </c>
      <c r="E365" s="2">
        <f>Cleaned_Data!H365</f>
        <v/>
      </c>
      <c r="F365" s="2">
        <f>Cleaned_Data!F365</f>
        <v/>
      </c>
      <c r="G365" s="9">
        <f>SUMPRODUCT(($B$2:$B$1196=B365)*($F$2:$F$1196&lt;=F365))/SUMPRODUCT(($B$2:$B$1196=B365)*1)</f>
        <v/>
      </c>
      <c r="H365" s="2">
        <f>Cleaned_Data!J365</f>
        <v/>
      </c>
      <c r="I365" s="2">
        <f>Cleaned_Data!E365</f>
        <v/>
      </c>
      <c r="J365" s="2">
        <f>IF(C365="Yes",1,0)</f>
        <v/>
      </c>
      <c r="K365" s="2">
        <f>MIN(MAX(1-(D365-1)/4,0),1)</f>
        <v/>
      </c>
      <c r="L365" s="2">
        <f>MIN(E365/60,1)</f>
        <v/>
      </c>
      <c r="M365" s="2">
        <f>MIN(MAX(1-G365,0),1)</f>
        <v/>
      </c>
      <c r="N365" s="2">
        <f>MIN(MAX(1-(H365-1)/4,0),1)</f>
        <v/>
      </c>
      <c r="O365" s="2">
        <f>1-MIN(I365/8,1)</f>
        <v/>
      </c>
      <c r="P365" s="10">
        <f>ROUND(100*(J365*Assumptions!$B$6+K365*Assumptions!$B$7+L365*Assumptions!$B$8+M365*Assumptions!$B$9+N365*Assumptions!$B$10+O365*Assumptions!$B$11),1)</f>
        <v/>
      </c>
      <c r="Q365" s="2">
        <f>IF(P365&gt;=Assumptions!$B$14,"High",IF(P365&gt;=Assumptions!$B$15,"Medium","Low"))</f>
        <v/>
      </c>
      <c r="R365" s="2">
        <f>Cleaned_Data!L365</f>
        <v/>
      </c>
    </row>
    <row r="366">
      <c r="A366" s="2">
        <f>Cleaned_Data!A366</f>
        <v/>
      </c>
      <c r="B366" s="2">
        <f>Cleaned_Data!B366</f>
        <v/>
      </c>
      <c r="C366" s="2">
        <f>Cleaned_Data!G366</f>
        <v/>
      </c>
      <c r="D366" s="2">
        <f>Cleaned_Data!I366</f>
        <v/>
      </c>
      <c r="E366" s="2">
        <f>Cleaned_Data!H366</f>
        <v/>
      </c>
      <c r="F366" s="2">
        <f>Cleaned_Data!F366</f>
        <v/>
      </c>
      <c r="G366" s="9">
        <f>SUMPRODUCT(($B$2:$B$1196=B366)*($F$2:$F$1196&lt;=F366))/SUMPRODUCT(($B$2:$B$1196=B366)*1)</f>
        <v/>
      </c>
      <c r="H366" s="2">
        <f>Cleaned_Data!J366</f>
        <v/>
      </c>
      <c r="I366" s="2">
        <f>Cleaned_Data!E366</f>
        <v/>
      </c>
      <c r="J366" s="2">
        <f>IF(C366="Yes",1,0)</f>
        <v/>
      </c>
      <c r="K366" s="2">
        <f>MIN(MAX(1-(D366-1)/4,0),1)</f>
        <v/>
      </c>
      <c r="L366" s="2">
        <f>MIN(E366/60,1)</f>
        <v/>
      </c>
      <c r="M366" s="2">
        <f>MIN(MAX(1-G366,0),1)</f>
        <v/>
      </c>
      <c r="N366" s="2">
        <f>MIN(MAX(1-(H366-1)/4,0),1)</f>
        <v/>
      </c>
      <c r="O366" s="2">
        <f>1-MIN(I366/8,1)</f>
        <v/>
      </c>
      <c r="P366" s="10">
        <f>ROUND(100*(J366*Assumptions!$B$6+K366*Assumptions!$B$7+L366*Assumptions!$B$8+M366*Assumptions!$B$9+N366*Assumptions!$B$10+O366*Assumptions!$B$11),1)</f>
        <v/>
      </c>
      <c r="Q366" s="2">
        <f>IF(P366&gt;=Assumptions!$B$14,"High",IF(P366&gt;=Assumptions!$B$15,"Medium","Low"))</f>
        <v/>
      </c>
      <c r="R366" s="2">
        <f>Cleaned_Data!L366</f>
        <v/>
      </c>
    </row>
    <row r="367">
      <c r="A367" s="2">
        <f>Cleaned_Data!A367</f>
        <v/>
      </c>
      <c r="B367" s="2">
        <f>Cleaned_Data!B367</f>
        <v/>
      </c>
      <c r="C367" s="2">
        <f>Cleaned_Data!G367</f>
        <v/>
      </c>
      <c r="D367" s="2">
        <f>Cleaned_Data!I367</f>
        <v/>
      </c>
      <c r="E367" s="2">
        <f>Cleaned_Data!H367</f>
        <v/>
      </c>
      <c r="F367" s="2">
        <f>Cleaned_Data!F367</f>
        <v/>
      </c>
      <c r="G367" s="9">
        <f>SUMPRODUCT(($B$2:$B$1196=B367)*($F$2:$F$1196&lt;=F367))/SUMPRODUCT(($B$2:$B$1196=B367)*1)</f>
        <v/>
      </c>
      <c r="H367" s="2">
        <f>Cleaned_Data!J367</f>
        <v/>
      </c>
      <c r="I367" s="2">
        <f>Cleaned_Data!E367</f>
        <v/>
      </c>
      <c r="J367" s="2">
        <f>IF(C367="Yes",1,0)</f>
        <v/>
      </c>
      <c r="K367" s="2">
        <f>MIN(MAX(1-(D367-1)/4,0),1)</f>
        <v/>
      </c>
      <c r="L367" s="2">
        <f>MIN(E367/60,1)</f>
        <v/>
      </c>
      <c r="M367" s="2">
        <f>MIN(MAX(1-G367,0),1)</f>
        <v/>
      </c>
      <c r="N367" s="2">
        <f>MIN(MAX(1-(H367-1)/4,0),1)</f>
        <v/>
      </c>
      <c r="O367" s="2">
        <f>1-MIN(I367/8,1)</f>
        <v/>
      </c>
      <c r="P367" s="10">
        <f>ROUND(100*(J367*Assumptions!$B$6+K367*Assumptions!$B$7+L367*Assumptions!$B$8+M367*Assumptions!$B$9+N367*Assumptions!$B$10+O367*Assumptions!$B$11),1)</f>
        <v/>
      </c>
      <c r="Q367" s="2">
        <f>IF(P367&gt;=Assumptions!$B$14,"High",IF(P367&gt;=Assumptions!$B$15,"Medium","Low"))</f>
        <v/>
      </c>
      <c r="R367" s="2">
        <f>Cleaned_Data!L367</f>
        <v/>
      </c>
    </row>
    <row r="368">
      <c r="A368" s="2">
        <f>Cleaned_Data!A368</f>
        <v/>
      </c>
      <c r="B368" s="2">
        <f>Cleaned_Data!B368</f>
        <v/>
      </c>
      <c r="C368" s="2">
        <f>Cleaned_Data!G368</f>
        <v/>
      </c>
      <c r="D368" s="2">
        <f>Cleaned_Data!I368</f>
        <v/>
      </c>
      <c r="E368" s="2">
        <f>Cleaned_Data!H368</f>
        <v/>
      </c>
      <c r="F368" s="2">
        <f>Cleaned_Data!F368</f>
        <v/>
      </c>
      <c r="G368" s="9">
        <f>SUMPRODUCT(($B$2:$B$1196=B368)*($F$2:$F$1196&lt;=F368))/SUMPRODUCT(($B$2:$B$1196=B368)*1)</f>
        <v/>
      </c>
      <c r="H368" s="2">
        <f>Cleaned_Data!J368</f>
        <v/>
      </c>
      <c r="I368" s="2">
        <f>Cleaned_Data!E368</f>
        <v/>
      </c>
      <c r="J368" s="2">
        <f>IF(C368="Yes",1,0)</f>
        <v/>
      </c>
      <c r="K368" s="2">
        <f>MIN(MAX(1-(D368-1)/4,0),1)</f>
        <v/>
      </c>
      <c r="L368" s="2">
        <f>MIN(E368/60,1)</f>
        <v/>
      </c>
      <c r="M368" s="2">
        <f>MIN(MAX(1-G368,0),1)</f>
        <v/>
      </c>
      <c r="N368" s="2">
        <f>MIN(MAX(1-(H368-1)/4,0),1)</f>
        <v/>
      </c>
      <c r="O368" s="2">
        <f>1-MIN(I368/8,1)</f>
        <v/>
      </c>
      <c r="P368" s="10">
        <f>ROUND(100*(J368*Assumptions!$B$6+K368*Assumptions!$B$7+L368*Assumptions!$B$8+M368*Assumptions!$B$9+N368*Assumptions!$B$10+O368*Assumptions!$B$11),1)</f>
        <v/>
      </c>
      <c r="Q368" s="2">
        <f>IF(P368&gt;=Assumptions!$B$14,"High",IF(P368&gt;=Assumptions!$B$15,"Medium","Low"))</f>
        <v/>
      </c>
      <c r="R368" s="2">
        <f>Cleaned_Data!L368</f>
        <v/>
      </c>
    </row>
    <row r="369">
      <c r="A369" s="2">
        <f>Cleaned_Data!A369</f>
        <v/>
      </c>
      <c r="B369" s="2">
        <f>Cleaned_Data!B369</f>
        <v/>
      </c>
      <c r="C369" s="2">
        <f>Cleaned_Data!G369</f>
        <v/>
      </c>
      <c r="D369" s="2">
        <f>Cleaned_Data!I369</f>
        <v/>
      </c>
      <c r="E369" s="2">
        <f>Cleaned_Data!H369</f>
        <v/>
      </c>
      <c r="F369" s="2">
        <f>Cleaned_Data!F369</f>
        <v/>
      </c>
      <c r="G369" s="9">
        <f>SUMPRODUCT(($B$2:$B$1196=B369)*($F$2:$F$1196&lt;=F369))/SUMPRODUCT(($B$2:$B$1196=B369)*1)</f>
        <v/>
      </c>
      <c r="H369" s="2">
        <f>Cleaned_Data!J369</f>
        <v/>
      </c>
      <c r="I369" s="2">
        <f>Cleaned_Data!E369</f>
        <v/>
      </c>
      <c r="J369" s="2">
        <f>IF(C369="Yes",1,0)</f>
        <v/>
      </c>
      <c r="K369" s="2">
        <f>MIN(MAX(1-(D369-1)/4,0),1)</f>
        <v/>
      </c>
      <c r="L369" s="2">
        <f>MIN(E369/60,1)</f>
        <v/>
      </c>
      <c r="M369" s="2">
        <f>MIN(MAX(1-G369,0),1)</f>
        <v/>
      </c>
      <c r="N369" s="2">
        <f>MIN(MAX(1-(H369-1)/4,0),1)</f>
        <v/>
      </c>
      <c r="O369" s="2">
        <f>1-MIN(I369/8,1)</f>
        <v/>
      </c>
      <c r="P369" s="10">
        <f>ROUND(100*(J369*Assumptions!$B$6+K369*Assumptions!$B$7+L369*Assumptions!$B$8+M369*Assumptions!$B$9+N369*Assumptions!$B$10+O369*Assumptions!$B$11),1)</f>
        <v/>
      </c>
      <c r="Q369" s="2">
        <f>IF(P369&gt;=Assumptions!$B$14,"High",IF(P369&gt;=Assumptions!$B$15,"Medium","Low"))</f>
        <v/>
      </c>
      <c r="R369" s="2">
        <f>Cleaned_Data!L369</f>
        <v/>
      </c>
    </row>
    <row r="370">
      <c r="A370" s="2">
        <f>Cleaned_Data!A370</f>
        <v/>
      </c>
      <c r="B370" s="2">
        <f>Cleaned_Data!B370</f>
        <v/>
      </c>
      <c r="C370" s="2">
        <f>Cleaned_Data!G370</f>
        <v/>
      </c>
      <c r="D370" s="2">
        <f>Cleaned_Data!I370</f>
        <v/>
      </c>
      <c r="E370" s="2">
        <f>Cleaned_Data!H370</f>
        <v/>
      </c>
      <c r="F370" s="2">
        <f>Cleaned_Data!F370</f>
        <v/>
      </c>
      <c r="G370" s="9">
        <f>SUMPRODUCT(($B$2:$B$1196=B370)*($F$2:$F$1196&lt;=F370))/SUMPRODUCT(($B$2:$B$1196=B370)*1)</f>
        <v/>
      </c>
      <c r="H370" s="2">
        <f>Cleaned_Data!J370</f>
        <v/>
      </c>
      <c r="I370" s="2">
        <f>Cleaned_Data!E370</f>
        <v/>
      </c>
      <c r="J370" s="2">
        <f>IF(C370="Yes",1,0)</f>
        <v/>
      </c>
      <c r="K370" s="2">
        <f>MIN(MAX(1-(D370-1)/4,0),1)</f>
        <v/>
      </c>
      <c r="L370" s="2">
        <f>MIN(E370/60,1)</f>
        <v/>
      </c>
      <c r="M370" s="2">
        <f>MIN(MAX(1-G370,0),1)</f>
        <v/>
      </c>
      <c r="N370" s="2">
        <f>MIN(MAX(1-(H370-1)/4,0),1)</f>
        <v/>
      </c>
      <c r="O370" s="2">
        <f>1-MIN(I370/8,1)</f>
        <v/>
      </c>
      <c r="P370" s="10">
        <f>ROUND(100*(J370*Assumptions!$B$6+K370*Assumptions!$B$7+L370*Assumptions!$B$8+M370*Assumptions!$B$9+N370*Assumptions!$B$10+O370*Assumptions!$B$11),1)</f>
        <v/>
      </c>
      <c r="Q370" s="2">
        <f>IF(P370&gt;=Assumptions!$B$14,"High",IF(P370&gt;=Assumptions!$B$15,"Medium","Low"))</f>
        <v/>
      </c>
      <c r="R370" s="2">
        <f>Cleaned_Data!L370</f>
        <v/>
      </c>
    </row>
    <row r="371">
      <c r="A371" s="2">
        <f>Cleaned_Data!A371</f>
        <v/>
      </c>
      <c r="B371" s="2">
        <f>Cleaned_Data!B371</f>
        <v/>
      </c>
      <c r="C371" s="2">
        <f>Cleaned_Data!G371</f>
        <v/>
      </c>
      <c r="D371" s="2">
        <f>Cleaned_Data!I371</f>
        <v/>
      </c>
      <c r="E371" s="2">
        <f>Cleaned_Data!H371</f>
        <v/>
      </c>
      <c r="F371" s="2">
        <f>Cleaned_Data!F371</f>
        <v/>
      </c>
      <c r="G371" s="9">
        <f>SUMPRODUCT(($B$2:$B$1196=B371)*($F$2:$F$1196&lt;=F371))/SUMPRODUCT(($B$2:$B$1196=B371)*1)</f>
        <v/>
      </c>
      <c r="H371" s="2">
        <f>Cleaned_Data!J371</f>
        <v/>
      </c>
      <c r="I371" s="2">
        <f>Cleaned_Data!E371</f>
        <v/>
      </c>
      <c r="J371" s="2">
        <f>IF(C371="Yes",1,0)</f>
        <v/>
      </c>
      <c r="K371" s="2">
        <f>MIN(MAX(1-(D371-1)/4,0),1)</f>
        <v/>
      </c>
      <c r="L371" s="2">
        <f>MIN(E371/60,1)</f>
        <v/>
      </c>
      <c r="M371" s="2">
        <f>MIN(MAX(1-G371,0),1)</f>
        <v/>
      </c>
      <c r="N371" s="2">
        <f>MIN(MAX(1-(H371-1)/4,0),1)</f>
        <v/>
      </c>
      <c r="O371" s="2">
        <f>1-MIN(I371/8,1)</f>
        <v/>
      </c>
      <c r="P371" s="10">
        <f>ROUND(100*(J371*Assumptions!$B$6+K371*Assumptions!$B$7+L371*Assumptions!$B$8+M371*Assumptions!$B$9+N371*Assumptions!$B$10+O371*Assumptions!$B$11),1)</f>
        <v/>
      </c>
      <c r="Q371" s="2">
        <f>IF(P371&gt;=Assumptions!$B$14,"High",IF(P371&gt;=Assumptions!$B$15,"Medium","Low"))</f>
        <v/>
      </c>
      <c r="R371" s="2">
        <f>Cleaned_Data!L371</f>
        <v/>
      </c>
    </row>
    <row r="372">
      <c r="A372" s="2">
        <f>Cleaned_Data!A372</f>
        <v/>
      </c>
      <c r="B372" s="2">
        <f>Cleaned_Data!B372</f>
        <v/>
      </c>
      <c r="C372" s="2">
        <f>Cleaned_Data!G372</f>
        <v/>
      </c>
      <c r="D372" s="2">
        <f>Cleaned_Data!I372</f>
        <v/>
      </c>
      <c r="E372" s="2">
        <f>Cleaned_Data!H372</f>
        <v/>
      </c>
      <c r="F372" s="2">
        <f>Cleaned_Data!F372</f>
        <v/>
      </c>
      <c r="G372" s="9">
        <f>SUMPRODUCT(($B$2:$B$1196=B372)*($F$2:$F$1196&lt;=F372))/SUMPRODUCT(($B$2:$B$1196=B372)*1)</f>
        <v/>
      </c>
      <c r="H372" s="2">
        <f>Cleaned_Data!J372</f>
        <v/>
      </c>
      <c r="I372" s="2">
        <f>Cleaned_Data!E372</f>
        <v/>
      </c>
      <c r="J372" s="2">
        <f>IF(C372="Yes",1,0)</f>
        <v/>
      </c>
      <c r="K372" s="2">
        <f>MIN(MAX(1-(D372-1)/4,0),1)</f>
        <v/>
      </c>
      <c r="L372" s="2">
        <f>MIN(E372/60,1)</f>
        <v/>
      </c>
      <c r="M372" s="2">
        <f>MIN(MAX(1-G372,0),1)</f>
        <v/>
      </c>
      <c r="N372" s="2">
        <f>MIN(MAX(1-(H372-1)/4,0),1)</f>
        <v/>
      </c>
      <c r="O372" s="2">
        <f>1-MIN(I372/8,1)</f>
        <v/>
      </c>
      <c r="P372" s="10">
        <f>ROUND(100*(J372*Assumptions!$B$6+K372*Assumptions!$B$7+L372*Assumptions!$B$8+M372*Assumptions!$B$9+N372*Assumptions!$B$10+O372*Assumptions!$B$11),1)</f>
        <v/>
      </c>
      <c r="Q372" s="2">
        <f>IF(P372&gt;=Assumptions!$B$14,"High",IF(P372&gt;=Assumptions!$B$15,"Medium","Low"))</f>
        <v/>
      </c>
      <c r="R372" s="2">
        <f>Cleaned_Data!L372</f>
        <v/>
      </c>
    </row>
    <row r="373">
      <c r="A373" s="2">
        <f>Cleaned_Data!A373</f>
        <v/>
      </c>
      <c r="B373" s="2">
        <f>Cleaned_Data!B373</f>
        <v/>
      </c>
      <c r="C373" s="2">
        <f>Cleaned_Data!G373</f>
        <v/>
      </c>
      <c r="D373" s="2">
        <f>Cleaned_Data!I373</f>
        <v/>
      </c>
      <c r="E373" s="2">
        <f>Cleaned_Data!H373</f>
        <v/>
      </c>
      <c r="F373" s="2">
        <f>Cleaned_Data!F373</f>
        <v/>
      </c>
      <c r="G373" s="9">
        <f>SUMPRODUCT(($B$2:$B$1196=B373)*($F$2:$F$1196&lt;=F373))/SUMPRODUCT(($B$2:$B$1196=B373)*1)</f>
        <v/>
      </c>
      <c r="H373" s="2">
        <f>Cleaned_Data!J373</f>
        <v/>
      </c>
      <c r="I373" s="2">
        <f>Cleaned_Data!E373</f>
        <v/>
      </c>
      <c r="J373" s="2">
        <f>IF(C373="Yes",1,0)</f>
        <v/>
      </c>
      <c r="K373" s="2">
        <f>MIN(MAX(1-(D373-1)/4,0),1)</f>
        <v/>
      </c>
      <c r="L373" s="2">
        <f>MIN(E373/60,1)</f>
        <v/>
      </c>
      <c r="M373" s="2">
        <f>MIN(MAX(1-G373,0),1)</f>
        <v/>
      </c>
      <c r="N373" s="2">
        <f>MIN(MAX(1-(H373-1)/4,0),1)</f>
        <v/>
      </c>
      <c r="O373" s="2">
        <f>1-MIN(I373/8,1)</f>
        <v/>
      </c>
      <c r="P373" s="10">
        <f>ROUND(100*(J373*Assumptions!$B$6+K373*Assumptions!$B$7+L373*Assumptions!$B$8+M373*Assumptions!$B$9+N373*Assumptions!$B$10+O373*Assumptions!$B$11),1)</f>
        <v/>
      </c>
      <c r="Q373" s="2">
        <f>IF(P373&gt;=Assumptions!$B$14,"High",IF(P373&gt;=Assumptions!$B$15,"Medium","Low"))</f>
        <v/>
      </c>
      <c r="R373" s="2">
        <f>Cleaned_Data!L373</f>
        <v/>
      </c>
    </row>
    <row r="374">
      <c r="A374" s="2">
        <f>Cleaned_Data!A374</f>
        <v/>
      </c>
      <c r="B374" s="2">
        <f>Cleaned_Data!B374</f>
        <v/>
      </c>
      <c r="C374" s="2">
        <f>Cleaned_Data!G374</f>
        <v/>
      </c>
      <c r="D374" s="2">
        <f>Cleaned_Data!I374</f>
        <v/>
      </c>
      <c r="E374" s="2">
        <f>Cleaned_Data!H374</f>
        <v/>
      </c>
      <c r="F374" s="2">
        <f>Cleaned_Data!F374</f>
        <v/>
      </c>
      <c r="G374" s="9">
        <f>SUMPRODUCT(($B$2:$B$1196=B374)*($F$2:$F$1196&lt;=F374))/SUMPRODUCT(($B$2:$B$1196=B374)*1)</f>
        <v/>
      </c>
      <c r="H374" s="2">
        <f>Cleaned_Data!J374</f>
        <v/>
      </c>
      <c r="I374" s="2">
        <f>Cleaned_Data!E374</f>
        <v/>
      </c>
      <c r="J374" s="2">
        <f>IF(C374="Yes",1,0)</f>
        <v/>
      </c>
      <c r="K374" s="2">
        <f>MIN(MAX(1-(D374-1)/4,0),1)</f>
        <v/>
      </c>
      <c r="L374" s="2">
        <f>MIN(E374/60,1)</f>
        <v/>
      </c>
      <c r="M374" s="2">
        <f>MIN(MAX(1-G374,0),1)</f>
        <v/>
      </c>
      <c r="N374" s="2">
        <f>MIN(MAX(1-(H374-1)/4,0),1)</f>
        <v/>
      </c>
      <c r="O374" s="2">
        <f>1-MIN(I374/8,1)</f>
        <v/>
      </c>
      <c r="P374" s="10">
        <f>ROUND(100*(J374*Assumptions!$B$6+K374*Assumptions!$B$7+L374*Assumptions!$B$8+M374*Assumptions!$B$9+N374*Assumptions!$B$10+O374*Assumptions!$B$11),1)</f>
        <v/>
      </c>
      <c r="Q374" s="2">
        <f>IF(P374&gt;=Assumptions!$B$14,"High",IF(P374&gt;=Assumptions!$B$15,"Medium","Low"))</f>
        <v/>
      </c>
      <c r="R374" s="2">
        <f>Cleaned_Data!L374</f>
        <v/>
      </c>
    </row>
    <row r="375">
      <c r="A375" s="2">
        <f>Cleaned_Data!A375</f>
        <v/>
      </c>
      <c r="B375" s="2">
        <f>Cleaned_Data!B375</f>
        <v/>
      </c>
      <c r="C375" s="2">
        <f>Cleaned_Data!G375</f>
        <v/>
      </c>
      <c r="D375" s="2">
        <f>Cleaned_Data!I375</f>
        <v/>
      </c>
      <c r="E375" s="2">
        <f>Cleaned_Data!H375</f>
        <v/>
      </c>
      <c r="F375" s="2">
        <f>Cleaned_Data!F375</f>
        <v/>
      </c>
      <c r="G375" s="9">
        <f>SUMPRODUCT(($B$2:$B$1196=B375)*($F$2:$F$1196&lt;=F375))/SUMPRODUCT(($B$2:$B$1196=B375)*1)</f>
        <v/>
      </c>
      <c r="H375" s="2">
        <f>Cleaned_Data!J375</f>
        <v/>
      </c>
      <c r="I375" s="2">
        <f>Cleaned_Data!E375</f>
        <v/>
      </c>
      <c r="J375" s="2">
        <f>IF(C375="Yes",1,0)</f>
        <v/>
      </c>
      <c r="K375" s="2">
        <f>MIN(MAX(1-(D375-1)/4,0),1)</f>
        <v/>
      </c>
      <c r="L375" s="2">
        <f>MIN(E375/60,1)</f>
        <v/>
      </c>
      <c r="M375" s="2">
        <f>MIN(MAX(1-G375,0),1)</f>
        <v/>
      </c>
      <c r="N375" s="2">
        <f>MIN(MAX(1-(H375-1)/4,0),1)</f>
        <v/>
      </c>
      <c r="O375" s="2">
        <f>1-MIN(I375/8,1)</f>
        <v/>
      </c>
      <c r="P375" s="10">
        <f>ROUND(100*(J375*Assumptions!$B$6+K375*Assumptions!$B$7+L375*Assumptions!$B$8+M375*Assumptions!$B$9+N375*Assumptions!$B$10+O375*Assumptions!$B$11),1)</f>
        <v/>
      </c>
      <c r="Q375" s="2">
        <f>IF(P375&gt;=Assumptions!$B$14,"High",IF(P375&gt;=Assumptions!$B$15,"Medium","Low"))</f>
        <v/>
      </c>
      <c r="R375" s="2">
        <f>Cleaned_Data!L375</f>
        <v/>
      </c>
    </row>
    <row r="376">
      <c r="A376" s="2">
        <f>Cleaned_Data!A376</f>
        <v/>
      </c>
      <c r="B376" s="2">
        <f>Cleaned_Data!B376</f>
        <v/>
      </c>
      <c r="C376" s="2">
        <f>Cleaned_Data!G376</f>
        <v/>
      </c>
      <c r="D376" s="2">
        <f>Cleaned_Data!I376</f>
        <v/>
      </c>
      <c r="E376" s="2">
        <f>Cleaned_Data!H376</f>
        <v/>
      </c>
      <c r="F376" s="2">
        <f>Cleaned_Data!F376</f>
        <v/>
      </c>
      <c r="G376" s="9">
        <f>SUMPRODUCT(($B$2:$B$1196=B376)*($F$2:$F$1196&lt;=F376))/SUMPRODUCT(($B$2:$B$1196=B376)*1)</f>
        <v/>
      </c>
      <c r="H376" s="2">
        <f>Cleaned_Data!J376</f>
        <v/>
      </c>
      <c r="I376" s="2">
        <f>Cleaned_Data!E376</f>
        <v/>
      </c>
      <c r="J376" s="2">
        <f>IF(C376="Yes",1,0)</f>
        <v/>
      </c>
      <c r="K376" s="2">
        <f>MIN(MAX(1-(D376-1)/4,0),1)</f>
        <v/>
      </c>
      <c r="L376" s="2">
        <f>MIN(E376/60,1)</f>
        <v/>
      </c>
      <c r="M376" s="2">
        <f>MIN(MAX(1-G376,0),1)</f>
        <v/>
      </c>
      <c r="N376" s="2">
        <f>MIN(MAX(1-(H376-1)/4,0),1)</f>
        <v/>
      </c>
      <c r="O376" s="2">
        <f>1-MIN(I376/8,1)</f>
        <v/>
      </c>
      <c r="P376" s="10">
        <f>ROUND(100*(J376*Assumptions!$B$6+K376*Assumptions!$B$7+L376*Assumptions!$B$8+M376*Assumptions!$B$9+N376*Assumptions!$B$10+O376*Assumptions!$B$11),1)</f>
        <v/>
      </c>
      <c r="Q376" s="2">
        <f>IF(P376&gt;=Assumptions!$B$14,"High",IF(P376&gt;=Assumptions!$B$15,"Medium","Low"))</f>
        <v/>
      </c>
      <c r="R376" s="2">
        <f>Cleaned_Data!L376</f>
        <v/>
      </c>
    </row>
    <row r="377">
      <c r="A377" s="2">
        <f>Cleaned_Data!A377</f>
        <v/>
      </c>
      <c r="B377" s="2">
        <f>Cleaned_Data!B377</f>
        <v/>
      </c>
      <c r="C377" s="2">
        <f>Cleaned_Data!G377</f>
        <v/>
      </c>
      <c r="D377" s="2">
        <f>Cleaned_Data!I377</f>
        <v/>
      </c>
      <c r="E377" s="2">
        <f>Cleaned_Data!H377</f>
        <v/>
      </c>
      <c r="F377" s="2">
        <f>Cleaned_Data!F377</f>
        <v/>
      </c>
      <c r="G377" s="9">
        <f>SUMPRODUCT(($B$2:$B$1196=B377)*($F$2:$F$1196&lt;=F377))/SUMPRODUCT(($B$2:$B$1196=B377)*1)</f>
        <v/>
      </c>
      <c r="H377" s="2">
        <f>Cleaned_Data!J377</f>
        <v/>
      </c>
      <c r="I377" s="2">
        <f>Cleaned_Data!E377</f>
        <v/>
      </c>
      <c r="J377" s="2">
        <f>IF(C377="Yes",1,0)</f>
        <v/>
      </c>
      <c r="K377" s="2">
        <f>MIN(MAX(1-(D377-1)/4,0),1)</f>
        <v/>
      </c>
      <c r="L377" s="2">
        <f>MIN(E377/60,1)</f>
        <v/>
      </c>
      <c r="M377" s="2">
        <f>MIN(MAX(1-G377,0),1)</f>
        <v/>
      </c>
      <c r="N377" s="2">
        <f>MIN(MAX(1-(H377-1)/4,0),1)</f>
        <v/>
      </c>
      <c r="O377" s="2">
        <f>1-MIN(I377/8,1)</f>
        <v/>
      </c>
      <c r="P377" s="10">
        <f>ROUND(100*(J377*Assumptions!$B$6+K377*Assumptions!$B$7+L377*Assumptions!$B$8+M377*Assumptions!$B$9+N377*Assumptions!$B$10+O377*Assumptions!$B$11),1)</f>
        <v/>
      </c>
      <c r="Q377" s="2">
        <f>IF(P377&gt;=Assumptions!$B$14,"High",IF(P377&gt;=Assumptions!$B$15,"Medium","Low"))</f>
        <v/>
      </c>
      <c r="R377" s="2">
        <f>Cleaned_Data!L377</f>
        <v/>
      </c>
    </row>
    <row r="378">
      <c r="A378" s="2">
        <f>Cleaned_Data!A378</f>
        <v/>
      </c>
      <c r="B378" s="2">
        <f>Cleaned_Data!B378</f>
        <v/>
      </c>
      <c r="C378" s="2">
        <f>Cleaned_Data!G378</f>
        <v/>
      </c>
      <c r="D378" s="2">
        <f>Cleaned_Data!I378</f>
        <v/>
      </c>
      <c r="E378" s="2">
        <f>Cleaned_Data!H378</f>
        <v/>
      </c>
      <c r="F378" s="2">
        <f>Cleaned_Data!F378</f>
        <v/>
      </c>
      <c r="G378" s="9">
        <f>SUMPRODUCT(($B$2:$B$1196=B378)*($F$2:$F$1196&lt;=F378))/SUMPRODUCT(($B$2:$B$1196=B378)*1)</f>
        <v/>
      </c>
      <c r="H378" s="2">
        <f>Cleaned_Data!J378</f>
        <v/>
      </c>
      <c r="I378" s="2">
        <f>Cleaned_Data!E378</f>
        <v/>
      </c>
      <c r="J378" s="2">
        <f>IF(C378="Yes",1,0)</f>
        <v/>
      </c>
      <c r="K378" s="2">
        <f>MIN(MAX(1-(D378-1)/4,0),1)</f>
        <v/>
      </c>
      <c r="L378" s="2">
        <f>MIN(E378/60,1)</f>
        <v/>
      </c>
      <c r="M378" s="2">
        <f>MIN(MAX(1-G378,0),1)</f>
        <v/>
      </c>
      <c r="N378" s="2">
        <f>MIN(MAX(1-(H378-1)/4,0),1)</f>
        <v/>
      </c>
      <c r="O378" s="2">
        <f>1-MIN(I378/8,1)</f>
        <v/>
      </c>
      <c r="P378" s="10">
        <f>ROUND(100*(J378*Assumptions!$B$6+K378*Assumptions!$B$7+L378*Assumptions!$B$8+M378*Assumptions!$B$9+N378*Assumptions!$B$10+O378*Assumptions!$B$11),1)</f>
        <v/>
      </c>
      <c r="Q378" s="2">
        <f>IF(P378&gt;=Assumptions!$B$14,"High",IF(P378&gt;=Assumptions!$B$15,"Medium","Low"))</f>
        <v/>
      </c>
      <c r="R378" s="2">
        <f>Cleaned_Data!L378</f>
        <v/>
      </c>
    </row>
    <row r="379">
      <c r="A379" s="2">
        <f>Cleaned_Data!A379</f>
        <v/>
      </c>
      <c r="B379" s="2">
        <f>Cleaned_Data!B379</f>
        <v/>
      </c>
      <c r="C379" s="2">
        <f>Cleaned_Data!G379</f>
        <v/>
      </c>
      <c r="D379" s="2">
        <f>Cleaned_Data!I379</f>
        <v/>
      </c>
      <c r="E379" s="2">
        <f>Cleaned_Data!H379</f>
        <v/>
      </c>
      <c r="F379" s="2">
        <f>Cleaned_Data!F379</f>
        <v/>
      </c>
      <c r="G379" s="9">
        <f>SUMPRODUCT(($B$2:$B$1196=B379)*($F$2:$F$1196&lt;=F379))/SUMPRODUCT(($B$2:$B$1196=B379)*1)</f>
        <v/>
      </c>
      <c r="H379" s="2">
        <f>Cleaned_Data!J379</f>
        <v/>
      </c>
      <c r="I379" s="2">
        <f>Cleaned_Data!E379</f>
        <v/>
      </c>
      <c r="J379" s="2">
        <f>IF(C379="Yes",1,0)</f>
        <v/>
      </c>
      <c r="K379" s="2">
        <f>MIN(MAX(1-(D379-1)/4,0),1)</f>
        <v/>
      </c>
      <c r="L379" s="2">
        <f>MIN(E379/60,1)</f>
        <v/>
      </c>
      <c r="M379" s="2">
        <f>MIN(MAX(1-G379,0),1)</f>
        <v/>
      </c>
      <c r="N379" s="2">
        <f>MIN(MAX(1-(H379-1)/4,0),1)</f>
        <v/>
      </c>
      <c r="O379" s="2">
        <f>1-MIN(I379/8,1)</f>
        <v/>
      </c>
      <c r="P379" s="10">
        <f>ROUND(100*(J379*Assumptions!$B$6+K379*Assumptions!$B$7+L379*Assumptions!$B$8+M379*Assumptions!$B$9+N379*Assumptions!$B$10+O379*Assumptions!$B$11),1)</f>
        <v/>
      </c>
      <c r="Q379" s="2">
        <f>IF(P379&gt;=Assumptions!$B$14,"High",IF(P379&gt;=Assumptions!$B$15,"Medium","Low"))</f>
        <v/>
      </c>
      <c r="R379" s="2">
        <f>Cleaned_Data!L379</f>
        <v/>
      </c>
    </row>
    <row r="380">
      <c r="A380" s="2">
        <f>Cleaned_Data!A380</f>
        <v/>
      </c>
      <c r="B380" s="2">
        <f>Cleaned_Data!B380</f>
        <v/>
      </c>
      <c r="C380" s="2">
        <f>Cleaned_Data!G380</f>
        <v/>
      </c>
      <c r="D380" s="2">
        <f>Cleaned_Data!I380</f>
        <v/>
      </c>
      <c r="E380" s="2">
        <f>Cleaned_Data!H380</f>
        <v/>
      </c>
      <c r="F380" s="2">
        <f>Cleaned_Data!F380</f>
        <v/>
      </c>
      <c r="G380" s="9">
        <f>SUMPRODUCT(($B$2:$B$1196=B380)*($F$2:$F$1196&lt;=F380))/SUMPRODUCT(($B$2:$B$1196=B380)*1)</f>
        <v/>
      </c>
      <c r="H380" s="2">
        <f>Cleaned_Data!J380</f>
        <v/>
      </c>
      <c r="I380" s="2">
        <f>Cleaned_Data!E380</f>
        <v/>
      </c>
      <c r="J380" s="2">
        <f>IF(C380="Yes",1,0)</f>
        <v/>
      </c>
      <c r="K380" s="2">
        <f>MIN(MAX(1-(D380-1)/4,0),1)</f>
        <v/>
      </c>
      <c r="L380" s="2">
        <f>MIN(E380/60,1)</f>
        <v/>
      </c>
      <c r="M380" s="2">
        <f>MIN(MAX(1-G380,0),1)</f>
        <v/>
      </c>
      <c r="N380" s="2">
        <f>MIN(MAX(1-(H380-1)/4,0),1)</f>
        <v/>
      </c>
      <c r="O380" s="2">
        <f>1-MIN(I380/8,1)</f>
        <v/>
      </c>
      <c r="P380" s="10">
        <f>ROUND(100*(J380*Assumptions!$B$6+K380*Assumptions!$B$7+L380*Assumptions!$B$8+M380*Assumptions!$B$9+N380*Assumptions!$B$10+O380*Assumptions!$B$11),1)</f>
        <v/>
      </c>
      <c r="Q380" s="2">
        <f>IF(P380&gt;=Assumptions!$B$14,"High",IF(P380&gt;=Assumptions!$B$15,"Medium","Low"))</f>
        <v/>
      </c>
      <c r="R380" s="2">
        <f>Cleaned_Data!L380</f>
        <v/>
      </c>
    </row>
    <row r="381">
      <c r="A381" s="2">
        <f>Cleaned_Data!A381</f>
        <v/>
      </c>
      <c r="B381" s="2">
        <f>Cleaned_Data!B381</f>
        <v/>
      </c>
      <c r="C381" s="2">
        <f>Cleaned_Data!G381</f>
        <v/>
      </c>
      <c r="D381" s="2">
        <f>Cleaned_Data!I381</f>
        <v/>
      </c>
      <c r="E381" s="2">
        <f>Cleaned_Data!H381</f>
        <v/>
      </c>
      <c r="F381" s="2">
        <f>Cleaned_Data!F381</f>
        <v/>
      </c>
      <c r="G381" s="9">
        <f>SUMPRODUCT(($B$2:$B$1196=B381)*($F$2:$F$1196&lt;=F381))/SUMPRODUCT(($B$2:$B$1196=B381)*1)</f>
        <v/>
      </c>
      <c r="H381" s="2">
        <f>Cleaned_Data!J381</f>
        <v/>
      </c>
      <c r="I381" s="2">
        <f>Cleaned_Data!E381</f>
        <v/>
      </c>
      <c r="J381" s="2">
        <f>IF(C381="Yes",1,0)</f>
        <v/>
      </c>
      <c r="K381" s="2">
        <f>MIN(MAX(1-(D381-1)/4,0),1)</f>
        <v/>
      </c>
      <c r="L381" s="2">
        <f>MIN(E381/60,1)</f>
        <v/>
      </c>
      <c r="M381" s="2">
        <f>MIN(MAX(1-G381,0),1)</f>
        <v/>
      </c>
      <c r="N381" s="2">
        <f>MIN(MAX(1-(H381-1)/4,0),1)</f>
        <v/>
      </c>
      <c r="O381" s="2">
        <f>1-MIN(I381/8,1)</f>
        <v/>
      </c>
      <c r="P381" s="10">
        <f>ROUND(100*(J381*Assumptions!$B$6+K381*Assumptions!$B$7+L381*Assumptions!$B$8+M381*Assumptions!$B$9+N381*Assumptions!$B$10+O381*Assumptions!$B$11),1)</f>
        <v/>
      </c>
      <c r="Q381" s="2">
        <f>IF(P381&gt;=Assumptions!$B$14,"High",IF(P381&gt;=Assumptions!$B$15,"Medium","Low"))</f>
        <v/>
      </c>
      <c r="R381" s="2">
        <f>Cleaned_Data!L381</f>
        <v/>
      </c>
    </row>
    <row r="382">
      <c r="A382" s="2">
        <f>Cleaned_Data!A382</f>
        <v/>
      </c>
      <c r="B382" s="2">
        <f>Cleaned_Data!B382</f>
        <v/>
      </c>
      <c r="C382" s="2">
        <f>Cleaned_Data!G382</f>
        <v/>
      </c>
      <c r="D382" s="2">
        <f>Cleaned_Data!I382</f>
        <v/>
      </c>
      <c r="E382" s="2">
        <f>Cleaned_Data!H382</f>
        <v/>
      </c>
      <c r="F382" s="2">
        <f>Cleaned_Data!F382</f>
        <v/>
      </c>
      <c r="G382" s="9">
        <f>SUMPRODUCT(($B$2:$B$1196=B382)*($F$2:$F$1196&lt;=F382))/SUMPRODUCT(($B$2:$B$1196=B382)*1)</f>
        <v/>
      </c>
      <c r="H382" s="2">
        <f>Cleaned_Data!J382</f>
        <v/>
      </c>
      <c r="I382" s="2">
        <f>Cleaned_Data!E382</f>
        <v/>
      </c>
      <c r="J382" s="2">
        <f>IF(C382="Yes",1,0)</f>
        <v/>
      </c>
      <c r="K382" s="2">
        <f>MIN(MAX(1-(D382-1)/4,0),1)</f>
        <v/>
      </c>
      <c r="L382" s="2">
        <f>MIN(E382/60,1)</f>
        <v/>
      </c>
      <c r="M382" s="2">
        <f>MIN(MAX(1-G382,0),1)</f>
        <v/>
      </c>
      <c r="N382" s="2">
        <f>MIN(MAX(1-(H382-1)/4,0),1)</f>
        <v/>
      </c>
      <c r="O382" s="2">
        <f>1-MIN(I382/8,1)</f>
        <v/>
      </c>
      <c r="P382" s="10">
        <f>ROUND(100*(J382*Assumptions!$B$6+K382*Assumptions!$B$7+L382*Assumptions!$B$8+M382*Assumptions!$B$9+N382*Assumptions!$B$10+O382*Assumptions!$B$11),1)</f>
        <v/>
      </c>
      <c r="Q382" s="2">
        <f>IF(P382&gt;=Assumptions!$B$14,"High",IF(P382&gt;=Assumptions!$B$15,"Medium","Low"))</f>
        <v/>
      </c>
      <c r="R382" s="2">
        <f>Cleaned_Data!L382</f>
        <v/>
      </c>
    </row>
    <row r="383">
      <c r="A383" s="2">
        <f>Cleaned_Data!A383</f>
        <v/>
      </c>
      <c r="B383" s="2">
        <f>Cleaned_Data!B383</f>
        <v/>
      </c>
      <c r="C383" s="2">
        <f>Cleaned_Data!G383</f>
        <v/>
      </c>
      <c r="D383" s="2">
        <f>Cleaned_Data!I383</f>
        <v/>
      </c>
      <c r="E383" s="2">
        <f>Cleaned_Data!H383</f>
        <v/>
      </c>
      <c r="F383" s="2">
        <f>Cleaned_Data!F383</f>
        <v/>
      </c>
      <c r="G383" s="9">
        <f>SUMPRODUCT(($B$2:$B$1196=B383)*($F$2:$F$1196&lt;=F383))/SUMPRODUCT(($B$2:$B$1196=B383)*1)</f>
        <v/>
      </c>
      <c r="H383" s="2">
        <f>Cleaned_Data!J383</f>
        <v/>
      </c>
      <c r="I383" s="2">
        <f>Cleaned_Data!E383</f>
        <v/>
      </c>
      <c r="J383" s="2">
        <f>IF(C383="Yes",1,0)</f>
        <v/>
      </c>
      <c r="K383" s="2">
        <f>MIN(MAX(1-(D383-1)/4,0),1)</f>
        <v/>
      </c>
      <c r="L383" s="2">
        <f>MIN(E383/60,1)</f>
        <v/>
      </c>
      <c r="M383" s="2">
        <f>MIN(MAX(1-G383,0),1)</f>
        <v/>
      </c>
      <c r="N383" s="2">
        <f>MIN(MAX(1-(H383-1)/4,0),1)</f>
        <v/>
      </c>
      <c r="O383" s="2">
        <f>1-MIN(I383/8,1)</f>
        <v/>
      </c>
      <c r="P383" s="10">
        <f>ROUND(100*(J383*Assumptions!$B$6+K383*Assumptions!$B$7+L383*Assumptions!$B$8+M383*Assumptions!$B$9+N383*Assumptions!$B$10+O383*Assumptions!$B$11),1)</f>
        <v/>
      </c>
      <c r="Q383" s="2">
        <f>IF(P383&gt;=Assumptions!$B$14,"High",IF(P383&gt;=Assumptions!$B$15,"Medium","Low"))</f>
        <v/>
      </c>
      <c r="R383" s="2">
        <f>Cleaned_Data!L383</f>
        <v/>
      </c>
    </row>
    <row r="384">
      <c r="A384" s="2">
        <f>Cleaned_Data!A384</f>
        <v/>
      </c>
      <c r="B384" s="2">
        <f>Cleaned_Data!B384</f>
        <v/>
      </c>
      <c r="C384" s="2">
        <f>Cleaned_Data!G384</f>
        <v/>
      </c>
      <c r="D384" s="2">
        <f>Cleaned_Data!I384</f>
        <v/>
      </c>
      <c r="E384" s="2">
        <f>Cleaned_Data!H384</f>
        <v/>
      </c>
      <c r="F384" s="2">
        <f>Cleaned_Data!F384</f>
        <v/>
      </c>
      <c r="G384" s="9">
        <f>SUMPRODUCT(($B$2:$B$1196=B384)*($F$2:$F$1196&lt;=F384))/SUMPRODUCT(($B$2:$B$1196=B384)*1)</f>
        <v/>
      </c>
      <c r="H384" s="2">
        <f>Cleaned_Data!J384</f>
        <v/>
      </c>
      <c r="I384" s="2">
        <f>Cleaned_Data!E384</f>
        <v/>
      </c>
      <c r="J384" s="2">
        <f>IF(C384="Yes",1,0)</f>
        <v/>
      </c>
      <c r="K384" s="2">
        <f>MIN(MAX(1-(D384-1)/4,0),1)</f>
        <v/>
      </c>
      <c r="L384" s="2">
        <f>MIN(E384/60,1)</f>
        <v/>
      </c>
      <c r="M384" s="2">
        <f>MIN(MAX(1-G384,0),1)</f>
        <v/>
      </c>
      <c r="N384" s="2">
        <f>MIN(MAX(1-(H384-1)/4,0),1)</f>
        <v/>
      </c>
      <c r="O384" s="2">
        <f>1-MIN(I384/8,1)</f>
        <v/>
      </c>
      <c r="P384" s="10">
        <f>ROUND(100*(J384*Assumptions!$B$6+K384*Assumptions!$B$7+L384*Assumptions!$B$8+M384*Assumptions!$B$9+N384*Assumptions!$B$10+O384*Assumptions!$B$11),1)</f>
        <v/>
      </c>
      <c r="Q384" s="2">
        <f>IF(P384&gt;=Assumptions!$B$14,"High",IF(P384&gt;=Assumptions!$B$15,"Medium","Low"))</f>
        <v/>
      </c>
      <c r="R384" s="2">
        <f>Cleaned_Data!L384</f>
        <v/>
      </c>
    </row>
    <row r="385">
      <c r="A385" s="2">
        <f>Cleaned_Data!A385</f>
        <v/>
      </c>
      <c r="B385" s="2">
        <f>Cleaned_Data!B385</f>
        <v/>
      </c>
      <c r="C385" s="2">
        <f>Cleaned_Data!G385</f>
        <v/>
      </c>
      <c r="D385" s="2">
        <f>Cleaned_Data!I385</f>
        <v/>
      </c>
      <c r="E385" s="2">
        <f>Cleaned_Data!H385</f>
        <v/>
      </c>
      <c r="F385" s="2">
        <f>Cleaned_Data!F385</f>
        <v/>
      </c>
      <c r="G385" s="9">
        <f>SUMPRODUCT(($B$2:$B$1196=B385)*($F$2:$F$1196&lt;=F385))/SUMPRODUCT(($B$2:$B$1196=B385)*1)</f>
        <v/>
      </c>
      <c r="H385" s="2">
        <f>Cleaned_Data!J385</f>
        <v/>
      </c>
      <c r="I385" s="2">
        <f>Cleaned_Data!E385</f>
        <v/>
      </c>
      <c r="J385" s="2">
        <f>IF(C385="Yes",1,0)</f>
        <v/>
      </c>
      <c r="K385" s="2">
        <f>MIN(MAX(1-(D385-1)/4,0),1)</f>
        <v/>
      </c>
      <c r="L385" s="2">
        <f>MIN(E385/60,1)</f>
        <v/>
      </c>
      <c r="M385" s="2">
        <f>MIN(MAX(1-G385,0),1)</f>
        <v/>
      </c>
      <c r="N385" s="2">
        <f>MIN(MAX(1-(H385-1)/4,0),1)</f>
        <v/>
      </c>
      <c r="O385" s="2">
        <f>1-MIN(I385/8,1)</f>
        <v/>
      </c>
      <c r="P385" s="10">
        <f>ROUND(100*(J385*Assumptions!$B$6+K385*Assumptions!$B$7+L385*Assumptions!$B$8+M385*Assumptions!$B$9+N385*Assumptions!$B$10+O385*Assumptions!$B$11),1)</f>
        <v/>
      </c>
      <c r="Q385" s="2">
        <f>IF(P385&gt;=Assumptions!$B$14,"High",IF(P385&gt;=Assumptions!$B$15,"Medium","Low"))</f>
        <v/>
      </c>
      <c r="R385" s="2">
        <f>Cleaned_Data!L385</f>
        <v/>
      </c>
    </row>
    <row r="386">
      <c r="A386" s="2">
        <f>Cleaned_Data!A386</f>
        <v/>
      </c>
      <c r="B386" s="2">
        <f>Cleaned_Data!B386</f>
        <v/>
      </c>
      <c r="C386" s="2">
        <f>Cleaned_Data!G386</f>
        <v/>
      </c>
      <c r="D386" s="2">
        <f>Cleaned_Data!I386</f>
        <v/>
      </c>
      <c r="E386" s="2">
        <f>Cleaned_Data!H386</f>
        <v/>
      </c>
      <c r="F386" s="2">
        <f>Cleaned_Data!F386</f>
        <v/>
      </c>
      <c r="G386" s="9">
        <f>SUMPRODUCT(($B$2:$B$1196=B386)*($F$2:$F$1196&lt;=F386))/SUMPRODUCT(($B$2:$B$1196=B386)*1)</f>
        <v/>
      </c>
      <c r="H386" s="2">
        <f>Cleaned_Data!J386</f>
        <v/>
      </c>
      <c r="I386" s="2">
        <f>Cleaned_Data!E386</f>
        <v/>
      </c>
      <c r="J386" s="2">
        <f>IF(C386="Yes",1,0)</f>
        <v/>
      </c>
      <c r="K386" s="2">
        <f>MIN(MAX(1-(D386-1)/4,0),1)</f>
        <v/>
      </c>
      <c r="L386" s="2">
        <f>MIN(E386/60,1)</f>
        <v/>
      </c>
      <c r="M386" s="2">
        <f>MIN(MAX(1-G386,0),1)</f>
        <v/>
      </c>
      <c r="N386" s="2">
        <f>MIN(MAX(1-(H386-1)/4,0),1)</f>
        <v/>
      </c>
      <c r="O386" s="2">
        <f>1-MIN(I386/8,1)</f>
        <v/>
      </c>
      <c r="P386" s="10">
        <f>ROUND(100*(J386*Assumptions!$B$6+K386*Assumptions!$B$7+L386*Assumptions!$B$8+M386*Assumptions!$B$9+N386*Assumptions!$B$10+O386*Assumptions!$B$11),1)</f>
        <v/>
      </c>
      <c r="Q386" s="2">
        <f>IF(P386&gt;=Assumptions!$B$14,"High",IF(P386&gt;=Assumptions!$B$15,"Medium","Low"))</f>
        <v/>
      </c>
      <c r="R386" s="2">
        <f>Cleaned_Data!L386</f>
        <v/>
      </c>
    </row>
    <row r="387">
      <c r="A387" s="2">
        <f>Cleaned_Data!A387</f>
        <v/>
      </c>
      <c r="B387" s="2">
        <f>Cleaned_Data!B387</f>
        <v/>
      </c>
      <c r="C387" s="2">
        <f>Cleaned_Data!G387</f>
        <v/>
      </c>
      <c r="D387" s="2">
        <f>Cleaned_Data!I387</f>
        <v/>
      </c>
      <c r="E387" s="2">
        <f>Cleaned_Data!H387</f>
        <v/>
      </c>
      <c r="F387" s="2">
        <f>Cleaned_Data!F387</f>
        <v/>
      </c>
      <c r="G387" s="9">
        <f>SUMPRODUCT(($B$2:$B$1196=B387)*($F$2:$F$1196&lt;=F387))/SUMPRODUCT(($B$2:$B$1196=B387)*1)</f>
        <v/>
      </c>
      <c r="H387" s="2">
        <f>Cleaned_Data!J387</f>
        <v/>
      </c>
      <c r="I387" s="2">
        <f>Cleaned_Data!E387</f>
        <v/>
      </c>
      <c r="J387" s="2">
        <f>IF(C387="Yes",1,0)</f>
        <v/>
      </c>
      <c r="K387" s="2">
        <f>MIN(MAX(1-(D387-1)/4,0),1)</f>
        <v/>
      </c>
      <c r="L387" s="2">
        <f>MIN(E387/60,1)</f>
        <v/>
      </c>
      <c r="M387" s="2">
        <f>MIN(MAX(1-G387,0),1)</f>
        <v/>
      </c>
      <c r="N387" s="2">
        <f>MIN(MAX(1-(H387-1)/4,0),1)</f>
        <v/>
      </c>
      <c r="O387" s="2">
        <f>1-MIN(I387/8,1)</f>
        <v/>
      </c>
      <c r="P387" s="10">
        <f>ROUND(100*(J387*Assumptions!$B$6+K387*Assumptions!$B$7+L387*Assumptions!$B$8+M387*Assumptions!$B$9+N387*Assumptions!$B$10+O387*Assumptions!$B$11),1)</f>
        <v/>
      </c>
      <c r="Q387" s="2">
        <f>IF(P387&gt;=Assumptions!$B$14,"High",IF(P387&gt;=Assumptions!$B$15,"Medium","Low"))</f>
        <v/>
      </c>
      <c r="R387" s="2">
        <f>Cleaned_Data!L387</f>
        <v/>
      </c>
    </row>
    <row r="388">
      <c r="A388" s="2">
        <f>Cleaned_Data!A388</f>
        <v/>
      </c>
      <c r="B388" s="2">
        <f>Cleaned_Data!B388</f>
        <v/>
      </c>
      <c r="C388" s="2">
        <f>Cleaned_Data!G388</f>
        <v/>
      </c>
      <c r="D388" s="2">
        <f>Cleaned_Data!I388</f>
        <v/>
      </c>
      <c r="E388" s="2">
        <f>Cleaned_Data!H388</f>
        <v/>
      </c>
      <c r="F388" s="2">
        <f>Cleaned_Data!F388</f>
        <v/>
      </c>
      <c r="G388" s="9">
        <f>SUMPRODUCT(($B$2:$B$1196=B388)*($F$2:$F$1196&lt;=F388))/SUMPRODUCT(($B$2:$B$1196=B388)*1)</f>
        <v/>
      </c>
      <c r="H388" s="2">
        <f>Cleaned_Data!J388</f>
        <v/>
      </c>
      <c r="I388" s="2">
        <f>Cleaned_Data!E388</f>
        <v/>
      </c>
      <c r="J388" s="2">
        <f>IF(C388="Yes",1,0)</f>
        <v/>
      </c>
      <c r="K388" s="2">
        <f>MIN(MAX(1-(D388-1)/4,0),1)</f>
        <v/>
      </c>
      <c r="L388" s="2">
        <f>MIN(E388/60,1)</f>
        <v/>
      </c>
      <c r="M388" s="2">
        <f>MIN(MAX(1-G388,0),1)</f>
        <v/>
      </c>
      <c r="N388" s="2">
        <f>MIN(MAX(1-(H388-1)/4,0),1)</f>
        <v/>
      </c>
      <c r="O388" s="2">
        <f>1-MIN(I388/8,1)</f>
        <v/>
      </c>
      <c r="P388" s="10">
        <f>ROUND(100*(J388*Assumptions!$B$6+K388*Assumptions!$B$7+L388*Assumptions!$B$8+M388*Assumptions!$B$9+N388*Assumptions!$B$10+O388*Assumptions!$B$11),1)</f>
        <v/>
      </c>
      <c r="Q388" s="2">
        <f>IF(P388&gt;=Assumptions!$B$14,"High",IF(P388&gt;=Assumptions!$B$15,"Medium","Low"))</f>
        <v/>
      </c>
      <c r="R388" s="2">
        <f>Cleaned_Data!L388</f>
        <v/>
      </c>
    </row>
    <row r="389">
      <c r="A389" s="2">
        <f>Cleaned_Data!A389</f>
        <v/>
      </c>
      <c r="B389" s="2">
        <f>Cleaned_Data!B389</f>
        <v/>
      </c>
      <c r="C389" s="2">
        <f>Cleaned_Data!G389</f>
        <v/>
      </c>
      <c r="D389" s="2">
        <f>Cleaned_Data!I389</f>
        <v/>
      </c>
      <c r="E389" s="2">
        <f>Cleaned_Data!H389</f>
        <v/>
      </c>
      <c r="F389" s="2">
        <f>Cleaned_Data!F389</f>
        <v/>
      </c>
      <c r="G389" s="9">
        <f>SUMPRODUCT(($B$2:$B$1196=B389)*($F$2:$F$1196&lt;=F389))/SUMPRODUCT(($B$2:$B$1196=B389)*1)</f>
        <v/>
      </c>
      <c r="H389" s="2">
        <f>Cleaned_Data!J389</f>
        <v/>
      </c>
      <c r="I389" s="2">
        <f>Cleaned_Data!E389</f>
        <v/>
      </c>
      <c r="J389" s="2">
        <f>IF(C389="Yes",1,0)</f>
        <v/>
      </c>
      <c r="K389" s="2">
        <f>MIN(MAX(1-(D389-1)/4,0),1)</f>
        <v/>
      </c>
      <c r="L389" s="2">
        <f>MIN(E389/60,1)</f>
        <v/>
      </c>
      <c r="M389" s="2">
        <f>MIN(MAX(1-G389,0),1)</f>
        <v/>
      </c>
      <c r="N389" s="2">
        <f>MIN(MAX(1-(H389-1)/4,0),1)</f>
        <v/>
      </c>
      <c r="O389" s="2">
        <f>1-MIN(I389/8,1)</f>
        <v/>
      </c>
      <c r="P389" s="10">
        <f>ROUND(100*(J389*Assumptions!$B$6+K389*Assumptions!$B$7+L389*Assumptions!$B$8+M389*Assumptions!$B$9+N389*Assumptions!$B$10+O389*Assumptions!$B$11),1)</f>
        <v/>
      </c>
      <c r="Q389" s="2">
        <f>IF(P389&gt;=Assumptions!$B$14,"High",IF(P389&gt;=Assumptions!$B$15,"Medium","Low"))</f>
        <v/>
      </c>
      <c r="R389" s="2">
        <f>Cleaned_Data!L389</f>
        <v/>
      </c>
    </row>
    <row r="390">
      <c r="A390" s="2">
        <f>Cleaned_Data!A390</f>
        <v/>
      </c>
      <c r="B390" s="2">
        <f>Cleaned_Data!B390</f>
        <v/>
      </c>
      <c r="C390" s="2">
        <f>Cleaned_Data!G390</f>
        <v/>
      </c>
      <c r="D390" s="2">
        <f>Cleaned_Data!I390</f>
        <v/>
      </c>
      <c r="E390" s="2">
        <f>Cleaned_Data!H390</f>
        <v/>
      </c>
      <c r="F390" s="2">
        <f>Cleaned_Data!F390</f>
        <v/>
      </c>
      <c r="G390" s="9">
        <f>SUMPRODUCT(($B$2:$B$1196=B390)*($F$2:$F$1196&lt;=F390))/SUMPRODUCT(($B$2:$B$1196=B390)*1)</f>
        <v/>
      </c>
      <c r="H390" s="2">
        <f>Cleaned_Data!J390</f>
        <v/>
      </c>
      <c r="I390" s="2">
        <f>Cleaned_Data!E390</f>
        <v/>
      </c>
      <c r="J390" s="2">
        <f>IF(C390="Yes",1,0)</f>
        <v/>
      </c>
      <c r="K390" s="2">
        <f>MIN(MAX(1-(D390-1)/4,0),1)</f>
        <v/>
      </c>
      <c r="L390" s="2">
        <f>MIN(E390/60,1)</f>
        <v/>
      </c>
      <c r="M390" s="2">
        <f>MIN(MAX(1-G390,0),1)</f>
        <v/>
      </c>
      <c r="N390" s="2">
        <f>MIN(MAX(1-(H390-1)/4,0),1)</f>
        <v/>
      </c>
      <c r="O390" s="2">
        <f>1-MIN(I390/8,1)</f>
        <v/>
      </c>
      <c r="P390" s="10">
        <f>ROUND(100*(J390*Assumptions!$B$6+K390*Assumptions!$B$7+L390*Assumptions!$B$8+M390*Assumptions!$B$9+N390*Assumptions!$B$10+O390*Assumptions!$B$11),1)</f>
        <v/>
      </c>
      <c r="Q390" s="2">
        <f>IF(P390&gt;=Assumptions!$B$14,"High",IF(P390&gt;=Assumptions!$B$15,"Medium","Low"))</f>
        <v/>
      </c>
      <c r="R390" s="2">
        <f>Cleaned_Data!L390</f>
        <v/>
      </c>
    </row>
    <row r="391">
      <c r="A391" s="2">
        <f>Cleaned_Data!A391</f>
        <v/>
      </c>
      <c r="B391" s="2">
        <f>Cleaned_Data!B391</f>
        <v/>
      </c>
      <c r="C391" s="2">
        <f>Cleaned_Data!G391</f>
        <v/>
      </c>
      <c r="D391" s="2">
        <f>Cleaned_Data!I391</f>
        <v/>
      </c>
      <c r="E391" s="2">
        <f>Cleaned_Data!H391</f>
        <v/>
      </c>
      <c r="F391" s="2">
        <f>Cleaned_Data!F391</f>
        <v/>
      </c>
      <c r="G391" s="9">
        <f>SUMPRODUCT(($B$2:$B$1196=B391)*($F$2:$F$1196&lt;=F391))/SUMPRODUCT(($B$2:$B$1196=B391)*1)</f>
        <v/>
      </c>
      <c r="H391" s="2">
        <f>Cleaned_Data!J391</f>
        <v/>
      </c>
      <c r="I391" s="2">
        <f>Cleaned_Data!E391</f>
        <v/>
      </c>
      <c r="J391" s="2">
        <f>IF(C391="Yes",1,0)</f>
        <v/>
      </c>
      <c r="K391" s="2">
        <f>MIN(MAX(1-(D391-1)/4,0),1)</f>
        <v/>
      </c>
      <c r="L391" s="2">
        <f>MIN(E391/60,1)</f>
        <v/>
      </c>
      <c r="M391" s="2">
        <f>MIN(MAX(1-G391,0),1)</f>
        <v/>
      </c>
      <c r="N391" s="2">
        <f>MIN(MAX(1-(H391-1)/4,0),1)</f>
        <v/>
      </c>
      <c r="O391" s="2">
        <f>1-MIN(I391/8,1)</f>
        <v/>
      </c>
      <c r="P391" s="10">
        <f>ROUND(100*(J391*Assumptions!$B$6+K391*Assumptions!$B$7+L391*Assumptions!$B$8+M391*Assumptions!$B$9+N391*Assumptions!$B$10+O391*Assumptions!$B$11),1)</f>
        <v/>
      </c>
      <c r="Q391" s="2">
        <f>IF(P391&gt;=Assumptions!$B$14,"High",IF(P391&gt;=Assumptions!$B$15,"Medium","Low"))</f>
        <v/>
      </c>
      <c r="R391" s="2">
        <f>Cleaned_Data!L391</f>
        <v/>
      </c>
    </row>
    <row r="392">
      <c r="A392" s="2">
        <f>Cleaned_Data!A392</f>
        <v/>
      </c>
      <c r="B392" s="2">
        <f>Cleaned_Data!B392</f>
        <v/>
      </c>
      <c r="C392" s="2">
        <f>Cleaned_Data!G392</f>
        <v/>
      </c>
      <c r="D392" s="2">
        <f>Cleaned_Data!I392</f>
        <v/>
      </c>
      <c r="E392" s="2">
        <f>Cleaned_Data!H392</f>
        <v/>
      </c>
      <c r="F392" s="2">
        <f>Cleaned_Data!F392</f>
        <v/>
      </c>
      <c r="G392" s="9">
        <f>SUMPRODUCT(($B$2:$B$1196=B392)*($F$2:$F$1196&lt;=F392))/SUMPRODUCT(($B$2:$B$1196=B392)*1)</f>
        <v/>
      </c>
      <c r="H392" s="2">
        <f>Cleaned_Data!J392</f>
        <v/>
      </c>
      <c r="I392" s="2">
        <f>Cleaned_Data!E392</f>
        <v/>
      </c>
      <c r="J392" s="2">
        <f>IF(C392="Yes",1,0)</f>
        <v/>
      </c>
      <c r="K392" s="2">
        <f>MIN(MAX(1-(D392-1)/4,0),1)</f>
        <v/>
      </c>
      <c r="L392" s="2">
        <f>MIN(E392/60,1)</f>
        <v/>
      </c>
      <c r="M392" s="2">
        <f>MIN(MAX(1-G392,0),1)</f>
        <v/>
      </c>
      <c r="N392" s="2">
        <f>MIN(MAX(1-(H392-1)/4,0),1)</f>
        <v/>
      </c>
      <c r="O392" s="2">
        <f>1-MIN(I392/8,1)</f>
        <v/>
      </c>
      <c r="P392" s="10">
        <f>ROUND(100*(J392*Assumptions!$B$6+K392*Assumptions!$B$7+L392*Assumptions!$B$8+M392*Assumptions!$B$9+N392*Assumptions!$B$10+O392*Assumptions!$B$11),1)</f>
        <v/>
      </c>
      <c r="Q392" s="2">
        <f>IF(P392&gt;=Assumptions!$B$14,"High",IF(P392&gt;=Assumptions!$B$15,"Medium","Low"))</f>
        <v/>
      </c>
      <c r="R392" s="2">
        <f>Cleaned_Data!L392</f>
        <v/>
      </c>
    </row>
    <row r="393">
      <c r="A393" s="2">
        <f>Cleaned_Data!A393</f>
        <v/>
      </c>
      <c r="B393" s="2">
        <f>Cleaned_Data!B393</f>
        <v/>
      </c>
      <c r="C393" s="2">
        <f>Cleaned_Data!G393</f>
        <v/>
      </c>
      <c r="D393" s="2">
        <f>Cleaned_Data!I393</f>
        <v/>
      </c>
      <c r="E393" s="2">
        <f>Cleaned_Data!H393</f>
        <v/>
      </c>
      <c r="F393" s="2">
        <f>Cleaned_Data!F393</f>
        <v/>
      </c>
      <c r="G393" s="9">
        <f>SUMPRODUCT(($B$2:$B$1196=B393)*($F$2:$F$1196&lt;=F393))/SUMPRODUCT(($B$2:$B$1196=B393)*1)</f>
        <v/>
      </c>
      <c r="H393" s="2">
        <f>Cleaned_Data!J393</f>
        <v/>
      </c>
      <c r="I393" s="2">
        <f>Cleaned_Data!E393</f>
        <v/>
      </c>
      <c r="J393" s="2">
        <f>IF(C393="Yes",1,0)</f>
        <v/>
      </c>
      <c r="K393" s="2">
        <f>MIN(MAX(1-(D393-1)/4,0),1)</f>
        <v/>
      </c>
      <c r="L393" s="2">
        <f>MIN(E393/60,1)</f>
        <v/>
      </c>
      <c r="M393" s="2">
        <f>MIN(MAX(1-G393,0),1)</f>
        <v/>
      </c>
      <c r="N393" s="2">
        <f>MIN(MAX(1-(H393-1)/4,0),1)</f>
        <v/>
      </c>
      <c r="O393" s="2">
        <f>1-MIN(I393/8,1)</f>
        <v/>
      </c>
      <c r="P393" s="10">
        <f>ROUND(100*(J393*Assumptions!$B$6+K393*Assumptions!$B$7+L393*Assumptions!$B$8+M393*Assumptions!$B$9+N393*Assumptions!$B$10+O393*Assumptions!$B$11),1)</f>
        <v/>
      </c>
      <c r="Q393" s="2">
        <f>IF(P393&gt;=Assumptions!$B$14,"High",IF(P393&gt;=Assumptions!$B$15,"Medium","Low"))</f>
        <v/>
      </c>
      <c r="R393" s="2">
        <f>Cleaned_Data!L393</f>
        <v/>
      </c>
    </row>
    <row r="394">
      <c r="A394" s="2">
        <f>Cleaned_Data!A394</f>
        <v/>
      </c>
      <c r="B394" s="2">
        <f>Cleaned_Data!B394</f>
        <v/>
      </c>
      <c r="C394" s="2">
        <f>Cleaned_Data!G394</f>
        <v/>
      </c>
      <c r="D394" s="2">
        <f>Cleaned_Data!I394</f>
        <v/>
      </c>
      <c r="E394" s="2">
        <f>Cleaned_Data!H394</f>
        <v/>
      </c>
      <c r="F394" s="2">
        <f>Cleaned_Data!F394</f>
        <v/>
      </c>
      <c r="G394" s="9">
        <f>SUMPRODUCT(($B$2:$B$1196=B394)*($F$2:$F$1196&lt;=F394))/SUMPRODUCT(($B$2:$B$1196=B394)*1)</f>
        <v/>
      </c>
      <c r="H394" s="2">
        <f>Cleaned_Data!J394</f>
        <v/>
      </c>
      <c r="I394" s="2">
        <f>Cleaned_Data!E394</f>
        <v/>
      </c>
      <c r="J394" s="2">
        <f>IF(C394="Yes",1,0)</f>
        <v/>
      </c>
      <c r="K394" s="2">
        <f>MIN(MAX(1-(D394-1)/4,0),1)</f>
        <v/>
      </c>
      <c r="L394" s="2">
        <f>MIN(E394/60,1)</f>
        <v/>
      </c>
      <c r="M394" s="2">
        <f>MIN(MAX(1-G394,0),1)</f>
        <v/>
      </c>
      <c r="N394" s="2">
        <f>MIN(MAX(1-(H394-1)/4,0),1)</f>
        <v/>
      </c>
      <c r="O394" s="2">
        <f>1-MIN(I394/8,1)</f>
        <v/>
      </c>
      <c r="P394" s="10">
        <f>ROUND(100*(J394*Assumptions!$B$6+K394*Assumptions!$B$7+L394*Assumptions!$B$8+M394*Assumptions!$B$9+N394*Assumptions!$B$10+O394*Assumptions!$B$11),1)</f>
        <v/>
      </c>
      <c r="Q394" s="2">
        <f>IF(P394&gt;=Assumptions!$B$14,"High",IF(P394&gt;=Assumptions!$B$15,"Medium","Low"))</f>
        <v/>
      </c>
      <c r="R394" s="2">
        <f>Cleaned_Data!L394</f>
        <v/>
      </c>
    </row>
    <row r="395">
      <c r="A395" s="2">
        <f>Cleaned_Data!A395</f>
        <v/>
      </c>
      <c r="B395" s="2">
        <f>Cleaned_Data!B395</f>
        <v/>
      </c>
      <c r="C395" s="2">
        <f>Cleaned_Data!G395</f>
        <v/>
      </c>
      <c r="D395" s="2">
        <f>Cleaned_Data!I395</f>
        <v/>
      </c>
      <c r="E395" s="2">
        <f>Cleaned_Data!H395</f>
        <v/>
      </c>
      <c r="F395" s="2">
        <f>Cleaned_Data!F395</f>
        <v/>
      </c>
      <c r="G395" s="9">
        <f>SUMPRODUCT(($B$2:$B$1196=B395)*($F$2:$F$1196&lt;=F395))/SUMPRODUCT(($B$2:$B$1196=B395)*1)</f>
        <v/>
      </c>
      <c r="H395" s="2">
        <f>Cleaned_Data!J395</f>
        <v/>
      </c>
      <c r="I395" s="2">
        <f>Cleaned_Data!E395</f>
        <v/>
      </c>
      <c r="J395" s="2">
        <f>IF(C395="Yes",1,0)</f>
        <v/>
      </c>
      <c r="K395" s="2">
        <f>MIN(MAX(1-(D395-1)/4,0),1)</f>
        <v/>
      </c>
      <c r="L395" s="2">
        <f>MIN(E395/60,1)</f>
        <v/>
      </c>
      <c r="M395" s="2">
        <f>MIN(MAX(1-G395,0),1)</f>
        <v/>
      </c>
      <c r="N395" s="2">
        <f>MIN(MAX(1-(H395-1)/4,0),1)</f>
        <v/>
      </c>
      <c r="O395" s="2">
        <f>1-MIN(I395/8,1)</f>
        <v/>
      </c>
      <c r="P395" s="10">
        <f>ROUND(100*(J395*Assumptions!$B$6+K395*Assumptions!$B$7+L395*Assumptions!$B$8+M395*Assumptions!$B$9+N395*Assumptions!$B$10+O395*Assumptions!$B$11),1)</f>
        <v/>
      </c>
      <c r="Q395" s="2">
        <f>IF(P395&gt;=Assumptions!$B$14,"High",IF(P395&gt;=Assumptions!$B$15,"Medium","Low"))</f>
        <v/>
      </c>
      <c r="R395" s="2">
        <f>Cleaned_Data!L395</f>
        <v/>
      </c>
    </row>
    <row r="396">
      <c r="A396" s="2">
        <f>Cleaned_Data!A396</f>
        <v/>
      </c>
      <c r="B396" s="2">
        <f>Cleaned_Data!B396</f>
        <v/>
      </c>
      <c r="C396" s="2">
        <f>Cleaned_Data!G396</f>
        <v/>
      </c>
      <c r="D396" s="2">
        <f>Cleaned_Data!I396</f>
        <v/>
      </c>
      <c r="E396" s="2">
        <f>Cleaned_Data!H396</f>
        <v/>
      </c>
      <c r="F396" s="2">
        <f>Cleaned_Data!F396</f>
        <v/>
      </c>
      <c r="G396" s="9">
        <f>SUMPRODUCT(($B$2:$B$1196=B396)*($F$2:$F$1196&lt;=F396))/SUMPRODUCT(($B$2:$B$1196=B396)*1)</f>
        <v/>
      </c>
      <c r="H396" s="2">
        <f>Cleaned_Data!J396</f>
        <v/>
      </c>
      <c r="I396" s="2">
        <f>Cleaned_Data!E396</f>
        <v/>
      </c>
      <c r="J396" s="2">
        <f>IF(C396="Yes",1,0)</f>
        <v/>
      </c>
      <c r="K396" s="2">
        <f>MIN(MAX(1-(D396-1)/4,0),1)</f>
        <v/>
      </c>
      <c r="L396" s="2">
        <f>MIN(E396/60,1)</f>
        <v/>
      </c>
      <c r="M396" s="2">
        <f>MIN(MAX(1-G396,0),1)</f>
        <v/>
      </c>
      <c r="N396" s="2">
        <f>MIN(MAX(1-(H396-1)/4,0),1)</f>
        <v/>
      </c>
      <c r="O396" s="2">
        <f>1-MIN(I396/8,1)</f>
        <v/>
      </c>
      <c r="P396" s="10">
        <f>ROUND(100*(J396*Assumptions!$B$6+K396*Assumptions!$B$7+L396*Assumptions!$B$8+M396*Assumptions!$B$9+N396*Assumptions!$B$10+O396*Assumptions!$B$11),1)</f>
        <v/>
      </c>
      <c r="Q396" s="2">
        <f>IF(P396&gt;=Assumptions!$B$14,"High",IF(P396&gt;=Assumptions!$B$15,"Medium","Low"))</f>
        <v/>
      </c>
      <c r="R396" s="2">
        <f>Cleaned_Data!L396</f>
        <v/>
      </c>
    </row>
    <row r="397">
      <c r="A397" s="2">
        <f>Cleaned_Data!A397</f>
        <v/>
      </c>
      <c r="B397" s="2">
        <f>Cleaned_Data!B397</f>
        <v/>
      </c>
      <c r="C397" s="2">
        <f>Cleaned_Data!G397</f>
        <v/>
      </c>
      <c r="D397" s="2">
        <f>Cleaned_Data!I397</f>
        <v/>
      </c>
      <c r="E397" s="2">
        <f>Cleaned_Data!H397</f>
        <v/>
      </c>
      <c r="F397" s="2">
        <f>Cleaned_Data!F397</f>
        <v/>
      </c>
      <c r="G397" s="9">
        <f>SUMPRODUCT(($B$2:$B$1196=B397)*($F$2:$F$1196&lt;=F397))/SUMPRODUCT(($B$2:$B$1196=B397)*1)</f>
        <v/>
      </c>
      <c r="H397" s="2">
        <f>Cleaned_Data!J397</f>
        <v/>
      </c>
      <c r="I397" s="2">
        <f>Cleaned_Data!E397</f>
        <v/>
      </c>
      <c r="J397" s="2">
        <f>IF(C397="Yes",1,0)</f>
        <v/>
      </c>
      <c r="K397" s="2">
        <f>MIN(MAX(1-(D397-1)/4,0),1)</f>
        <v/>
      </c>
      <c r="L397" s="2">
        <f>MIN(E397/60,1)</f>
        <v/>
      </c>
      <c r="M397" s="2">
        <f>MIN(MAX(1-G397,0),1)</f>
        <v/>
      </c>
      <c r="N397" s="2">
        <f>MIN(MAX(1-(H397-1)/4,0),1)</f>
        <v/>
      </c>
      <c r="O397" s="2">
        <f>1-MIN(I397/8,1)</f>
        <v/>
      </c>
      <c r="P397" s="10">
        <f>ROUND(100*(J397*Assumptions!$B$6+K397*Assumptions!$B$7+L397*Assumptions!$B$8+M397*Assumptions!$B$9+N397*Assumptions!$B$10+O397*Assumptions!$B$11),1)</f>
        <v/>
      </c>
      <c r="Q397" s="2">
        <f>IF(P397&gt;=Assumptions!$B$14,"High",IF(P397&gt;=Assumptions!$B$15,"Medium","Low"))</f>
        <v/>
      </c>
      <c r="R397" s="2">
        <f>Cleaned_Data!L397</f>
        <v/>
      </c>
    </row>
    <row r="398">
      <c r="A398" s="2">
        <f>Cleaned_Data!A398</f>
        <v/>
      </c>
      <c r="B398" s="2">
        <f>Cleaned_Data!B398</f>
        <v/>
      </c>
      <c r="C398" s="2">
        <f>Cleaned_Data!G398</f>
        <v/>
      </c>
      <c r="D398" s="2">
        <f>Cleaned_Data!I398</f>
        <v/>
      </c>
      <c r="E398" s="2">
        <f>Cleaned_Data!H398</f>
        <v/>
      </c>
      <c r="F398" s="2">
        <f>Cleaned_Data!F398</f>
        <v/>
      </c>
      <c r="G398" s="9">
        <f>SUMPRODUCT(($B$2:$B$1196=B398)*($F$2:$F$1196&lt;=F398))/SUMPRODUCT(($B$2:$B$1196=B398)*1)</f>
        <v/>
      </c>
      <c r="H398" s="2">
        <f>Cleaned_Data!J398</f>
        <v/>
      </c>
      <c r="I398" s="2">
        <f>Cleaned_Data!E398</f>
        <v/>
      </c>
      <c r="J398" s="2">
        <f>IF(C398="Yes",1,0)</f>
        <v/>
      </c>
      <c r="K398" s="2">
        <f>MIN(MAX(1-(D398-1)/4,0),1)</f>
        <v/>
      </c>
      <c r="L398" s="2">
        <f>MIN(E398/60,1)</f>
        <v/>
      </c>
      <c r="M398" s="2">
        <f>MIN(MAX(1-G398,0),1)</f>
        <v/>
      </c>
      <c r="N398" s="2">
        <f>MIN(MAX(1-(H398-1)/4,0),1)</f>
        <v/>
      </c>
      <c r="O398" s="2">
        <f>1-MIN(I398/8,1)</f>
        <v/>
      </c>
      <c r="P398" s="10">
        <f>ROUND(100*(J398*Assumptions!$B$6+K398*Assumptions!$B$7+L398*Assumptions!$B$8+M398*Assumptions!$B$9+N398*Assumptions!$B$10+O398*Assumptions!$B$11),1)</f>
        <v/>
      </c>
      <c r="Q398" s="2">
        <f>IF(P398&gt;=Assumptions!$B$14,"High",IF(P398&gt;=Assumptions!$B$15,"Medium","Low"))</f>
        <v/>
      </c>
      <c r="R398" s="2">
        <f>Cleaned_Data!L398</f>
        <v/>
      </c>
    </row>
    <row r="399">
      <c r="A399" s="2">
        <f>Cleaned_Data!A399</f>
        <v/>
      </c>
      <c r="B399" s="2">
        <f>Cleaned_Data!B399</f>
        <v/>
      </c>
      <c r="C399" s="2">
        <f>Cleaned_Data!G399</f>
        <v/>
      </c>
      <c r="D399" s="2">
        <f>Cleaned_Data!I399</f>
        <v/>
      </c>
      <c r="E399" s="2">
        <f>Cleaned_Data!H399</f>
        <v/>
      </c>
      <c r="F399" s="2">
        <f>Cleaned_Data!F399</f>
        <v/>
      </c>
      <c r="G399" s="9">
        <f>SUMPRODUCT(($B$2:$B$1196=B399)*($F$2:$F$1196&lt;=F399))/SUMPRODUCT(($B$2:$B$1196=B399)*1)</f>
        <v/>
      </c>
      <c r="H399" s="2">
        <f>Cleaned_Data!J399</f>
        <v/>
      </c>
      <c r="I399" s="2">
        <f>Cleaned_Data!E399</f>
        <v/>
      </c>
      <c r="J399" s="2">
        <f>IF(C399="Yes",1,0)</f>
        <v/>
      </c>
      <c r="K399" s="2">
        <f>MIN(MAX(1-(D399-1)/4,0),1)</f>
        <v/>
      </c>
      <c r="L399" s="2">
        <f>MIN(E399/60,1)</f>
        <v/>
      </c>
      <c r="M399" s="2">
        <f>MIN(MAX(1-G399,0),1)</f>
        <v/>
      </c>
      <c r="N399" s="2">
        <f>MIN(MAX(1-(H399-1)/4,0),1)</f>
        <v/>
      </c>
      <c r="O399" s="2">
        <f>1-MIN(I399/8,1)</f>
        <v/>
      </c>
      <c r="P399" s="10">
        <f>ROUND(100*(J399*Assumptions!$B$6+K399*Assumptions!$B$7+L399*Assumptions!$B$8+M399*Assumptions!$B$9+N399*Assumptions!$B$10+O399*Assumptions!$B$11),1)</f>
        <v/>
      </c>
      <c r="Q399" s="2">
        <f>IF(P399&gt;=Assumptions!$B$14,"High",IF(P399&gt;=Assumptions!$B$15,"Medium","Low"))</f>
        <v/>
      </c>
      <c r="R399" s="2">
        <f>Cleaned_Data!L399</f>
        <v/>
      </c>
    </row>
    <row r="400">
      <c r="A400" s="2">
        <f>Cleaned_Data!A400</f>
        <v/>
      </c>
      <c r="B400" s="2">
        <f>Cleaned_Data!B400</f>
        <v/>
      </c>
      <c r="C400" s="2">
        <f>Cleaned_Data!G400</f>
        <v/>
      </c>
      <c r="D400" s="2">
        <f>Cleaned_Data!I400</f>
        <v/>
      </c>
      <c r="E400" s="2">
        <f>Cleaned_Data!H400</f>
        <v/>
      </c>
      <c r="F400" s="2">
        <f>Cleaned_Data!F400</f>
        <v/>
      </c>
      <c r="G400" s="9">
        <f>SUMPRODUCT(($B$2:$B$1196=B400)*($F$2:$F$1196&lt;=F400))/SUMPRODUCT(($B$2:$B$1196=B400)*1)</f>
        <v/>
      </c>
      <c r="H400" s="2">
        <f>Cleaned_Data!J400</f>
        <v/>
      </c>
      <c r="I400" s="2">
        <f>Cleaned_Data!E400</f>
        <v/>
      </c>
      <c r="J400" s="2">
        <f>IF(C400="Yes",1,0)</f>
        <v/>
      </c>
      <c r="K400" s="2">
        <f>MIN(MAX(1-(D400-1)/4,0),1)</f>
        <v/>
      </c>
      <c r="L400" s="2">
        <f>MIN(E400/60,1)</f>
        <v/>
      </c>
      <c r="M400" s="2">
        <f>MIN(MAX(1-G400,0),1)</f>
        <v/>
      </c>
      <c r="N400" s="2">
        <f>MIN(MAX(1-(H400-1)/4,0),1)</f>
        <v/>
      </c>
      <c r="O400" s="2">
        <f>1-MIN(I400/8,1)</f>
        <v/>
      </c>
      <c r="P400" s="10">
        <f>ROUND(100*(J400*Assumptions!$B$6+K400*Assumptions!$B$7+L400*Assumptions!$B$8+M400*Assumptions!$B$9+N400*Assumptions!$B$10+O400*Assumptions!$B$11),1)</f>
        <v/>
      </c>
      <c r="Q400" s="2">
        <f>IF(P400&gt;=Assumptions!$B$14,"High",IF(P400&gt;=Assumptions!$B$15,"Medium","Low"))</f>
        <v/>
      </c>
      <c r="R400" s="2">
        <f>Cleaned_Data!L400</f>
        <v/>
      </c>
    </row>
    <row r="401">
      <c r="A401" s="2">
        <f>Cleaned_Data!A401</f>
        <v/>
      </c>
      <c r="B401" s="2">
        <f>Cleaned_Data!B401</f>
        <v/>
      </c>
      <c r="C401" s="2">
        <f>Cleaned_Data!G401</f>
        <v/>
      </c>
      <c r="D401" s="2">
        <f>Cleaned_Data!I401</f>
        <v/>
      </c>
      <c r="E401" s="2">
        <f>Cleaned_Data!H401</f>
        <v/>
      </c>
      <c r="F401" s="2">
        <f>Cleaned_Data!F401</f>
        <v/>
      </c>
      <c r="G401" s="9">
        <f>SUMPRODUCT(($B$2:$B$1196=B401)*($F$2:$F$1196&lt;=F401))/SUMPRODUCT(($B$2:$B$1196=B401)*1)</f>
        <v/>
      </c>
      <c r="H401" s="2">
        <f>Cleaned_Data!J401</f>
        <v/>
      </c>
      <c r="I401" s="2">
        <f>Cleaned_Data!E401</f>
        <v/>
      </c>
      <c r="J401" s="2">
        <f>IF(C401="Yes",1,0)</f>
        <v/>
      </c>
      <c r="K401" s="2">
        <f>MIN(MAX(1-(D401-1)/4,0),1)</f>
        <v/>
      </c>
      <c r="L401" s="2">
        <f>MIN(E401/60,1)</f>
        <v/>
      </c>
      <c r="M401" s="2">
        <f>MIN(MAX(1-G401,0),1)</f>
        <v/>
      </c>
      <c r="N401" s="2">
        <f>MIN(MAX(1-(H401-1)/4,0),1)</f>
        <v/>
      </c>
      <c r="O401" s="2">
        <f>1-MIN(I401/8,1)</f>
        <v/>
      </c>
      <c r="P401" s="10">
        <f>ROUND(100*(J401*Assumptions!$B$6+K401*Assumptions!$B$7+L401*Assumptions!$B$8+M401*Assumptions!$B$9+N401*Assumptions!$B$10+O401*Assumptions!$B$11),1)</f>
        <v/>
      </c>
      <c r="Q401" s="2">
        <f>IF(P401&gt;=Assumptions!$B$14,"High",IF(P401&gt;=Assumptions!$B$15,"Medium","Low"))</f>
        <v/>
      </c>
      <c r="R401" s="2">
        <f>Cleaned_Data!L401</f>
        <v/>
      </c>
    </row>
    <row r="402">
      <c r="A402" s="2">
        <f>Cleaned_Data!A402</f>
        <v/>
      </c>
      <c r="B402" s="2">
        <f>Cleaned_Data!B402</f>
        <v/>
      </c>
      <c r="C402" s="2">
        <f>Cleaned_Data!G402</f>
        <v/>
      </c>
      <c r="D402" s="2">
        <f>Cleaned_Data!I402</f>
        <v/>
      </c>
      <c r="E402" s="2">
        <f>Cleaned_Data!H402</f>
        <v/>
      </c>
      <c r="F402" s="2">
        <f>Cleaned_Data!F402</f>
        <v/>
      </c>
      <c r="G402" s="9">
        <f>SUMPRODUCT(($B$2:$B$1196=B402)*($F$2:$F$1196&lt;=F402))/SUMPRODUCT(($B$2:$B$1196=B402)*1)</f>
        <v/>
      </c>
      <c r="H402" s="2">
        <f>Cleaned_Data!J402</f>
        <v/>
      </c>
      <c r="I402" s="2">
        <f>Cleaned_Data!E402</f>
        <v/>
      </c>
      <c r="J402" s="2">
        <f>IF(C402="Yes",1,0)</f>
        <v/>
      </c>
      <c r="K402" s="2">
        <f>MIN(MAX(1-(D402-1)/4,0),1)</f>
        <v/>
      </c>
      <c r="L402" s="2">
        <f>MIN(E402/60,1)</f>
        <v/>
      </c>
      <c r="M402" s="2">
        <f>MIN(MAX(1-G402,0),1)</f>
        <v/>
      </c>
      <c r="N402" s="2">
        <f>MIN(MAX(1-(H402-1)/4,0),1)</f>
        <v/>
      </c>
      <c r="O402" s="2">
        <f>1-MIN(I402/8,1)</f>
        <v/>
      </c>
      <c r="P402" s="10">
        <f>ROUND(100*(J402*Assumptions!$B$6+K402*Assumptions!$B$7+L402*Assumptions!$B$8+M402*Assumptions!$B$9+N402*Assumptions!$B$10+O402*Assumptions!$B$11),1)</f>
        <v/>
      </c>
      <c r="Q402" s="2">
        <f>IF(P402&gt;=Assumptions!$B$14,"High",IF(P402&gt;=Assumptions!$B$15,"Medium","Low"))</f>
        <v/>
      </c>
      <c r="R402" s="2">
        <f>Cleaned_Data!L402</f>
        <v/>
      </c>
    </row>
    <row r="403">
      <c r="A403" s="2">
        <f>Cleaned_Data!A403</f>
        <v/>
      </c>
      <c r="B403" s="2">
        <f>Cleaned_Data!B403</f>
        <v/>
      </c>
      <c r="C403" s="2">
        <f>Cleaned_Data!G403</f>
        <v/>
      </c>
      <c r="D403" s="2">
        <f>Cleaned_Data!I403</f>
        <v/>
      </c>
      <c r="E403" s="2">
        <f>Cleaned_Data!H403</f>
        <v/>
      </c>
      <c r="F403" s="2">
        <f>Cleaned_Data!F403</f>
        <v/>
      </c>
      <c r="G403" s="9">
        <f>SUMPRODUCT(($B$2:$B$1196=B403)*($F$2:$F$1196&lt;=F403))/SUMPRODUCT(($B$2:$B$1196=B403)*1)</f>
        <v/>
      </c>
      <c r="H403" s="2">
        <f>Cleaned_Data!J403</f>
        <v/>
      </c>
      <c r="I403" s="2">
        <f>Cleaned_Data!E403</f>
        <v/>
      </c>
      <c r="J403" s="2">
        <f>IF(C403="Yes",1,0)</f>
        <v/>
      </c>
      <c r="K403" s="2">
        <f>MIN(MAX(1-(D403-1)/4,0),1)</f>
        <v/>
      </c>
      <c r="L403" s="2">
        <f>MIN(E403/60,1)</f>
        <v/>
      </c>
      <c r="M403" s="2">
        <f>MIN(MAX(1-G403,0),1)</f>
        <v/>
      </c>
      <c r="N403" s="2">
        <f>MIN(MAX(1-(H403-1)/4,0),1)</f>
        <v/>
      </c>
      <c r="O403" s="2">
        <f>1-MIN(I403/8,1)</f>
        <v/>
      </c>
      <c r="P403" s="10">
        <f>ROUND(100*(J403*Assumptions!$B$6+K403*Assumptions!$B$7+L403*Assumptions!$B$8+M403*Assumptions!$B$9+N403*Assumptions!$B$10+O403*Assumptions!$B$11),1)</f>
        <v/>
      </c>
      <c r="Q403" s="2">
        <f>IF(P403&gt;=Assumptions!$B$14,"High",IF(P403&gt;=Assumptions!$B$15,"Medium","Low"))</f>
        <v/>
      </c>
      <c r="R403" s="2">
        <f>Cleaned_Data!L403</f>
        <v/>
      </c>
    </row>
    <row r="404">
      <c r="A404" s="2">
        <f>Cleaned_Data!A404</f>
        <v/>
      </c>
      <c r="B404" s="2">
        <f>Cleaned_Data!B404</f>
        <v/>
      </c>
      <c r="C404" s="2">
        <f>Cleaned_Data!G404</f>
        <v/>
      </c>
      <c r="D404" s="2">
        <f>Cleaned_Data!I404</f>
        <v/>
      </c>
      <c r="E404" s="2">
        <f>Cleaned_Data!H404</f>
        <v/>
      </c>
      <c r="F404" s="2">
        <f>Cleaned_Data!F404</f>
        <v/>
      </c>
      <c r="G404" s="9">
        <f>SUMPRODUCT(($B$2:$B$1196=B404)*($F$2:$F$1196&lt;=F404))/SUMPRODUCT(($B$2:$B$1196=B404)*1)</f>
        <v/>
      </c>
      <c r="H404" s="2">
        <f>Cleaned_Data!J404</f>
        <v/>
      </c>
      <c r="I404" s="2">
        <f>Cleaned_Data!E404</f>
        <v/>
      </c>
      <c r="J404" s="2">
        <f>IF(C404="Yes",1,0)</f>
        <v/>
      </c>
      <c r="K404" s="2">
        <f>MIN(MAX(1-(D404-1)/4,0),1)</f>
        <v/>
      </c>
      <c r="L404" s="2">
        <f>MIN(E404/60,1)</f>
        <v/>
      </c>
      <c r="M404" s="2">
        <f>MIN(MAX(1-G404,0),1)</f>
        <v/>
      </c>
      <c r="N404" s="2">
        <f>MIN(MAX(1-(H404-1)/4,0),1)</f>
        <v/>
      </c>
      <c r="O404" s="2">
        <f>1-MIN(I404/8,1)</f>
        <v/>
      </c>
      <c r="P404" s="10">
        <f>ROUND(100*(J404*Assumptions!$B$6+K404*Assumptions!$B$7+L404*Assumptions!$B$8+M404*Assumptions!$B$9+N404*Assumptions!$B$10+O404*Assumptions!$B$11),1)</f>
        <v/>
      </c>
      <c r="Q404" s="2">
        <f>IF(P404&gt;=Assumptions!$B$14,"High",IF(P404&gt;=Assumptions!$B$15,"Medium","Low"))</f>
        <v/>
      </c>
      <c r="R404" s="2">
        <f>Cleaned_Data!L404</f>
        <v/>
      </c>
    </row>
    <row r="405">
      <c r="A405" s="2">
        <f>Cleaned_Data!A405</f>
        <v/>
      </c>
      <c r="B405" s="2">
        <f>Cleaned_Data!B405</f>
        <v/>
      </c>
      <c r="C405" s="2">
        <f>Cleaned_Data!G405</f>
        <v/>
      </c>
      <c r="D405" s="2">
        <f>Cleaned_Data!I405</f>
        <v/>
      </c>
      <c r="E405" s="2">
        <f>Cleaned_Data!H405</f>
        <v/>
      </c>
      <c r="F405" s="2">
        <f>Cleaned_Data!F405</f>
        <v/>
      </c>
      <c r="G405" s="9">
        <f>SUMPRODUCT(($B$2:$B$1196=B405)*($F$2:$F$1196&lt;=F405))/SUMPRODUCT(($B$2:$B$1196=B405)*1)</f>
        <v/>
      </c>
      <c r="H405" s="2">
        <f>Cleaned_Data!J405</f>
        <v/>
      </c>
      <c r="I405" s="2">
        <f>Cleaned_Data!E405</f>
        <v/>
      </c>
      <c r="J405" s="2">
        <f>IF(C405="Yes",1,0)</f>
        <v/>
      </c>
      <c r="K405" s="2">
        <f>MIN(MAX(1-(D405-1)/4,0),1)</f>
        <v/>
      </c>
      <c r="L405" s="2">
        <f>MIN(E405/60,1)</f>
        <v/>
      </c>
      <c r="M405" s="2">
        <f>MIN(MAX(1-G405,0),1)</f>
        <v/>
      </c>
      <c r="N405" s="2">
        <f>MIN(MAX(1-(H405-1)/4,0),1)</f>
        <v/>
      </c>
      <c r="O405" s="2">
        <f>1-MIN(I405/8,1)</f>
        <v/>
      </c>
      <c r="P405" s="10">
        <f>ROUND(100*(J405*Assumptions!$B$6+K405*Assumptions!$B$7+L405*Assumptions!$B$8+M405*Assumptions!$B$9+N405*Assumptions!$B$10+O405*Assumptions!$B$11),1)</f>
        <v/>
      </c>
      <c r="Q405" s="2">
        <f>IF(P405&gt;=Assumptions!$B$14,"High",IF(P405&gt;=Assumptions!$B$15,"Medium","Low"))</f>
        <v/>
      </c>
      <c r="R405" s="2">
        <f>Cleaned_Data!L405</f>
        <v/>
      </c>
    </row>
    <row r="406">
      <c r="A406" s="2">
        <f>Cleaned_Data!A406</f>
        <v/>
      </c>
      <c r="B406" s="2">
        <f>Cleaned_Data!B406</f>
        <v/>
      </c>
      <c r="C406" s="2">
        <f>Cleaned_Data!G406</f>
        <v/>
      </c>
      <c r="D406" s="2">
        <f>Cleaned_Data!I406</f>
        <v/>
      </c>
      <c r="E406" s="2">
        <f>Cleaned_Data!H406</f>
        <v/>
      </c>
      <c r="F406" s="2">
        <f>Cleaned_Data!F406</f>
        <v/>
      </c>
      <c r="G406" s="9">
        <f>SUMPRODUCT(($B$2:$B$1196=B406)*($F$2:$F$1196&lt;=F406))/SUMPRODUCT(($B$2:$B$1196=B406)*1)</f>
        <v/>
      </c>
      <c r="H406" s="2">
        <f>Cleaned_Data!J406</f>
        <v/>
      </c>
      <c r="I406" s="2">
        <f>Cleaned_Data!E406</f>
        <v/>
      </c>
      <c r="J406" s="2">
        <f>IF(C406="Yes",1,0)</f>
        <v/>
      </c>
      <c r="K406" s="2">
        <f>MIN(MAX(1-(D406-1)/4,0),1)</f>
        <v/>
      </c>
      <c r="L406" s="2">
        <f>MIN(E406/60,1)</f>
        <v/>
      </c>
      <c r="M406" s="2">
        <f>MIN(MAX(1-G406,0),1)</f>
        <v/>
      </c>
      <c r="N406" s="2">
        <f>MIN(MAX(1-(H406-1)/4,0),1)</f>
        <v/>
      </c>
      <c r="O406" s="2">
        <f>1-MIN(I406/8,1)</f>
        <v/>
      </c>
      <c r="P406" s="10">
        <f>ROUND(100*(J406*Assumptions!$B$6+K406*Assumptions!$B$7+L406*Assumptions!$B$8+M406*Assumptions!$B$9+N406*Assumptions!$B$10+O406*Assumptions!$B$11),1)</f>
        <v/>
      </c>
      <c r="Q406" s="2">
        <f>IF(P406&gt;=Assumptions!$B$14,"High",IF(P406&gt;=Assumptions!$B$15,"Medium","Low"))</f>
        <v/>
      </c>
      <c r="R406" s="2">
        <f>Cleaned_Data!L406</f>
        <v/>
      </c>
    </row>
    <row r="407">
      <c r="A407" s="2">
        <f>Cleaned_Data!A407</f>
        <v/>
      </c>
      <c r="B407" s="2">
        <f>Cleaned_Data!B407</f>
        <v/>
      </c>
      <c r="C407" s="2">
        <f>Cleaned_Data!G407</f>
        <v/>
      </c>
      <c r="D407" s="2">
        <f>Cleaned_Data!I407</f>
        <v/>
      </c>
      <c r="E407" s="2">
        <f>Cleaned_Data!H407</f>
        <v/>
      </c>
      <c r="F407" s="2">
        <f>Cleaned_Data!F407</f>
        <v/>
      </c>
      <c r="G407" s="9">
        <f>SUMPRODUCT(($B$2:$B$1196=B407)*($F$2:$F$1196&lt;=F407))/SUMPRODUCT(($B$2:$B$1196=B407)*1)</f>
        <v/>
      </c>
      <c r="H407" s="2">
        <f>Cleaned_Data!J407</f>
        <v/>
      </c>
      <c r="I407" s="2">
        <f>Cleaned_Data!E407</f>
        <v/>
      </c>
      <c r="J407" s="2">
        <f>IF(C407="Yes",1,0)</f>
        <v/>
      </c>
      <c r="K407" s="2">
        <f>MIN(MAX(1-(D407-1)/4,0),1)</f>
        <v/>
      </c>
      <c r="L407" s="2">
        <f>MIN(E407/60,1)</f>
        <v/>
      </c>
      <c r="M407" s="2">
        <f>MIN(MAX(1-G407,0),1)</f>
        <v/>
      </c>
      <c r="N407" s="2">
        <f>MIN(MAX(1-(H407-1)/4,0),1)</f>
        <v/>
      </c>
      <c r="O407" s="2">
        <f>1-MIN(I407/8,1)</f>
        <v/>
      </c>
      <c r="P407" s="10">
        <f>ROUND(100*(J407*Assumptions!$B$6+K407*Assumptions!$B$7+L407*Assumptions!$B$8+M407*Assumptions!$B$9+N407*Assumptions!$B$10+O407*Assumptions!$B$11),1)</f>
        <v/>
      </c>
      <c r="Q407" s="2">
        <f>IF(P407&gt;=Assumptions!$B$14,"High",IF(P407&gt;=Assumptions!$B$15,"Medium","Low"))</f>
        <v/>
      </c>
      <c r="R407" s="2">
        <f>Cleaned_Data!L407</f>
        <v/>
      </c>
    </row>
    <row r="408">
      <c r="A408" s="2">
        <f>Cleaned_Data!A408</f>
        <v/>
      </c>
      <c r="B408" s="2">
        <f>Cleaned_Data!B408</f>
        <v/>
      </c>
      <c r="C408" s="2">
        <f>Cleaned_Data!G408</f>
        <v/>
      </c>
      <c r="D408" s="2">
        <f>Cleaned_Data!I408</f>
        <v/>
      </c>
      <c r="E408" s="2">
        <f>Cleaned_Data!H408</f>
        <v/>
      </c>
      <c r="F408" s="2">
        <f>Cleaned_Data!F408</f>
        <v/>
      </c>
      <c r="G408" s="9">
        <f>SUMPRODUCT(($B$2:$B$1196=B408)*($F$2:$F$1196&lt;=F408))/SUMPRODUCT(($B$2:$B$1196=B408)*1)</f>
        <v/>
      </c>
      <c r="H408" s="2">
        <f>Cleaned_Data!J408</f>
        <v/>
      </c>
      <c r="I408" s="2">
        <f>Cleaned_Data!E408</f>
        <v/>
      </c>
      <c r="J408" s="2">
        <f>IF(C408="Yes",1,0)</f>
        <v/>
      </c>
      <c r="K408" s="2">
        <f>MIN(MAX(1-(D408-1)/4,0),1)</f>
        <v/>
      </c>
      <c r="L408" s="2">
        <f>MIN(E408/60,1)</f>
        <v/>
      </c>
      <c r="M408" s="2">
        <f>MIN(MAX(1-G408,0),1)</f>
        <v/>
      </c>
      <c r="N408" s="2">
        <f>MIN(MAX(1-(H408-1)/4,0),1)</f>
        <v/>
      </c>
      <c r="O408" s="2">
        <f>1-MIN(I408/8,1)</f>
        <v/>
      </c>
      <c r="P408" s="10">
        <f>ROUND(100*(J408*Assumptions!$B$6+K408*Assumptions!$B$7+L408*Assumptions!$B$8+M408*Assumptions!$B$9+N408*Assumptions!$B$10+O408*Assumptions!$B$11),1)</f>
        <v/>
      </c>
      <c r="Q408" s="2">
        <f>IF(P408&gt;=Assumptions!$B$14,"High",IF(P408&gt;=Assumptions!$B$15,"Medium","Low"))</f>
        <v/>
      </c>
      <c r="R408" s="2">
        <f>Cleaned_Data!L408</f>
        <v/>
      </c>
    </row>
    <row r="409">
      <c r="A409" s="2">
        <f>Cleaned_Data!A409</f>
        <v/>
      </c>
      <c r="B409" s="2">
        <f>Cleaned_Data!B409</f>
        <v/>
      </c>
      <c r="C409" s="2">
        <f>Cleaned_Data!G409</f>
        <v/>
      </c>
      <c r="D409" s="2">
        <f>Cleaned_Data!I409</f>
        <v/>
      </c>
      <c r="E409" s="2">
        <f>Cleaned_Data!H409</f>
        <v/>
      </c>
      <c r="F409" s="2">
        <f>Cleaned_Data!F409</f>
        <v/>
      </c>
      <c r="G409" s="9">
        <f>SUMPRODUCT(($B$2:$B$1196=B409)*($F$2:$F$1196&lt;=F409))/SUMPRODUCT(($B$2:$B$1196=B409)*1)</f>
        <v/>
      </c>
      <c r="H409" s="2">
        <f>Cleaned_Data!J409</f>
        <v/>
      </c>
      <c r="I409" s="2">
        <f>Cleaned_Data!E409</f>
        <v/>
      </c>
      <c r="J409" s="2">
        <f>IF(C409="Yes",1,0)</f>
        <v/>
      </c>
      <c r="K409" s="2">
        <f>MIN(MAX(1-(D409-1)/4,0),1)</f>
        <v/>
      </c>
      <c r="L409" s="2">
        <f>MIN(E409/60,1)</f>
        <v/>
      </c>
      <c r="M409" s="2">
        <f>MIN(MAX(1-G409,0),1)</f>
        <v/>
      </c>
      <c r="N409" s="2">
        <f>MIN(MAX(1-(H409-1)/4,0),1)</f>
        <v/>
      </c>
      <c r="O409" s="2">
        <f>1-MIN(I409/8,1)</f>
        <v/>
      </c>
      <c r="P409" s="10">
        <f>ROUND(100*(J409*Assumptions!$B$6+K409*Assumptions!$B$7+L409*Assumptions!$B$8+M409*Assumptions!$B$9+N409*Assumptions!$B$10+O409*Assumptions!$B$11),1)</f>
        <v/>
      </c>
      <c r="Q409" s="2">
        <f>IF(P409&gt;=Assumptions!$B$14,"High",IF(P409&gt;=Assumptions!$B$15,"Medium","Low"))</f>
        <v/>
      </c>
      <c r="R409" s="2">
        <f>Cleaned_Data!L409</f>
        <v/>
      </c>
    </row>
    <row r="410">
      <c r="A410" s="2">
        <f>Cleaned_Data!A410</f>
        <v/>
      </c>
      <c r="B410" s="2">
        <f>Cleaned_Data!B410</f>
        <v/>
      </c>
      <c r="C410" s="2">
        <f>Cleaned_Data!G410</f>
        <v/>
      </c>
      <c r="D410" s="2">
        <f>Cleaned_Data!I410</f>
        <v/>
      </c>
      <c r="E410" s="2">
        <f>Cleaned_Data!H410</f>
        <v/>
      </c>
      <c r="F410" s="2">
        <f>Cleaned_Data!F410</f>
        <v/>
      </c>
      <c r="G410" s="9">
        <f>SUMPRODUCT(($B$2:$B$1196=B410)*($F$2:$F$1196&lt;=F410))/SUMPRODUCT(($B$2:$B$1196=B410)*1)</f>
        <v/>
      </c>
      <c r="H410" s="2">
        <f>Cleaned_Data!J410</f>
        <v/>
      </c>
      <c r="I410" s="2">
        <f>Cleaned_Data!E410</f>
        <v/>
      </c>
      <c r="J410" s="2">
        <f>IF(C410="Yes",1,0)</f>
        <v/>
      </c>
      <c r="K410" s="2">
        <f>MIN(MAX(1-(D410-1)/4,0),1)</f>
        <v/>
      </c>
      <c r="L410" s="2">
        <f>MIN(E410/60,1)</f>
        <v/>
      </c>
      <c r="M410" s="2">
        <f>MIN(MAX(1-G410,0),1)</f>
        <v/>
      </c>
      <c r="N410" s="2">
        <f>MIN(MAX(1-(H410-1)/4,0),1)</f>
        <v/>
      </c>
      <c r="O410" s="2">
        <f>1-MIN(I410/8,1)</f>
        <v/>
      </c>
      <c r="P410" s="10">
        <f>ROUND(100*(J410*Assumptions!$B$6+K410*Assumptions!$B$7+L410*Assumptions!$B$8+M410*Assumptions!$B$9+N410*Assumptions!$B$10+O410*Assumptions!$B$11),1)</f>
        <v/>
      </c>
      <c r="Q410" s="2">
        <f>IF(P410&gt;=Assumptions!$B$14,"High",IF(P410&gt;=Assumptions!$B$15,"Medium","Low"))</f>
        <v/>
      </c>
      <c r="R410" s="2">
        <f>Cleaned_Data!L410</f>
        <v/>
      </c>
    </row>
    <row r="411">
      <c r="A411" s="2">
        <f>Cleaned_Data!A411</f>
        <v/>
      </c>
      <c r="B411" s="2">
        <f>Cleaned_Data!B411</f>
        <v/>
      </c>
      <c r="C411" s="2">
        <f>Cleaned_Data!G411</f>
        <v/>
      </c>
      <c r="D411" s="2">
        <f>Cleaned_Data!I411</f>
        <v/>
      </c>
      <c r="E411" s="2">
        <f>Cleaned_Data!H411</f>
        <v/>
      </c>
      <c r="F411" s="2">
        <f>Cleaned_Data!F411</f>
        <v/>
      </c>
      <c r="G411" s="9">
        <f>SUMPRODUCT(($B$2:$B$1196=B411)*($F$2:$F$1196&lt;=F411))/SUMPRODUCT(($B$2:$B$1196=B411)*1)</f>
        <v/>
      </c>
      <c r="H411" s="2">
        <f>Cleaned_Data!J411</f>
        <v/>
      </c>
      <c r="I411" s="2">
        <f>Cleaned_Data!E411</f>
        <v/>
      </c>
      <c r="J411" s="2">
        <f>IF(C411="Yes",1,0)</f>
        <v/>
      </c>
      <c r="K411" s="2">
        <f>MIN(MAX(1-(D411-1)/4,0),1)</f>
        <v/>
      </c>
      <c r="L411" s="2">
        <f>MIN(E411/60,1)</f>
        <v/>
      </c>
      <c r="M411" s="2">
        <f>MIN(MAX(1-G411,0),1)</f>
        <v/>
      </c>
      <c r="N411" s="2">
        <f>MIN(MAX(1-(H411-1)/4,0),1)</f>
        <v/>
      </c>
      <c r="O411" s="2">
        <f>1-MIN(I411/8,1)</f>
        <v/>
      </c>
      <c r="P411" s="10">
        <f>ROUND(100*(J411*Assumptions!$B$6+K411*Assumptions!$B$7+L411*Assumptions!$B$8+M411*Assumptions!$B$9+N411*Assumptions!$B$10+O411*Assumptions!$B$11),1)</f>
        <v/>
      </c>
      <c r="Q411" s="2">
        <f>IF(P411&gt;=Assumptions!$B$14,"High",IF(P411&gt;=Assumptions!$B$15,"Medium","Low"))</f>
        <v/>
      </c>
      <c r="R411" s="2">
        <f>Cleaned_Data!L411</f>
        <v/>
      </c>
    </row>
    <row r="412">
      <c r="A412" s="2">
        <f>Cleaned_Data!A412</f>
        <v/>
      </c>
      <c r="B412" s="2">
        <f>Cleaned_Data!B412</f>
        <v/>
      </c>
      <c r="C412" s="2">
        <f>Cleaned_Data!G412</f>
        <v/>
      </c>
      <c r="D412" s="2">
        <f>Cleaned_Data!I412</f>
        <v/>
      </c>
      <c r="E412" s="2">
        <f>Cleaned_Data!H412</f>
        <v/>
      </c>
      <c r="F412" s="2">
        <f>Cleaned_Data!F412</f>
        <v/>
      </c>
      <c r="G412" s="9">
        <f>SUMPRODUCT(($B$2:$B$1196=B412)*($F$2:$F$1196&lt;=F412))/SUMPRODUCT(($B$2:$B$1196=B412)*1)</f>
        <v/>
      </c>
      <c r="H412" s="2">
        <f>Cleaned_Data!J412</f>
        <v/>
      </c>
      <c r="I412" s="2">
        <f>Cleaned_Data!E412</f>
        <v/>
      </c>
      <c r="J412" s="2">
        <f>IF(C412="Yes",1,0)</f>
        <v/>
      </c>
      <c r="K412" s="2">
        <f>MIN(MAX(1-(D412-1)/4,0),1)</f>
        <v/>
      </c>
      <c r="L412" s="2">
        <f>MIN(E412/60,1)</f>
        <v/>
      </c>
      <c r="M412" s="2">
        <f>MIN(MAX(1-G412,0),1)</f>
        <v/>
      </c>
      <c r="N412" s="2">
        <f>MIN(MAX(1-(H412-1)/4,0),1)</f>
        <v/>
      </c>
      <c r="O412" s="2">
        <f>1-MIN(I412/8,1)</f>
        <v/>
      </c>
      <c r="P412" s="10">
        <f>ROUND(100*(J412*Assumptions!$B$6+K412*Assumptions!$B$7+L412*Assumptions!$B$8+M412*Assumptions!$B$9+N412*Assumptions!$B$10+O412*Assumptions!$B$11),1)</f>
        <v/>
      </c>
      <c r="Q412" s="2">
        <f>IF(P412&gt;=Assumptions!$B$14,"High",IF(P412&gt;=Assumptions!$B$15,"Medium","Low"))</f>
        <v/>
      </c>
      <c r="R412" s="2">
        <f>Cleaned_Data!L412</f>
        <v/>
      </c>
    </row>
    <row r="413">
      <c r="A413" s="2">
        <f>Cleaned_Data!A413</f>
        <v/>
      </c>
      <c r="B413" s="2">
        <f>Cleaned_Data!B413</f>
        <v/>
      </c>
      <c r="C413" s="2">
        <f>Cleaned_Data!G413</f>
        <v/>
      </c>
      <c r="D413" s="2">
        <f>Cleaned_Data!I413</f>
        <v/>
      </c>
      <c r="E413" s="2">
        <f>Cleaned_Data!H413</f>
        <v/>
      </c>
      <c r="F413" s="2">
        <f>Cleaned_Data!F413</f>
        <v/>
      </c>
      <c r="G413" s="9">
        <f>SUMPRODUCT(($B$2:$B$1196=B413)*($F$2:$F$1196&lt;=F413))/SUMPRODUCT(($B$2:$B$1196=B413)*1)</f>
        <v/>
      </c>
      <c r="H413" s="2">
        <f>Cleaned_Data!J413</f>
        <v/>
      </c>
      <c r="I413" s="2">
        <f>Cleaned_Data!E413</f>
        <v/>
      </c>
      <c r="J413" s="2">
        <f>IF(C413="Yes",1,0)</f>
        <v/>
      </c>
      <c r="K413" s="2">
        <f>MIN(MAX(1-(D413-1)/4,0),1)</f>
        <v/>
      </c>
      <c r="L413" s="2">
        <f>MIN(E413/60,1)</f>
        <v/>
      </c>
      <c r="M413" s="2">
        <f>MIN(MAX(1-G413,0),1)</f>
        <v/>
      </c>
      <c r="N413" s="2">
        <f>MIN(MAX(1-(H413-1)/4,0),1)</f>
        <v/>
      </c>
      <c r="O413" s="2">
        <f>1-MIN(I413/8,1)</f>
        <v/>
      </c>
      <c r="P413" s="10">
        <f>ROUND(100*(J413*Assumptions!$B$6+K413*Assumptions!$B$7+L413*Assumptions!$B$8+M413*Assumptions!$B$9+N413*Assumptions!$B$10+O413*Assumptions!$B$11),1)</f>
        <v/>
      </c>
      <c r="Q413" s="2">
        <f>IF(P413&gt;=Assumptions!$B$14,"High",IF(P413&gt;=Assumptions!$B$15,"Medium","Low"))</f>
        <v/>
      </c>
      <c r="R413" s="2">
        <f>Cleaned_Data!L413</f>
        <v/>
      </c>
    </row>
    <row r="414">
      <c r="A414" s="2">
        <f>Cleaned_Data!A414</f>
        <v/>
      </c>
      <c r="B414" s="2">
        <f>Cleaned_Data!B414</f>
        <v/>
      </c>
      <c r="C414" s="2">
        <f>Cleaned_Data!G414</f>
        <v/>
      </c>
      <c r="D414" s="2">
        <f>Cleaned_Data!I414</f>
        <v/>
      </c>
      <c r="E414" s="2">
        <f>Cleaned_Data!H414</f>
        <v/>
      </c>
      <c r="F414" s="2">
        <f>Cleaned_Data!F414</f>
        <v/>
      </c>
      <c r="G414" s="9">
        <f>SUMPRODUCT(($B$2:$B$1196=B414)*($F$2:$F$1196&lt;=F414))/SUMPRODUCT(($B$2:$B$1196=B414)*1)</f>
        <v/>
      </c>
      <c r="H414" s="2">
        <f>Cleaned_Data!J414</f>
        <v/>
      </c>
      <c r="I414" s="2">
        <f>Cleaned_Data!E414</f>
        <v/>
      </c>
      <c r="J414" s="2">
        <f>IF(C414="Yes",1,0)</f>
        <v/>
      </c>
      <c r="K414" s="2">
        <f>MIN(MAX(1-(D414-1)/4,0),1)</f>
        <v/>
      </c>
      <c r="L414" s="2">
        <f>MIN(E414/60,1)</f>
        <v/>
      </c>
      <c r="M414" s="2">
        <f>MIN(MAX(1-G414,0),1)</f>
        <v/>
      </c>
      <c r="N414" s="2">
        <f>MIN(MAX(1-(H414-1)/4,0),1)</f>
        <v/>
      </c>
      <c r="O414" s="2">
        <f>1-MIN(I414/8,1)</f>
        <v/>
      </c>
      <c r="P414" s="10">
        <f>ROUND(100*(J414*Assumptions!$B$6+K414*Assumptions!$B$7+L414*Assumptions!$B$8+M414*Assumptions!$B$9+N414*Assumptions!$B$10+O414*Assumptions!$B$11),1)</f>
        <v/>
      </c>
      <c r="Q414" s="2">
        <f>IF(P414&gt;=Assumptions!$B$14,"High",IF(P414&gt;=Assumptions!$B$15,"Medium","Low"))</f>
        <v/>
      </c>
      <c r="R414" s="2">
        <f>Cleaned_Data!L414</f>
        <v/>
      </c>
    </row>
    <row r="415">
      <c r="A415" s="2">
        <f>Cleaned_Data!A415</f>
        <v/>
      </c>
      <c r="B415" s="2">
        <f>Cleaned_Data!B415</f>
        <v/>
      </c>
      <c r="C415" s="2">
        <f>Cleaned_Data!G415</f>
        <v/>
      </c>
      <c r="D415" s="2">
        <f>Cleaned_Data!I415</f>
        <v/>
      </c>
      <c r="E415" s="2">
        <f>Cleaned_Data!H415</f>
        <v/>
      </c>
      <c r="F415" s="2">
        <f>Cleaned_Data!F415</f>
        <v/>
      </c>
      <c r="G415" s="9">
        <f>SUMPRODUCT(($B$2:$B$1196=B415)*($F$2:$F$1196&lt;=F415))/SUMPRODUCT(($B$2:$B$1196=B415)*1)</f>
        <v/>
      </c>
      <c r="H415" s="2">
        <f>Cleaned_Data!J415</f>
        <v/>
      </c>
      <c r="I415" s="2">
        <f>Cleaned_Data!E415</f>
        <v/>
      </c>
      <c r="J415" s="2">
        <f>IF(C415="Yes",1,0)</f>
        <v/>
      </c>
      <c r="K415" s="2">
        <f>MIN(MAX(1-(D415-1)/4,0),1)</f>
        <v/>
      </c>
      <c r="L415" s="2">
        <f>MIN(E415/60,1)</f>
        <v/>
      </c>
      <c r="M415" s="2">
        <f>MIN(MAX(1-G415,0),1)</f>
        <v/>
      </c>
      <c r="N415" s="2">
        <f>MIN(MAX(1-(H415-1)/4,0),1)</f>
        <v/>
      </c>
      <c r="O415" s="2">
        <f>1-MIN(I415/8,1)</f>
        <v/>
      </c>
      <c r="P415" s="10">
        <f>ROUND(100*(J415*Assumptions!$B$6+K415*Assumptions!$B$7+L415*Assumptions!$B$8+M415*Assumptions!$B$9+N415*Assumptions!$B$10+O415*Assumptions!$B$11),1)</f>
        <v/>
      </c>
      <c r="Q415" s="2">
        <f>IF(P415&gt;=Assumptions!$B$14,"High",IF(P415&gt;=Assumptions!$B$15,"Medium","Low"))</f>
        <v/>
      </c>
      <c r="R415" s="2">
        <f>Cleaned_Data!L415</f>
        <v/>
      </c>
    </row>
    <row r="416">
      <c r="A416" s="2">
        <f>Cleaned_Data!A416</f>
        <v/>
      </c>
      <c r="B416" s="2">
        <f>Cleaned_Data!B416</f>
        <v/>
      </c>
      <c r="C416" s="2">
        <f>Cleaned_Data!G416</f>
        <v/>
      </c>
      <c r="D416" s="2">
        <f>Cleaned_Data!I416</f>
        <v/>
      </c>
      <c r="E416" s="2">
        <f>Cleaned_Data!H416</f>
        <v/>
      </c>
      <c r="F416" s="2">
        <f>Cleaned_Data!F416</f>
        <v/>
      </c>
      <c r="G416" s="9">
        <f>SUMPRODUCT(($B$2:$B$1196=B416)*($F$2:$F$1196&lt;=F416))/SUMPRODUCT(($B$2:$B$1196=B416)*1)</f>
        <v/>
      </c>
      <c r="H416" s="2">
        <f>Cleaned_Data!J416</f>
        <v/>
      </c>
      <c r="I416" s="2">
        <f>Cleaned_Data!E416</f>
        <v/>
      </c>
      <c r="J416" s="2">
        <f>IF(C416="Yes",1,0)</f>
        <v/>
      </c>
      <c r="K416" s="2">
        <f>MIN(MAX(1-(D416-1)/4,0),1)</f>
        <v/>
      </c>
      <c r="L416" s="2">
        <f>MIN(E416/60,1)</f>
        <v/>
      </c>
      <c r="M416" s="2">
        <f>MIN(MAX(1-G416,0),1)</f>
        <v/>
      </c>
      <c r="N416" s="2">
        <f>MIN(MAX(1-(H416-1)/4,0),1)</f>
        <v/>
      </c>
      <c r="O416" s="2">
        <f>1-MIN(I416/8,1)</f>
        <v/>
      </c>
      <c r="P416" s="10">
        <f>ROUND(100*(J416*Assumptions!$B$6+K416*Assumptions!$B$7+L416*Assumptions!$B$8+M416*Assumptions!$B$9+N416*Assumptions!$B$10+O416*Assumptions!$B$11),1)</f>
        <v/>
      </c>
      <c r="Q416" s="2">
        <f>IF(P416&gt;=Assumptions!$B$14,"High",IF(P416&gt;=Assumptions!$B$15,"Medium","Low"))</f>
        <v/>
      </c>
      <c r="R416" s="2">
        <f>Cleaned_Data!L416</f>
        <v/>
      </c>
    </row>
    <row r="417">
      <c r="A417" s="2">
        <f>Cleaned_Data!A417</f>
        <v/>
      </c>
      <c r="B417" s="2">
        <f>Cleaned_Data!B417</f>
        <v/>
      </c>
      <c r="C417" s="2">
        <f>Cleaned_Data!G417</f>
        <v/>
      </c>
      <c r="D417" s="2">
        <f>Cleaned_Data!I417</f>
        <v/>
      </c>
      <c r="E417" s="2">
        <f>Cleaned_Data!H417</f>
        <v/>
      </c>
      <c r="F417" s="2">
        <f>Cleaned_Data!F417</f>
        <v/>
      </c>
      <c r="G417" s="9">
        <f>SUMPRODUCT(($B$2:$B$1196=B417)*($F$2:$F$1196&lt;=F417))/SUMPRODUCT(($B$2:$B$1196=B417)*1)</f>
        <v/>
      </c>
      <c r="H417" s="2">
        <f>Cleaned_Data!J417</f>
        <v/>
      </c>
      <c r="I417" s="2">
        <f>Cleaned_Data!E417</f>
        <v/>
      </c>
      <c r="J417" s="2">
        <f>IF(C417="Yes",1,0)</f>
        <v/>
      </c>
      <c r="K417" s="2">
        <f>MIN(MAX(1-(D417-1)/4,0),1)</f>
        <v/>
      </c>
      <c r="L417" s="2">
        <f>MIN(E417/60,1)</f>
        <v/>
      </c>
      <c r="M417" s="2">
        <f>MIN(MAX(1-G417,0),1)</f>
        <v/>
      </c>
      <c r="N417" s="2">
        <f>MIN(MAX(1-(H417-1)/4,0),1)</f>
        <v/>
      </c>
      <c r="O417" s="2">
        <f>1-MIN(I417/8,1)</f>
        <v/>
      </c>
      <c r="P417" s="10">
        <f>ROUND(100*(J417*Assumptions!$B$6+K417*Assumptions!$B$7+L417*Assumptions!$B$8+M417*Assumptions!$B$9+N417*Assumptions!$B$10+O417*Assumptions!$B$11),1)</f>
        <v/>
      </c>
      <c r="Q417" s="2">
        <f>IF(P417&gt;=Assumptions!$B$14,"High",IF(P417&gt;=Assumptions!$B$15,"Medium","Low"))</f>
        <v/>
      </c>
      <c r="R417" s="2">
        <f>Cleaned_Data!L417</f>
        <v/>
      </c>
    </row>
    <row r="418">
      <c r="A418" s="2">
        <f>Cleaned_Data!A418</f>
        <v/>
      </c>
      <c r="B418" s="2">
        <f>Cleaned_Data!B418</f>
        <v/>
      </c>
      <c r="C418" s="2">
        <f>Cleaned_Data!G418</f>
        <v/>
      </c>
      <c r="D418" s="2">
        <f>Cleaned_Data!I418</f>
        <v/>
      </c>
      <c r="E418" s="2">
        <f>Cleaned_Data!H418</f>
        <v/>
      </c>
      <c r="F418" s="2">
        <f>Cleaned_Data!F418</f>
        <v/>
      </c>
      <c r="G418" s="9">
        <f>SUMPRODUCT(($B$2:$B$1196=B418)*($F$2:$F$1196&lt;=F418))/SUMPRODUCT(($B$2:$B$1196=B418)*1)</f>
        <v/>
      </c>
      <c r="H418" s="2">
        <f>Cleaned_Data!J418</f>
        <v/>
      </c>
      <c r="I418" s="2">
        <f>Cleaned_Data!E418</f>
        <v/>
      </c>
      <c r="J418" s="2">
        <f>IF(C418="Yes",1,0)</f>
        <v/>
      </c>
      <c r="K418" s="2">
        <f>MIN(MAX(1-(D418-1)/4,0),1)</f>
        <v/>
      </c>
      <c r="L418" s="2">
        <f>MIN(E418/60,1)</f>
        <v/>
      </c>
      <c r="M418" s="2">
        <f>MIN(MAX(1-G418,0),1)</f>
        <v/>
      </c>
      <c r="N418" s="2">
        <f>MIN(MAX(1-(H418-1)/4,0),1)</f>
        <v/>
      </c>
      <c r="O418" s="2">
        <f>1-MIN(I418/8,1)</f>
        <v/>
      </c>
      <c r="P418" s="10">
        <f>ROUND(100*(J418*Assumptions!$B$6+K418*Assumptions!$B$7+L418*Assumptions!$B$8+M418*Assumptions!$B$9+N418*Assumptions!$B$10+O418*Assumptions!$B$11),1)</f>
        <v/>
      </c>
      <c r="Q418" s="2">
        <f>IF(P418&gt;=Assumptions!$B$14,"High",IF(P418&gt;=Assumptions!$B$15,"Medium","Low"))</f>
        <v/>
      </c>
      <c r="R418" s="2">
        <f>Cleaned_Data!L418</f>
        <v/>
      </c>
    </row>
    <row r="419">
      <c r="A419" s="2">
        <f>Cleaned_Data!A419</f>
        <v/>
      </c>
      <c r="B419" s="2">
        <f>Cleaned_Data!B419</f>
        <v/>
      </c>
      <c r="C419" s="2">
        <f>Cleaned_Data!G419</f>
        <v/>
      </c>
      <c r="D419" s="2">
        <f>Cleaned_Data!I419</f>
        <v/>
      </c>
      <c r="E419" s="2">
        <f>Cleaned_Data!H419</f>
        <v/>
      </c>
      <c r="F419" s="2">
        <f>Cleaned_Data!F419</f>
        <v/>
      </c>
      <c r="G419" s="9">
        <f>SUMPRODUCT(($B$2:$B$1196=B419)*($F$2:$F$1196&lt;=F419))/SUMPRODUCT(($B$2:$B$1196=B419)*1)</f>
        <v/>
      </c>
      <c r="H419" s="2">
        <f>Cleaned_Data!J419</f>
        <v/>
      </c>
      <c r="I419" s="2">
        <f>Cleaned_Data!E419</f>
        <v/>
      </c>
      <c r="J419" s="2">
        <f>IF(C419="Yes",1,0)</f>
        <v/>
      </c>
      <c r="K419" s="2">
        <f>MIN(MAX(1-(D419-1)/4,0),1)</f>
        <v/>
      </c>
      <c r="L419" s="2">
        <f>MIN(E419/60,1)</f>
        <v/>
      </c>
      <c r="M419" s="2">
        <f>MIN(MAX(1-G419,0),1)</f>
        <v/>
      </c>
      <c r="N419" s="2">
        <f>MIN(MAX(1-(H419-1)/4,0),1)</f>
        <v/>
      </c>
      <c r="O419" s="2">
        <f>1-MIN(I419/8,1)</f>
        <v/>
      </c>
      <c r="P419" s="10">
        <f>ROUND(100*(J419*Assumptions!$B$6+K419*Assumptions!$B$7+L419*Assumptions!$B$8+M419*Assumptions!$B$9+N419*Assumptions!$B$10+O419*Assumptions!$B$11),1)</f>
        <v/>
      </c>
      <c r="Q419" s="2">
        <f>IF(P419&gt;=Assumptions!$B$14,"High",IF(P419&gt;=Assumptions!$B$15,"Medium","Low"))</f>
        <v/>
      </c>
      <c r="R419" s="2">
        <f>Cleaned_Data!L419</f>
        <v/>
      </c>
    </row>
    <row r="420">
      <c r="A420" s="2">
        <f>Cleaned_Data!A420</f>
        <v/>
      </c>
      <c r="B420" s="2">
        <f>Cleaned_Data!B420</f>
        <v/>
      </c>
      <c r="C420" s="2">
        <f>Cleaned_Data!G420</f>
        <v/>
      </c>
      <c r="D420" s="2">
        <f>Cleaned_Data!I420</f>
        <v/>
      </c>
      <c r="E420" s="2">
        <f>Cleaned_Data!H420</f>
        <v/>
      </c>
      <c r="F420" s="2">
        <f>Cleaned_Data!F420</f>
        <v/>
      </c>
      <c r="G420" s="9">
        <f>SUMPRODUCT(($B$2:$B$1196=B420)*($F$2:$F$1196&lt;=F420))/SUMPRODUCT(($B$2:$B$1196=B420)*1)</f>
        <v/>
      </c>
      <c r="H420" s="2">
        <f>Cleaned_Data!J420</f>
        <v/>
      </c>
      <c r="I420" s="2">
        <f>Cleaned_Data!E420</f>
        <v/>
      </c>
      <c r="J420" s="2">
        <f>IF(C420="Yes",1,0)</f>
        <v/>
      </c>
      <c r="K420" s="2">
        <f>MIN(MAX(1-(D420-1)/4,0),1)</f>
        <v/>
      </c>
      <c r="L420" s="2">
        <f>MIN(E420/60,1)</f>
        <v/>
      </c>
      <c r="M420" s="2">
        <f>MIN(MAX(1-G420,0),1)</f>
        <v/>
      </c>
      <c r="N420" s="2">
        <f>MIN(MAX(1-(H420-1)/4,0),1)</f>
        <v/>
      </c>
      <c r="O420" s="2">
        <f>1-MIN(I420/8,1)</f>
        <v/>
      </c>
      <c r="P420" s="10">
        <f>ROUND(100*(J420*Assumptions!$B$6+K420*Assumptions!$B$7+L420*Assumptions!$B$8+M420*Assumptions!$B$9+N420*Assumptions!$B$10+O420*Assumptions!$B$11),1)</f>
        <v/>
      </c>
      <c r="Q420" s="2">
        <f>IF(P420&gt;=Assumptions!$B$14,"High",IF(P420&gt;=Assumptions!$B$15,"Medium","Low"))</f>
        <v/>
      </c>
      <c r="R420" s="2">
        <f>Cleaned_Data!L420</f>
        <v/>
      </c>
    </row>
    <row r="421">
      <c r="A421" s="2">
        <f>Cleaned_Data!A421</f>
        <v/>
      </c>
      <c r="B421" s="2">
        <f>Cleaned_Data!B421</f>
        <v/>
      </c>
      <c r="C421" s="2">
        <f>Cleaned_Data!G421</f>
        <v/>
      </c>
      <c r="D421" s="2">
        <f>Cleaned_Data!I421</f>
        <v/>
      </c>
      <c r="E421" s="2">
        <f>Cleaned_Data!H421</f>
        <v/>
      </c>
      <c r="F421" s="2">
        <f>Cleaned_Data!F421</f>
        <v/>
      </c>
      <c r="G421" s="9">
        <f>SUMPRODUCT(($B$2:$B$1196=B421)*($F$2:$F$1196&lt;=F421))/SUMPRODUCT(($B$2:$B$1196=B421)*1)</f>
        <v/>
      </c>
      <c r="H421" s="2">
        <f>Cleaned_Data!J421</f>
        <v/>
      </c>
      <c r="I421" s="2">
        <f>Cleaned_Data!E421</f>
        <v/>
      </c>
      <c r="J421" s="2">
        <f>IF(C421="Yes",1,0)</f>
        <v/>
      </c>
      <c r="K421" s="2">
        <f>MIN(MAX(1-(D421-1)/4,0),1)</f>
        <v/>
      </c>
      <c r="L421" s="2">
        <f>MIN(E421/60,1)</f>
        <v/>
      </c>
      <c r="M421" s="2">
        <f>MIN(MAX(1-G421,0),1)</f>
        <v/>
      </c>
      <c r="N421" s="2">
        <f>MIN(MAX(1-(H421-1)/4,0),1)</f>
        <v/>
      </c>
      <c r="O421" s="2">
        <f>1-MIN(I421/8,1)</f>
        <v/>
      </c>
      <c r="P421" s="10">
        <f>ROUND(100*(J421*Assumptions!$B$6+K421*Assumptions!$B$7+L421*Assumptions!$B$8+M421*Assumptions!$B$9+N421*Assumptions!$B$10+O421*Assumptions!$B$11),1)</f>
        <v/>
      </c>
      <c r="Q421" s="2">
        <f>IF(P421&gt;=Assumptions!$B$14,"High",IF(P421&gt;=Assumptions!$B$15,"Medium","Low"))</f>
        <v/>
      </c>
      <c r="R421" s="2">
        <f>Cleaned_Data!L421</f>
        <v/>
      </c>
    </row>
    <row r="422">
      <c r="A422" s="2">
        <f>Cleaned_Data!A422</f>
        <v/>
      </c>
      <c r="B422" s="2">
        <f>Cleaned_Data!B422</f>
        <v/>
      </c>
      <c r="C422" s="2">
        <f>Cleaned_Data!G422</f>
        <v/>
      </c>
      <c r="D422" s="2">
        <f>Cleaned_Data!I422</f>
        <v/>
      </c>
      <c r="E422" s="2">
        <f>Cleaned_Data!H422</f>
        <v/>
      </c>
      <c r="F422" s="2">
        <f>Cleaned_Data!F422</f>
        <v/>
      </c>
      <c r="G422" s="9">
        <f>SUMPRODUCT(($B$2:$B$1196=B422)*($F$2:$F$1196&lt;=F422))/SUMPRODUCT(($B$2:$B$1196=B422)*1)</f>
        <v/>
      </c>
      <c r="H422" s="2">
        <f>Cleaned_Data!J422</f>
        <v/>
      </c>
      <c r="I422" s="2">
        <f>Cleaned_Data!E422</f>
        <v/>
      </c>
      <c r="J422" s="2">
        <f>IF(C422="Yes",1,0)</f>
        <v/>
      </c>
      <c r="K422" s="2">
        <f>MIN(MAX(1-(D422-1)/4,0),1)</f>
        <v/>
      </c>
      <c r="L422" s="2">
        <f>MIN(E422/60,1)</f>
        <v/>
      </c>
      <c r="M422" s="2">
        <f>MIN(MAX(1-G422,0),1)</f>
        <v/>
      </c>
      <c r="N422" s="2">
        <f>MIN(MAX(1-(H422-1)/4,0),1)</f>
        <v/>
      </c>
      <c r="O422" s="2">
        <f>1-MIN(I422/8,1)</f>
        <v/>
      </c>
      <c r="P422" s="10">
        <f>ROUND(100*(J422*Assumptions!$B$6+K422*Assumptions!$B$7+L422*Assumptions!$B$8+M422*Assumptions!$B$9+N422*Assumptions!$B$10+O422*Assumptions!$B$11),1)</f>
        <v/>
      </c>
      <c r="Q422" s="2">
        <f>IF(P422&gt;=Assumptions!$B$14,"High",IF(P422&gt;=Assumptions!$B$15,"Medium","Low"))</f>
        <v/>
      </c>
      <c r="R422" s="2">
        <f>Cleaned_Data!L422</f>
        <v/>
      </c>
    </row>
    <row r="423">
      <c r="A423" s="2">
        <f>Cleaned_Data!A423</f>
        <v/>
      </c>
      <c r="B423" s="2">
        <f>Cleaned_Data!B423</f>
        <v/>
      </c>
      <c r="C423" s="2">
        <f>Cleaned_Data!G423</f>
        <v/>
      </c>
      <c r="D423" s="2">
        <f>Cleaned_Data!I423</f>
        <v/>
      </c>
      <c r="E423" s="2">
        <f>Cleaned_Data!H423</f>
        <v/>
      </c>
      <c r="F423" s="2">
        <f>Cleaned_Data!F423</f>
        <v/>
      </c>
      <c r="G423" s="9">
        <f>SUMPRODUCT(($B$2:$B$1196=B423)*($F$2:$F$1196&lt;=F423))/SUMPRODUCT(($B$2:$B$1196=B423)*1)</f>
        <v/>
      </c>
      <c r="H423" s="2">
        <f>Cleaned_Data!J423</f>
        <v/>
      </c>
      <c r="I423" s="2">
        <f>Cleaned_Data!E423</f>
        <v/>
      </c>
      <c r="J423" s="2">
        <f>IF(C423="Yes",1,0)</f>
        <v/>
      </c>
      <c r="K423" s="2">
        <f>MIN(MAX(1-(D423-1)/4,0),1)</f>
        <v/>
      </c>
      <c r="L423" s="2">
        <f>MIN(E423/60,1)</f>
        <v/>
      </c>
      <c r="M423" s="2">
        <f>MIN(MAX(1-G423,0),1)</f>
        <v/>
      </c>
      <c r="N423" s="2">
        <f>MIN(MAX(1-(H423-1)/4,0),1)</f>
        <v/>
      </c>
      <c r="O423" s="2">
        <f>1-MIN(I423/8,1)</f>
        <v/>
      </c>
      <c r="P423" s="10">
        <f>ROUND(100*(J423*Assumptions!$B$6+K423*Assumptions!$B$7+L423*Assumptions!$B$8+M423*Assumptions!$B$9+N423*Assumptions!$B$10+O423*Assumptions!$B$11),1)</f>
        <v/>
      </c>
      <c r="Q423" s="2">
        <f>IF(P423&gt;=Assumptions!$B$14,"High",IF(P423&gt;=Assumptions!$B$15,"Medium","Low"))</f>
        <v/>
      </c>
      <c r="R423" s="2">
        <f>Cleaned_Data!L423</f>
        <v/>
      </c>
    </row>
    <row r="424">
      <c r="A424" s="2">
        <f>Cleaned_Data!A424</f>
        <v/>
      </c>
      <c r="B424" s="2">
        <f>Cleaned_Data!B424</f>
        <v/>
      </c>
      <c r="C424" s="2">
        <f>Cleaned_Data!G424</f>
        <v/>
      </c>
      <c r="D424" s="2">
        <f>Cleaned_Data!I424</f>
        <v/>
      </c>
      <c r="E424" s="2">
        <f>Cleaned_Data!H424</f>
        <v/>
      </c>
      <c r="F424" s="2">
        <f>Cleaned_Data!F424</f>
        <v/>
      </c>
      <c r="G424" s="9">
        <f>SUMPRODUCT(($B$2:$B$1196=B424)*($F$2:$F$1196&lt;=F424))/SUMPRODUCT(($B$2:$B$1196=B424)*1)</f>
        <v/>
      </c>
      <c r="H424" s="2">
        <f>Cleaned_Data!J424</f>
        <v/>
      </c>
      <c r="I424" s="2">
        <f>Cleaned_Data!E424</f>
        <v/>
      </c>
      <c r="J424" s="2">
        <f>IF(C424="Yes",1,0)</f>
        <v/>
      </c>
      <c r="K424" s="2">
        <f>MIN(MAX(1-(D424-1)/4,0),1)</f>
        <v/>
      </c>
      <c r="L424" s="2">
        <f>MIN(E424/60,1)</f>
        <v/>
      </c>
      <c r="M424" s="2">
        <f>MIN(MAX(1-G424,0),1)</f>
        <v/>
      </c>
      <c r="N424" s="2">
        <f>MIN(MAX(1-(H424-1)/4,0),1)</f>
        <v/>
      </c>
      <c r="O424" s="2">
        <f>1-MIN(I424/8,1)</f>
        <v/>
      </c>
      <c r="P424" s="10">
        <f>ROUND(100*(J424*Assumptions!$B$6+K424*Assumptions!$B$7+L424*Assumptions!$B$8+M424*Assumptions!$B$9+N424*Assumptions!$B$10+O424*Assumptions!$B$11),1)</f>
        <v/>
      </c>
      <c r="Q424" s="2">
        <f>IF(P424&gt;=Assumptions!$B$14,"High",IF(P424&gt;=Assumptions!$B$15,"Medium","Low"))</f>
        <v/>
      </c>
      <c r="R424" s="2">
        <f>Cleaned_Data!L424</f>
        <v/>
      </c>
    </row>
    <row r="425">
      <c r="A425" s="2">
        <f>Cleaned_Data!A425</f>
        <v/>
      </c>
      <c r="B425" s="2">
        <f>Cleaned_Data!B425</f>
        <v/>
      </c>
      <c r="C425" s="2">
        <f>Cleaned_Data!G425</f>
        <v/>
      </c>
      <c r="D425" s="2">
        <f>Cleaned_Data!I425</f>
        <v/>
      </c>
      <c r="E425" s="2">
        <f>Cleaned_Data!H425</f>
        <v/>
      </c>
      <c r="F425" s="2">
        <f>Cleaned_Data!F425</f>
        <v/>
      </c>
      <c r="G425" s="9">
        <f>SUMPRODUCT(($B$2:$B$1196=B425)*($F$2:$F$1196&lt;=F425))/SUMPRODUCT(($B$2:$B$1196=B425)*1)</f>
        <v/>
      </c>
      <c r="H425" s="2">
        <f>Cleaned_Data!J425</f>
        <v/>
      </c>
      <c r="I425" s="2">
        <f>Cleaned_Data!E425</f>
        <v/>
      </c>
      <c r="J425" s="2">
        <f>IF(C425="Yes",1,0)</f>
        <v/>
      </c>
      <c r="K425" s="2">
        <f>MIN(MAX(1-(D425-1)/4,0),1)</f>
        <v/>
      </c>
      <c r="L425" s="2">
        <f>MIN(E425/60,1)</f>
        <v/>
      </c>
      <c r="M425" s="2">
        <f>MIN(MAX(1-G425,0),1)</f>
        <v/>
      </c>
      <c r="N425" s="2">
        <f>MIN(MAX(1-(H425-1)/4,0),1)</f>
        <v/>
      </c>
      <c r="O425" s="2">
        <f>1-MIN(I425/8,1)</f>
        <v/>
      </c>
      <c r="P425" s="10">
        <f>ROUND(100*(J425*Assumptions!$B$6+K425*Assumptions!$B$7+L425*Assumptions!$B$8+M425*Assumptions!$B$9+N425*Assumptions!$B$10+O425*Assumptions!$B$11),1)</f>
        <v/>
      </c>
      <c r="Q425" s="2">
        <f>IF(P425&gt;=Assumptions!$B$14,"High",IF(P425&gt;=Assumptions!$B$15,"Medium","Low"))</f>
        <v/>
      </c>
      <c r="R425" s="2">
        <f>Cleaned_Data!L425</f>
        <v/>
      </c>
    </row>
    <row r="426">
      <c r="A426" s="2">
        <f>Cleaned_Data!A426</f>
        <v/>
      </c>
      <c r="B426" s="2">
        <f>Cleaned_Data!B426</f>
        <v/>
      </c>
      <c r="C426" s="2">
        <f>Cleaned_Data!G426</f>
        <v/>
      </c>
      <c r="D426" s="2">
        <f>Cleaned_Data!I426</f>
        <v/>
      </c>
      <c r="E426" s="2">
        <f>Cleaned_Data!H426</f>
        <v/>
      </c>
      <c r="F426" s="2">
        <f>Cleaned_Data!F426</f>
        <v/>
      </c>
      <c r="G426" s="9">
        <f>SUMPRODUCT(($B$2:$B$1196=B426)*($F$2:$F$1196&lt;=F426))/SUMPRODUCT(($B$2:$B$1196=B426)*1)</f>
        <v/>
      </c>
      <c r="H426" s="2">
        <f>Cleaned_Data!J426</f>
        <v/>
      </c>
      <c r="I426" s="2">
        <f>Cleaned_Data!E426</f>
        <v/>
      </c>
      <c r="J426" s="2">
        <f>IF(C426="Yes",1,0)</f>
        <v/>
      </c>
      <c r="K426" s="2">
        <f>MIN(MAX(1-(D426-1)/4,0),1)</f>
        <v/>
      </c>
      <c r="L426" s="2">
        <f>MIN(E426/60,1)</f>
        <v/>
      </c>
      <c r="M426" s="2">
        <f>MIN(MAX(1-G426,0),1)</f>
        <v/>
      </c>
      <c r="N426" s="2">
        <f>MIN(MAX(1-(H426-1)/4,0),1)</f>
        <v/>
      </c>
      <c r="O426" s="2">
        <f>1-MIN(I426/8,1)</f>
        <v/>
      </c>
      <c r="P426" s="10">
        <f>ROUND(100*(J426*Assumptions!$B$6+K426*Assumptions!$B$7+L426*Assumptions!$B$8+M426*Assumptions!$B$9+N426*Assumptions!$B$10+O426*Assumptions!$B$11),1)</f>
        <v/>
      </c>
      <c r="Q426" s="2">
        <f>IF(P426&gt;=Assumptions!$B$14,"High",IF(P426&gt;=Assumptions!$B$15,"Medium","Low"))</f>
        <v/>
      </c>
      <c r="R426" s="2">
        <f>Cleaned_Data!L426</f>
        <v/>
      </c>
    </row>
    <row r="427">
      <c r="A427" s="2">
        <f>Cleaned_Data!A427</f>
        <v/>
      </c>
      <c r="B427" s="2">
        <f>Cleaned_Data!B427</f>
        <v/>
      </c>
      <c r="C427" s="2">
        <f>Cleaned_Data!G427</f>
        <v/>
      </c>
      <c r="D427" s="2">
        <f>Cleaned_Data!I427</f>
        <v/>
      </c>
      <c r="E427" s="2">
        <f>Cleaned_Data!H427</f>
        <v/>
      </c>
      <c r="F427" s="2">
        <f>Cleaned_Data!F427</f>
        <v/>
      </c>
      <c r="G427" s="9">
        <f>SUMPRODUCT(($B$2:$B$1196=B427)*($F$2:$F$1196&lt;=F427))/SUMPRODUCT(($B$2:$B$1196=B427)*1)</f>
        <v/>
      </c>
      <c r="H427" s="2">
        <f>Cleaned_Data!J427</f>
        <v/>
      </c>
      <c r="I427" s="2">
        <f>Cleaned_Data!E427</f>
        <v/>
      </c>
      <c r="J427" s="2">
        <f>IF(C427="Yes",1,0)</f>
        <v/>
      </c>
      <c r="K427" s="2">
        <f>MIN(MAX(1-(D427-1)/4,0),1)</f>
        <v/>
      </c>
      <c r="L427" s="2">
        <f>MIN(E427/60,1)</f>
        <v/>
      </c>
      <c r="M427" s="2">
        <f>MIN(MAX(1-G427,0),1)</f>
        <v/>
      </c>
      <c r="N427" s="2">
        <f>MIN(MAX(1-(H427-1)/4,0),1)</f>
        <v/>
      </c>
      <c r="O427" s="2">
        <f>1-MIN(I427/8,1)</f>
        <v/>
      </c>
      <c r="P427" s="10">
        <f>ROUND(100*(J427*Assumptions!$B$6+K427*Assumptions!$B$7+L427*Assumptions!$B$8+M427*Assumptions!$B$9+N427*Assumptions!$B$10+O427*Assumptions!$B$11),1)</f>
        <v/>
      </c>
      <c r="Q427" s="2">
        <f>IF(P427&gt;=Assumptions!$B$14,"High",IF(P427&gt;=Assumptions!$B$15,"Medium","Low"))</f>
        <v/>
      </c>
      <c r="R427" s="2">
        <f>Cleaned_Data!L427</f>
        <v/>
      </c>
    </row>
    <row r="428">
      <c r="A428" s="2">
        <f>Cleaned_Data!A428</f>
        <v/>
      </c>
      <c r="B428" s="2">
        <f>Cleaned_Data!B428</f>
        <v/>
      </c>
      <c r="C428" s="2">
        <f>Cleaned_Data!G428</f>
        <v/>
      </c>
      <c r="D428" s="2">
        <f>Cleaned_Data!I428</f>
        <v/>
      </c>
      <c r="E428" s="2">
        <f>Cleaned_Data!H428</f>
        <v/>
      </c>
      <c r="F428" s="2">
        <f>Cleaned_Data!F428</f>
        <v/>
      </c>
      <c r="G428" s="9">
        <f>SUMPRODUCT(($B$2:$B$1196=B428)*($F$2:$F$1196&lt;=F428))/SUMPRODUCT(($B$2:$B$1196=B428)*1)</f>
        <v/>
      </c>
      <c r="H428" s="2">
        <f>Cleaned_Data!J428</f>
        <v/>
      </c>
      <c r="I428" s="2">
        <f>Cleaned_Data!E428</f>
        <v/>
      </c>
      <c r="J428" s="2">
        <f>IF(C428="Yes",1,0)</f>
        <v/>
      </c>
      <c r="K428" s="2">
        <f>MIN(MAX(1-(D428-1)/4,0),1)</f>
        <v/>
      </c>
      <c r="L428" s="2">
        <f>MIN(E428/60,1)</f>
        <v/>
      </c>
      <c r="M428" s="2">
        <f>MIN(MAX(1-G428,0),1)</f>
        <v/>
      </c>
      <c r="N428" s="2">
        <f>MIN(MAX(1-(H428-1)/4,0),1)</f>
        <v/>
      </c>
      <c r="O428" s="2">
        <f>1-MIN(I428/8,1)</f>
        <v/>
      </c>
      <c r="P428" s="10">
        <f>ROUND(100*(J428*Assumptions!$B$6+K428*Assumptions!$B$7+L428*Assumptions!$B$8+M428*Assumptions!$B$9+N428*Assumptions!$B$10+O428*Assumptions!$B$11),1)</f>
        <v/>
      </c>
      <c r="Q428" s="2">
        <f>IF(P428&gt;=Assumptions!$B$14,"High",IF(P428&gt;=Assumptions!$B$15,"Medium","Low"))</f>
        <v/>
      </c>
      <c r="R428" s="2">
        <f>Cleaned_Data!L428</f>
        <v/>
      </c>
    </row>
    <row r="429">
      <c r="A429" s="2">
        <f>Cleaned_Data!A429</f>
        <v/>
      </c>
      <c r="B429" s="2">
        <f>Cleaned_Data!B429</f>
        <v/>
      </c>
      <c r="C429" s="2">
        <f>Cleaned_Data!G429</f>
        <v/>
      </c>
      <c r="D429" s="2">
        <f>Cleaned_Data!I429</f>
        <v/>
      </c>
      <c r="E429" s="2">
        <f>Cleaned_Data!H429</f>
        <v/>
      </c>
      <c r="F429" s="2">
        <f>Cleaned_Data!F429</f>
        <v/>
      </c>
      <c r="G429" s="9">
        <f>SUMPRODUCT(($B$2:$B$1196=B429)*($F$2:$F$1196&lt;=F429))/SUMPRODUCT(($B$2:$B$1196=B429)*1)</f>
        <v/>
      </c>
      <c r="H429" s="2">
        <f>Cleaned_Data!J429</f>
        <v/>
      </c>
      <c r="I429" s="2">
        <f>Cleaned_Data!E429</f>
        <v/>
      </c>
      <c r="J429" s="2">
        <f>IF(C429="Yes",1,0)</f>
        <v/>
      </c>
      <c r="K429" s="2">
        <f>MIN(MAX(1-(D429-1)/4,0),1)</f>
        <v/>
      </c>
      <c r="L429" s="2">
        <f>MIN(E429/60,1)</f>
        <v/>
      </c>
      <c r="M429" s="2">
        <f>MIN(MAX(1-G429,0),1)</f>
        <v/>
      </c>
      <c r="N429" s="2">
        <f>MIN(MAX(1-(H429-1)/4,0),1)</f>
        <v/>
      </c>
      <c r="O429" s="2">
        <f>1-MIN(I429/8,1)</f>
        <v/>
      </c>
      <c r="P429" s="10">
        <f>ROUND(100*(J429*Assumptions!$B$6+K429*Assumptions!$B$7+L429*Assumptions!$B$8+M429*Assumptions!$B$9+N429*Assumptions!$B$10+O429*Assumptions!$B$11),1)</f>
        <v/>
      </c>
      <c r="Q429" s="2">
        <f>IF(P429&gt;=Assumptions!$B$14,"High",IF(P429&gt;=Assumptions!$B$15,"Medium","Low"))</f>
        <v/>
      </c>
      <c r="R429" s="2">
        <f>Cleaned_Data!L429</f>
        <v/>
      </c>
    </row>
    <row r="430">
      <c r="A430" s="2">
        <f>Cleaned_Data!A430</f>
        <v/>
      </c>
      <c r="B430" s="2">
        <f>Cleaned_Data!B430</f>
        <v/>
      </c>
      <c r="C430" s="2">
        <f>Cleaned_Data!G430</f>
        <v/>
      </c>
      <c r="D430" s="2">
        <f>Cleaned_Data!I430</f>
        <v/>
      </c>
      <c r="E430" s="2">
        <f>Cleaned_Data!H430</f>
        <v/>
      </c>
      <c r="F430" s="2">
        <f>Cleaned_Data!F430</f>
        <v/>
      </c>
      <c r="G430" s="9">
        <f>SUMPRODUCT(($B$2:$B$1196=B430)*($F$2:$F$1196&lt;=F430))/SUMPRODUCT(($B$2:$B$1196=B430)*1)</f>
        <v/>
      </c>
      <c r="H430" s="2">
        <f>Cleaned_Data!J430</f>
        <v/>
      </c>
      <c r="I430" s="2">
        <f>Cleaned_Data!E430</f>
        <v/>
      </c>
      <c r="J430" s="2">
        <f>IF(C430="Yes",1,0)</f>
        <v/>
      </c>
      <c r="K430" s="2">
        <f>MIN(MAX(1-(D430-1)/4,0),1)</f>
        <v/>
      </c>
      <c r="L430" s="2">
        <f>MIN(E430/60,1)</f>
        <v/>
      </c>
      <c r="M430" s="2">
        <f>MIN(MAX(1-G430,0),1)</f>
        <v/>
      </c>
      <c r="N430" s="2">
        <f>MIN(MAX(1-(H430-1)/4,0),1)</f>
        <v/>
      </c>
      <c r="O430" s="2">
        <f>1-MIN(I430/8,1)</f>
        <v/>
      </c>
      <c r="P430" s="10">
        <f>ROUND(100*(J430*Assumptions!$B$6+K430*Assumptions!$B$7+L430*Assumptions!$B$8+M430*Assumptions!$B$9+N430*Assumptions!$B$10+O430*Assumptions!$B$11),1)</f>
        <v/>
      </c>
      <c r="Q430" s="2">
        <f>IF(P430&gt;=Assumptions!$B$14,"High",IF(P430&gt;=Assumptions!$B$15,"Medium","Low"))</f>
        <v/>
      </c>
      <c r="R430" s="2">
        <f>Cleaned_Data!L430</f>
        <v/>
      </c>
    </row>
    <row r="431">
      <c r="A431" s="2">
        <f>Cleaned_Data!A431</f>
        <v/>
      </c>
      <c r="B431" s="2">
        <f>Cleaned_Data!B431</f>
        <v/>
      </c>
      <c r="C431" s="2">
        <f>Cleaned_Data!G431</f>
        <v/>
      </c>
      <c r="D431" s="2">
        <f>Cleaned_Data!I431</f>
        <v/>
      </c>
      <c r="E431" s="2">
        <f>Cleaned_Data!H431</f>
        <v/>
      </c>
      <c r="F431" s="2">
        <f>Cleaned_Data!F431</f>
        <v/>
      </c>
      <c r="G431" s="9">
        <f>SUMPRODUCT(($B$2:$B$1196=B431)*($F$2:$F$1196&lt;=F431))/SUMPRODUCT(($B$2:$B$1196=B431)*1)</f>
        <v/>
      </c>
      <c r="H431" s="2">
        <f>Cleaned_Data!J431</f>
        <v/>
      </c>
      <c r="I431" s="2">
        <f>Cleaned_Data!E431</f>
        <v/>
      </c>
      <c r="J431" s="2">
        <f>IF(C431="Yes",1,0)</f>
        <v/>
      </c>
      <c r="K431" s="2">
        <f>MIN(MAX(1-(D431-1)/4,0),1)</f>
        <v/>
      </c>
      <c r="L431" s="2">
        <f>MIN(E431/60,1)</f>
        <v/>
      </c>
      <c r="M431" s="2">
        <f>MIN(MAX(1-G431,0),1)</f>
        <v/>
      </c>
      <c r="N431" s="2">
        <f>MIN(MAX(1-(H431-1)/4,0),1)</f>
        <v/>
      </c>
      <c r="O431" s="2">
        <f>1-MIN(I431/8,1)</f>
        <v/>
      </c>
      <c r="P431" s="10">
        <f>ROUND(100*(J431*Assumptions!$B$6+K431*Assumptions!$B$7+L431*Assumptions!$B$8+M431*Assumptions!$B$9+N431*Assumptions!$B$10+O431*Assumptions!$B$11),1)</f>
        <v/>
      </c>
      <c r="Q431" s="2">
        <f>IF(P431&gt;=Assumptions!$B$14,"High",IF(P431&gt;=Assumptions!$B$15,"Medium","Low"))</f>
        <v/>
      </c>
      <c r="R431" s="2">
        <f>Cleaned_Data!L431</f>
        <v/>
      </c>
    </row>
    <row r="432">
      <c r="A432" s="2">
        <f>Cleaned_Data!A432</f>
        <v/>
      </c>
      <c r="B432" s="2">
        <f>Cleaned_Data!B432</f>
        <v/>
      </c>
      <c r="C432" s="2">
        <f>Cleaned_Data!G432</f>
        <v/>
      </c>
      <c r="D432" s="2">
        <f>Cleaned_Data!I432</f>
        <v/>
      </c>
      <c r="E432" s="2">
        <f>Cleaned_Data!H432</f>
        <v/>
      </c>
      <c r="F432" s="2">
        <f>Cleaned_Data!F432</f>
        <v/>
      </c>
      <c r="G432" s="9">
        <f>SUMPRODUCT(($B$2:$B$1196=B432)*($F$2:$F$1196&lt;=F432))/SUMPRODUCT(($B$2:$B$1196=B432)*1)</f>
        <v/>
      </c>
      <c r="H432" s="2">
        <f>Cleaned_Data!J432</f>
        <v/>
      </c>
      <c r="I432" s="2">
        <f>Cleaned_Data!E432</f>
        <v/>
      </c>
      <c r="J432" s="2">
        <f>IF(C432="Yes",1,0)</f>
        <v/>
      </c>
      <c r="K432" s="2">
        <f>MIN(MAX(1-(D432-1)/4,0),1)</f>
        <v/>
      </c>
      <c r="L432" s="2">
        <f>MIN(E432/60,1)</f>
        <v/>
      </c>
      <c r="M432" s="2">
        <f>MIN(MAX(1-G432,0),1)</f>
        <v/>
      </c>
      <c r="N432" s="2">
        <f>MIN(MAX(1-(H432-1)/4,0),1)</f>
        <v/>
      </c>
      <c r="O432" s="2">
        <f>1-MIN(I432/8,1)</f>
        <v/>
      </c>
      <c r="P432" s="10">
        <f>ROUND(100*(J432*Assumptions!$B$6+K432*Assumptions!$B$7+L432*Assumptions!$B$8+M432*Assumptions!$B$9+N432*Assumptions!$B$10+O432*Assumptions!$B$11),1)</f>
        <v/>
      </c>
      <c r="Q432" s="2">
        <f>IF(P432&gt;=Assumptions!$B$14,"High",IF(P432&gt;=Assumptions!$B$15,"Medium","Low"))</f>
        <v/>
      </c>
      <c r="R432" s="2">
        <f>Cleaned_Data!L432</f>
        <v/>
      </c>
    </row>
    <row r="433">
      <c r="A433" s="2">
        <f>Cleaned_Data!A433</f>
        <v/>
      </c>
      <c r="B433" s="2">
        <f>Cleaned_Data!B433</f>
        <v/>
      </c>
      <c r="C433" s="2">
        <f>Cleaned_Data!G433</f>
        <v/>
      </c>
      <c r="D433" s="2">
        <f>Cleaned_Data!I433</f>
        <v/>
      </c>
      <c r="E433" s="2">
        <f>Cleaned_Data!H433</f>
        <v/>
      </c>
      <c r="F433" s="2">
        <f>Cleaned_Data!F433</f>
        <v/>
      </c>
      <c r="G433" s="9">
        <f>SUMPRODUCT(($B$2:$B$1196=B433)*($F$2:$F$1196&lt;=F433))/SUMPRODUCT(($B$2:$B$1196=B433)*1)</f>
        <v/>
      </c>
      <c r="H433" s="2">
        <f>Cleaned_Data!J433</f>
        <v/>
      </c>
      <c r="I433" s="2">
        <f>Cleaned_Data!E433</f>
        <v/>
      </c>
      <c r="J433" s="2">
        <f>IF(C433="Yes",1,0)</f>
        <v/>
      </c>
      <c r="K433" s="2">
        <f>MIN(MAX(1-(D433-1)/4,0),1)</f>
        <v/>
      </c>
      <c r="L433" s="2">
        <f>MIN(E433/60,1)</f>
        <v/>
      </c>
      <c r="M433" s="2">
        <f>MIN(MAX(1-G433,0),1)</f>
        <v/>
      </c>
      <c r="N433" s="2">
        <f>MIN(MAX(1-(H433-1)/4,0),1)</f>
        <v/>
      </c>
      <c r="O433" s="2">
        <f>1-MIN(I433/8,1)</f>
        <v/>
      </c>
      <c r="P433" s="10">
        <f>ROUND(100*(J433*Assumptions!$B$6+K433*Assumptions!$B$7+L433*Assumptions!$B$8+M433*Assumptions!$B$9+N433*Assumptions!$B$10+O433*Assumptions!$B$11),1)</f>
        <v/>
      </c>
      <c r="Q433" s="2">
        <f>IF(P433&gt;=Assumptions!$B$14,"High",IF(P433&gt;=Assumptions!$B$15,"Medium","Low"))</f>
        <v/>
      </c>
      <c r="R433" s="2">
        <f>Cleaned_Data!L433</f>
        <v/>
      </c>
    </row>
    <row r="434">
      <c r="A434" s="2">
        <f>Cleaned_Data!A434</f>
        <v/>
      </c>
      <c r="B434" s="2">
        <f>Cleaned_Data!B434</f>
        <v/>
      </c>
      <c r="C434" s="2">
        <f>Cleaned_Data!G434</f>
        <v/>
      </c>
      <c r="D434" s="2">
        <f>Cleaned_Data!I434</f>
        <v/>
      </c>
      <c r="E434" s="2">
        <f>Cleaned_Data!H434</f>
        <v/>
      </c>
      <c r="F434" s="2">
        <f>Cleaned_Data!F434</f>
        <v/>
      </c>
      <c r="G434" s="9">
        <f>SUMPRODUCT(($B$2:$B$1196=B434)*($F$2:$F$1196&lt;=F434))/SUMPRODUCT(($B$2:$B$1196=B434)*1)</f>
        <v/>
      </c>
      <c r="H434" s="2">
        <f>Cleaned_Data!J434</f>
        <v/>
      </c>
      <c r="I434" s="2">
        <f>Cleaned_Data!E434</f>
        <v/>
      </c>
      <c r="J434" s="2">
        <f>IF(C434="Yes",1,0)</f>
        <v/>
      </c>
      <c r="K434" s="2">
        <f>MIN(MAX(1-(D434-1)/4,0),1)</f>
        <v/>
      </c>
      <c r="L434" s="2">
        <f>MIN(E434/60,1)</f>
        <v/>
      </c>
      <c r="M434" s="2">
        <f>MIN(MAX(1-G434,0),1)</f>
        <v/>
      </c>
      <c r="N434" s="2">
        <f>MIN(MAX(1-(H434-1)/4,0),1)</f>
        <v/>
      </c>
      <c r="O434" s="2">
        <f>1-MIN(I434/8,1)</f>
        <v/>
      </c>
      <c r="P434" s="10">
        <f>ROUND(100*(J434*Assumptions!$B$6+K434*Assumptions!$B$7+L434*Assumptions!$B$8+M434*Assumptions!$B$9+N434*Assumptions!$B$10+O434*Assumptions!$B$11),1)</f>
        <v/>
      </c>
      <c r="Q434" s="2">
        <f>IF(P434&gt;=Assumptions!$B$14,"High",IF(P434&gt;=Assumptions!$B$15,"Medium","Low"))</f>
        <v/>
      </c>
      <c r="R434" s="2">
        <f>Cleaned_Data!L434</f>
        <v/>
      </c>
    </row>
    <row r="435">
      <c r="A435" s="2">
        <f>Cleaned_Data!A435</f>
        <v/>
      </c>
      <c r="B435" s="2">
        <f>Cleaned_Data!B435</f>
        <v/>
      </c>
      <c r="C435" s="2">
        <f>Cleaned_Data!G435</f>
        <v/>
      </c>
      <c r="D435" s="2">
        <f>Cleaned_Data!I435</f>
        <v/>
      </c>
      <c r="E435" s="2">
        <f>Cleaned_Data!H435</f>
        <v/>
      </c>
      <c r="F435" s="2">
        <f>Cleaned_Data!F435</f>
        <v/>
      </c>
      <c r="G435" s="9">
        <f>SUMPRODUCT(($B$2:$B$1196=B435)*($F$2:$F$1196&lt;=F435))/SUMPRODUCT(($B$2:$B$1196=B435)*1)</f>
        <v/>
      </c>
      <c r="H435" s="2">
        <f>Cleaned_Data!J435</f>
        <v/>
      </c>
      <c r="I435" s="2">
        <f>Cleaned_Data!E435</f>
        <v/>
      </c>
      <c r="J435" s="2">
        <f>IF(C435="Yes",1,0)</f>
        <v/>
      </c>
      <c r="K435" s="2">
        <f>MIN(MAX(1-(D435-1)/4,0),1)</f>
        <v/>
      </c>
      <c r="L435" s="2">
        <f>MIN(E435/60,1)</f>
        <v/>
      </c>
      <c r="M435" s="2">
        <f>MIN(MAX(1-G435,0),1)</f>
        <v/>
      </c>
      <c r="N435" s="2">
        <f>MIN(MAX(1-(H435-1)/4,0),1)</f>
        <v/>
      </c>
      <c r="O435" s="2">
        <f>1-MIN(I435/8,1)</f>
        <v/>
      </c>
      <c r="P435" s="10">
        <f>ROUND(100*(J435*Assumptions!$B$6+K435*Assumptions!$B$7+L435*Assumptions!$B$8+M435*Assumptions!$B$9+N435*Assumptions!$B$10+O435*Assumptions!$B$11),1)</f>
        <v/>
      </c>
      <c r="Q435" s="2">
        <f>IF(P435&gt;=Assumptions!$B$14,"High",IF(P435&gt;=Assumptions!$B$15,"Medium","Low"))</f>
        <v/>
      </c>
      <c r="R435" s="2">
        <f>Cleaned_Data!L435</f>
        <v/>
      </c>
    </row>
    <row r="436">
      <c r="A436" s="2">
        <f>Cleaned_Data!A436</f>
        <v/>
      </c>
      <c r="B436" s="2">
        <f>Cleaned_Data!B436</f>
        <v/>
      </c>
      <c r="C436" s="2">
        <f>Cleaned_Data!G436</f>
        <v/>
      </c>
      <c r="D436" s="2">
        <f>Cleaned_Data!I436</f>
        <v/>
      </c>
      <c r="E436" s="2">
        <f>Cleaned_Data!H436</f>
        <v/>
      </c>
      <c r="F436" s="2">
        <f>Cleaned_Data!F436</f>
        <v/>
      </c>
      <c r="G436" s="9">
        <f>SUMPRODUCT(($B$2:$B$1196=B436)*($F$2:$F$1196&lt;=F436))/SUMPRODUCT(($B$2:$B$1196=B436)*1)</f>
        <v/>
      </c>
      <c r="H436" s="2">
        <f>Cleaned_Data!J436</f>
        <v/>
      </c>
      <c r="I436" s="2">
        <f>Cleaned_Data!E436</f>
        <v/>
      </c>
      <c r="J436" s="2">
        <f>IF(C436="Yes",1,0)</f>
        <v/>
      </c>
      <c r="K436" s="2">
        <f>MIN(MAX(1-(D436-1)/4,0),1)</f>
        <v/>
      </c>
      <c r="L436" s="2">
        <f>MIN(E436/60,1)</f>
        <v/>
      </c>
      <c r="M436" s="2">
        <f>MIN(MAX(1-G436,0),1)</f>
        <v/>
      </c>
      <c r="N436" s="2">
        <f>MIN(MAX(1-(H436-1)/4,0),1)</f>
        <v/>
      </c>
      <c r="O436" s="2">
        <f>1-MIN(I436/8,1)</f>
        <v/>
      </c>
      <c r="P436" s="10">
        <f>ROUND(100*(J436*Assumptions!$B$6+K436*Assumptions!$B$7+L436*Assumptions!$B$8+M436*Assumptions!$B$9+N436*Assumptions!$B$10+O436*Assumptions!$B$11),1)</f>
        <v/>
      </c>
      <c r="Q436" s="2">
        <f>IF(P436&gt;=Assumptions!$B$14,"High",IF(P436&gt;=Assumptions!$B$15,"Medium","Low"))</f>
        <v/>
      </c>
      <c r="R436" s="2">
        <f>Cleaned_Data!L436</f>
        <v/>
      </c>
    </row>
    <row r="437">
      <c r="A437" s="2">
        <f>Cleaned_Data!A437</f>
        <v/>
      </c>
      <c r="B437" s="2">
        <f>Cleaned_Data!B437</f>
        <v/>
      </c>
      <c r="C437" s="2">
        <f>Cleaned_Data!G437</f>
        <v/>
      </c>
      <c r="D437" s="2">
        <f>Cleaned_Data!I437</f>
        <v/>
      </c>
      <c r="E437" s="2">
        <f>Cleaned_Data!H437</f>
        <v/>
      </c>
      <c r="F437" s="2">
        <f>Cleaned_Data!F437</f>
        <v/>
      </c>
      <c r="G437" s="9">
        <f>SUMPRODUCT(($B$2:$B$1196=B437)*($F$2:$F$1196&lt;=F437))/SUMPRODUCT(($B$2:$B$1196=B437)*1)</f>
        <v/>
      </c>
      <c r="H437" s="2">
        <f>Cleaned_Data!J437</f>
        <v/>
      </c>
      <c r="I437" s="2">
        <f>Cleaned_Data!E437</f>
        <v/>
      </c>
      <c r="J437" s="2">
        <f>IF(C437="Yes",1,0)</f>
        <v/>
      </c>
      <c r="K437" s="2">
        <f>MIN(MAX(1-(D437-1)/4,0),1)</f>
        <v/>
      </c>
      <c r="L437" s="2">
        <f>MIN(E437/60,1)</f>
        <v/>
      </c>
      <c r="M437" s="2">
        <f>MIN(MAX(1-G437,0),1)</f>
        <v/>
      </c>
      <c r="N437" s="2">
        <f>MIN(MAX(1-(H437-1)/4,0),1)</f>
        <v/>
      </c>
      <c r="O437" s="2">
        <f>1-MIN(I437/8,1)</f>
        <v/>
      </c>
      <c r="P437" s="10">
        <f>ROUND(100*(J437*Assumptions!$B$6+K437*Assumptions!$B$7+L437*Assumptions!$B$8+M437*Assumptions!$B$9+N437*Assumptions!$B$10+O437*Assumptions!$B$11),1)</f>
        <v/>
      </c>
      <c r="Q437" s="2">
        <f>IF(P437&gt;=Assumptions!$B$14,"High",IF(P437&gt;=Assumptions!$B$15,"Medium","Low"))</f>
        <v/>
      </c>
      <c r="R437" s="2">
        <f>Cleaned_Data!L437</f>
        <v/>
      </c>
    </row>
    <row r="438">
      <c r="A438" s="2">
        <f>Cleaned_Data!A438</f>
        <v/>
      </c>
      <c r="B438" s="2">
        <f>Cleaned_Data!B438</f>
        <v/>
      </c>
      <c r="C438" s="2">
        <f>Cleaned_Data!G438</f>
        <v/>
      </c>
      <c r="D438" s="2">
        <f>Cleaned_Data!I438</f>
        <v/>
      </c>
      <c r="E438" s="2">
        <f>Cleaned_Data!H438</f>
        <v/>
      </c>
      <c r="F438" s="2">
        <f>Cleaned_Data!F438</f>
        <v/>
      </c>
      <c r="G438" s="9">
        <f>SUMPRODUCT(($B$2:$B$1196=B438)*($F$2:$F$1196&lt;=F438))/SUMPRODUCT(($B$2:$B$1196=B438)*1)</f>
        <v/>
      </c>
      <c r="H438" s="2">
        <f>Cleaned_Data!J438</f>
        <v/>
      </c>
      <c r="I438" s="2">
        <f>Cleaned_Data!E438</f>
        <v/>
      </c>
      <c r="J438" s="2">
        <f>IF(C438="Yes",1,0)</f>
        <v/>
      </c>
      <c r="K438" s="2">
        <f>MIN(MAX(1-(D438-1)/4,0),1)</f>
        <v/>
      </c>
      <c r="L438" s="2">
        <f>MIN(E438/60,1)</f>
        <v/>
      </c>
      <c r="M438" s="2">
        <f>MIN(MAX(1-G438,0),1)</f>
        <v/>
      </c>
      <c r="N438" s="2">
        <f>MIN(MAX(1-(H438-1)/4,0),1)</f>
        <v/>
      </c>
      <c r="O438" s="2">
        <f>1-MIN(I438/8,1)</f>
        <v/>
      </c>
      <c r="P438" s="10">
        <f>ROUND(100*(J438*Assumptions!$B$6+K438*Assumptions!$B$7+L438*Assumptions!$B$8+M438*Assumptions!$B$9+N438*Assumptions!$B$10+O438*Assumptions!$B$11),1)</f>
        <v/>
      </c>
      <c r="Q438" s="2">
        <f>IF(P438&gt;=Assumptions!$B$14,"High",IF(P438&gt;=Assumptions!$B$15,"Medium","Low"))</f>
        <v/>
      </c>
      <c r="R438" s="2">
        <f>Cleaned_Data!L438</f>
        <v/>
      </c>
    </row>
    <row r="439">
      <c r="A439" s="2">
        <f>Cleaned_Data!A439</f>
        <v/>
      </c>
      <c r="B439" s="2">
        <f>Cleaned_Data!B439</f>
        <v/>
      </c>
      <c r="C439" s="2">
        <f>Cleaned_Data!G439</f>
        <v/>
      </c>
      <c r="D439" s="2">
        <f>Cleaned_Data!I439</f>
        <v/>
      </c>
      <c r="E439" s="2">
        <f>Cleaned_Data!H439</f>
        <v/>
      </c>
      <c r="F439" s="2">
        <f>Cleaned_Data!F439</f>
        <v/>
      </c>
      <c r="G439" s="9">
        <f>SUMPRODUCT(($B$2:$B$1196=B439)*($F$2:$F$1196&lt;=F439))/SUMPRODUCT(($B$2:$B$1196=B439)*1)</f>
        <v/>
      </c>
      <c r="H439" s="2">
        <f>Cleaned_Data!J439</f>
        <v/>
      </c>
      <c r="I439" s="2">
        <f>Cleaned_Data!E439</f>
        <v/>
      </c>
      <c r="J439" s="2">
        <f>IF(C439="Yes",1,0)</f>
        <v/>
      </c>
      <c r="K439" s="2">
        <f>MIN(MAX(1-(D439-1)/4,0),1)</f>
        <v/>
      </c>
      <c r="L439" s="2">
        <f>MIN(E439/60,1)</f>
        <v/>
      </c>
      <c r="M439" s="2">
        <f>MIN(MAX(1-G439,0),1)</f>
        <v/>
      </c>
      <c r="N439" s="2">
        <f>MIN(MAX(1-(H439-1)/4,0),1)</f>
        <v/>
      </c>
      <c r="O439" s="2">
        <f>1-MIN(I439/8,1)</f>
        <v/>
      </c>
      <c r="P439" s="10">
        <f>ROUND(100*(J439*Assumptions!$B$6+K439*Assumptions!$B$7+L439*Assumptions!$B$8+M439*Assumptions!$B$9+N439*Assumptions!$B$10+O439*Assumptions!$B$11),1)</f>
        <v/>
      </c>
      <c r="Q439" s="2">
        <f>IF(P439&gt;=Assumptions!$B$14,"High",IF(P439&gt;=Assumptions!$B$15,"Medium","Low"))</f>
        <v/>
      </c>
      <c r="R439" s="2">
        <f>Cleaned_Data!L439</f>
        <v/>
      </c>
    </row>
    <row r="440">
      <c r="A440" s="2">
        <f>Cleaned_Data!A440</f>
        <v/>
      </c>
      <c r="B440" s="2">
        <f>Cleaned_Data!B440</f>
        <v/>
      </c>
      <c r="C440" s="2">
        <f>Cleaned_Data!G440</f>
        <v/>
      </c>
      <c r="D440" s="2">
        <f>Cleaned_Data!I440</f>
        <v/>
      </c>
      <c r="E440" s="2">
        <f>Cleaned_Data!H440</f>
        <v/>
      </c>
      <c r="F440" s="2">
        <f>Cleaned_Data!F440</f>
        <v/>
      </c>
      <c r="G440" s="9">
        <f>SUMPRODUCT(($B$2:$B$1196=B440)*($F$2:$F$1196&lt;=F440))/SUMPRODUCT(($B$2:$B$1196=B440)*1)</f>
        <v/>
      </c>
      <c r="H440" s="2">
        <f>Cleaned_Data!J440</f>
        <v/>
      </c>
      <c r="I440" s="2">
        <f>Cleaned_Data!E440</f>
        <v/>
      </c>
      <c r="J440" s="2">
        <f>IF(C440="Yes",1,0)</f>
        <v/>
      </c>
      <c r="K440" s="2">
        <f>MIN(MAX(1-(D440-1)/4,0),1)</f>
        <v/>
      </c>
      <c r="L440" s="2">
        <f>MIN(E440/60,1)</f>
        <v/>
      </c>
      <c r="M440" s="2">
        <f>MIN(MAX(1-G440,0),1)</f>
        <v/>
      </c>
      <c r="N440" s="2">
        <f>MIN(MAX(1-(H440-1)/4,0),1)</f>
        <v/>
      </c>
      <c r="O440" s="2">
        <f>1-MIN(I440/8,1)</f>
        <v/>
      </c>
      <c r="P440" s="10">
        <f>ROUND(100*(J440*Assumptions!$B$6+K440*Assumptions!$B$7+L440*Assumptions!$B$8+M440*Assumptions!$B$9+N440*Assumptions!$B$10+O440*Assumptions!$B$11),1)</f>
        <v/>
      </c>
      <c r="Q440" s="2">
        <f>IF(P440&gt;=Assumptions!$B$14,"High",IF(P440&gt;=Assumptions!$B$15,"Medium","Low"))</f>
        <v/>
      </c>
      <c r="R440" s="2">
        <f>Cleaned_Data!L440</f>
        <v/>
      </c>
    </row>
    <row r="441">
      <c r="A441" s="2">
        <f>Cleaned_Data!A441</f>
        <v/>
      </c>
      <c r="B441" s="2">
        <f>Cleaned_Data!B441</f>
        <v/>
      </c>
      <c r="C441" s="2">
        <f>Cleaned_Data!G441</f>
        <v/>
      </c>
      <c r="D441" s="2">
        <f>Cleaned_Data!I441</f>
        <v/>
      </c>
      <c r="E441" s="2">
        <f>Cleaned_Data!H441</f>
        <v/>
      </c>
      <c r="F441" s="2">
        <f>Cleaned_Data!F441</f>
        <v/>
      </c>
      <c r="G441" s="9">
        <f>SUMPRODUCT(($B$2:$B$1196=B441)*($F$2:$F$1196&lt;=F441))/SUMPRODUCT(($B$2:$B$1196=B441)*1)</f>
        <v/>
      </c>
      <c r="H441" s="2">
        <f>Cleaned_Data!J441</f>
        <v/>
      </c>
      <c r="I441" s="2">
        <f>Cleaned_Data!E441</f>
        <v/>
      </c>
      <c r="J441" s="2">
        <f>IF(C441="Yes",1,0)</f>
        <v/>
      </c>
      <c r="K441" s="2">
        <f>MIN(MAX(1-(D441-1)/4,0),1)</f>
        <v/>
      </c>
      <c r="L441" s="2">
        <f>MIN(E441/60,1)</f>
        <v/>
      </c>
      <c r="M441" s="2">
        <f>MIN(MAX(1-G441,0),1)</f>
        <v/>
      </c>
      <c r="N441" s="2">
        <f>MIN(MAX(1-(H441-1)/4,0),1)</f>
        <v/>
      </c>
      <c r="O441" s="2">
        <f>1-MIN(I441/8,1)</f>
        <v/>
      </c>
      <c r="P441" s="10">
        <f>ROUND(100*(J441*Assumptions!$B$6+K441*Assumptions!$B$7+L441*Assumptions!$B$8+M441*Assumptions!$B$9+N441*Assumptions!$B$10+O441*Assumptions!$B$11),1)</f>
        <v/>
      </c>
      <c r="Q441" s="2">
        <f>IF(P441&gt;=Assumptions!$B$14,"High",IF(P441&gt;=Assumptions!$B$15,"Medium","Low"))</f>
        <v/>
      </c>
      <c r="R441" s="2">
        <f>Cleaned_Data!L441</f>
        <v/>
      </c>
    </row>
    <row r="442">
      <c r="A442" s="2">
        <f>Cleaned_Data!A442</f>
        <v/>
      </c>
      <c r="B442" s="2">
        <f>Cleaned_Data!B442</f>
        <v/>
      </c>
      <c r="C442" s="2">
        <f>Cleaned_Data!G442</f>
        <v/>
      </c>
      <c r="D442" s="2">
        <f>Cleaned_Data!I442</f>
        <v/>
      </c>
      <c r="E442" s="2">
        <f>Cleaned_Data!H442</f>
        <v/>
      </c>
      <c r="F442" s="2">
        <f>Cleaned_Data!F442</f>
        <v/>
      </c>
      <c r="G442" s="9">
        <f>SUMPRODUCT(($B$2:$B$1196=B442)*($F$2:$F$1196&lt;=F442))/SUMPRODUCT(($B$2:$B$1196=B442)*1)</f>
        <v/>
      </c>
      <c r="H442" s="2">
        <f>Cleaned_Data!J442</f>
        <v/>
      </c>
      <c r="I442" s="2">
        <f>Cleaned_Data!E442</f>
        <v/>
      </c>
      <c r="J442" s="2">
        <f>IF(C442="Yes",1,0)</f>
        <v/>
      </c>
      <c r="K442" s="2">
        <f>MIN(MAX(1-(D442-1)/4,0),1)</f>
        <v/>
      </c>
      <c r="L442" s="2">
        <f>MIN(E442/60,1)</f>
        <v/>
      </c>
      <c r="M442" s="2">
        <f>MIN(MAX(1-G442,0),1)</f>
        <v/>
      </c>
      <c r="N442" s="2">
        <f>MIN(MAX(1-(H442-1)/4,0),1)</f>
        <v/>
      </c>
      <c r="O442" s="2">
        <f>1-MIN(I442/8,1)</f>
        <v/>
      </c>
      <c r="P442" s="10">
        <f>ROUND(100*(J442*Assumptions!$B$6+K442*Assumptions!$B$7+L442*Assumptions!$B$8+M442*Assumptions!$B$9+N442*Assumptions!$B$10+O442*Assumptions!$B$11),1)</f>
        <v/>
      </c>
      <c r="Q442" s="2">
        <f>IF(P442&gt;=Assumptions!$B$14,"High",IF(P442&gt;=Assumptions!$B$15,"Medium","Low"))</f>
        <v/>
      </c>
      <c r="R442" s="2">
        <f>Cleaned_Data!L442</f>
        <v/>
      </c>
    </row>
    <row r="443">
      <c r="A443" s="2">
        <f>Cleaned_Data!A443</f>
        <v/>
      </c>
      <c r="B443" s="2">
        <f>Cleaned_Data!B443</f>
        <v/>
      </c>
      <c r="C443" s="2">
        <f>Cleaned_Data!G443</f>
        <v/>
      </c>
      <c r="D443" s="2">
        <f>Cleaned_Data!I443</f>
        <v/>
      </c>
      <c r="E443" s="2">
        <f>Cleaned_Data!H443</f>
        <v/>
      </c>
      <c r="F443" s="2">
        <f>Cleaned_Data!F443</f>
        <v/>
      </c>
      <c r="G443" s="9">
        <f>SUMPRODUCT(($B$2:$B$1196=B443)*($F$2:$F$1196&lt;=F443))/SUMPRODUCT(($B$2:$B$1196=B443)*1)</f>
        <v/>
      </c>
      <c r="H443" s="2">
        <f>Cleaned_Data!J443</f>
        <v/>
      </c>
      <c r="I443" s="2">
        <f>Cleaned_Data!E443</f>
        <v/>
      </c>
      <c r="J443" s="2">
        <f>IF(C443="Yes",1,0)</f>
        <v/>
      </c>
      <c r="K443" s="2">
        <f>MIN(MAX(1-(D443-1)/4,0),1)</f>
        <v/>
      </c>
      <c r="L443" s="2">
        <f>MIN(E443/60,1)</f>
        <v/>
      </c>
      <c r="M443" s="2">
        <f>MIN(MAX(1-G443,0),1)</f>
        <v/>
      </c>
      <c r="N443" s="2">
        <f>MIN(MAX(1-(H443-1)/4,0),1)</f>
        <v/>
      </c>
      <c r="O443" s="2">
        <f>1-MIN(I443/8,1)</f>
        <v/>
      </c>
      <c r="P443" s="10">
        <f>ROUND(100*(J443*Assumptions!$B$6+K443*Assumptions!$B$7+L443*Assumptions!$B$8+M443*Assumptions!$B$9+N443*Assumptions!$B$10+O443*Assumptions!$B$11),1)</f>
        <v/>
      </c>
      <c r="Q443" s="2">
        <f>IF(P443&gt;=Assumptions!$B$14,"High",IF(P443&gt;=Assumptions!$B$15,"Medium","Low"))</f>
        <v/>
      </c>
      <c r="R443" s="2">
        <f>Cleaned_Data!L443</f>
        <v/>
      </c>
    </row>
    <row r="444">
      <c r="A444" s="2">
        <f>Cleaned_Data!A444</f>
        <v/>
      </c>
      <c r="B444" s="2">
        <f>Cleaned_Data!B444</f>
        <v/>
      </c>
      <c r="C444" s="2">
        <f>Cleaned_Data!G444</f>
        <v/>
      </c>
      <c r="D444" s="2">
        <f>Cleaned_Data!I444</f>
        <v/>
      </c>
      <c r="E444" s="2">
        <f>Cleaned_Data!H444</f>
        <v/>
      </c>
      <c r="F444" s="2">
        <f>Cleaned_Data!F444</f>
        <v/>
      </c>
      <c r="G444" s="9">
        <f>SUMPRODUCT(($B$2:$B$1196=B444)*($F$2:$F$1196&lt;=F444))/SUMPRODUCT(($B$2:$B$1196=B444)*1)</f>
        <v/>
      </c>
      <c r="H444" s="2">
        <f>Cleaned_Data!J444</f>
        <v/>
      </c>
      <c r="I444" s="2">
        <f>Cleaned_Data!E444</f>
        <v/>
      </c>
      <c r="J444" s="2">
        <f>IF(C444="Yes",1,0)</f>
        <v/>
      </c>
      <c r="K444" s="2">
        <f>MIN(MAX(1-(D444-1)/4,0),1)</f>
        <v/>
      </c>
      <c r="L444" s="2">
        <f>MIN(E444/60,1)</f>
        <v/>
      </c>
      <c r="M444" s="2">
        <f>MIN(MAX(1-G444,0),1)</f>
        <v/>
      </c>
      <c r="N444" s="2">
        <f>MIN(MAX(1-(H444-1)/4,0),1)</f>
        <v/>
      </c>
      <c r="O444" s="2">
        <f>1-MIN(I444/8,1)</f>
        <v/>
      </c>
      <c r="P444" s="10">
        <f>ROUND(100*(J444*Assumptions!$B$6+K444*Assumptions!$B$7+L444*Assumptions!$B$8+M444*Assumptions!$B$9+N444*Assumptions!$B$10+O444*Assumptions!$B$11),1)</f>
        <v/>
      </c>
      <c r="Q444" s="2">
        <f>IF(P444&gt;=Assumptions!$B$14,"High",IF(P444&gt;=Assumptions!$B$15,"Medium","Low"))</f>
        <v/>
      </c>
      <c r="R444" s="2">
        <f>Cleaned_Data!L444</f>
        <v/>
      </c>
    </row>
    <row r="445">
      <c r="A445" s="2">
        <f>Cleaned_Data!A445</f>
        <v/>
      </c>
      <c r="B445" s="2">
        <f>Cleaned_Data!B445</f>
        <v/>
      </c>
      <c r="C445" s="2">
        <f>Cleaned_Data!G445</f>
        <v/>
      </c>
      <c r="D445" s="2">
        <f>Cleaned_Data!I445</f>
        <v/>
      </c>
      <c r="E445" s="2">
        <f>Cleaned_Data!H445</f>
        <v/>
      </c>
      <c r="F445" s="2">
        <f>Cleaned_Data!F445</f>
        <v/>
      </c>
      <c r="G445" s="9">
        <f>SUMPRODUCT(($B$2:$B$1196=B445)*($F$2:$F$1196&lt;=F445))/SUMPRODUCT(($B$2:$B$1196=B445)*1)</f>
        <v/>
      </c>
      <c r="H445" s="2">
        <f>Cleaned_Data!J445</f>
        <v/>
      </c>
      <c r="I445" s="2">
        <f>Cleaned_Data!E445</f>
        <v/>
      </c>
      <c r="J445" s="2">
        <f>IF(C445="Yes",1,0)</f>
        <v/>
      </c>
      <c r="K445" s="2">
        <f>MIN(MAX(1-(D445-1)/4,0),1)</f>
        <v/>
      </c>
      <c r="L445" s="2">
        <f>MIN(E445/60,1)</f>
        <v/>
      </c>
      <c r="M445" s="2">
        <f>MIN(MAX(1-G445,0),1)</f>
        <v/>
      </c>
      <c r="N445" s="2">
        <f>MIN(MAX(1-(H445-1)/4,0),1)</f>
        <v/>
      </c>
      <c r="O445" s="2">
        <f>1-MIN(I445/8,1)</f>
        <v/>
      </c>
      <c r="P445" s="10">
        <f>ROUND(100*(J445*Assumptions!$B$6+K445*Assumptions!$B$7+L445*Assumptions!$B$8+M445*Assumptions!$B$9+N445*Assumptions!$B$10+O445*Assumptions!$B$11),1)</f>
        <v/>
      </c>
      <c r="Q445" s="2">
        <f>IF(P445&gt;=Assumptions!$B$14,"High",IF(P445&gt;=Assumptions!$B$15,"Medium","Low"))</f>
        <v/>
      </c>
      <c r="R445" s="2">
        <f>Cleaned_Data!L445</f>
        <v/>
      </c>
    </row>
    <row r="446">
      <c r="A446" s="2">
        <f>Cleaned_Data!A446</f>
        <v/>
      </c>
      <c r="B446" s="2">
        <f>Cleaned_Data!B446</f>
        <v/>
      </c>
      <c r="C446" s="2">
        <f>Cleaned_Data!G446</f>
        <v/>
      </c>
      <c r="D446" s="2">
        <f>Cleaned_Data!I446</f>
        <v/>
      </c>
      <c r="E446" s="2">
        <f>Cleaned_Data!H446</f>
        <v/>
      </c>
      <c r="F446" s="2">
        <f>Cleaned_Data!F446</f>
        <v/>
      </c>
      <c r="G446" s="9">
        <f>SUMPRODUCT(($B$2:$B$1196=B446)*($F$2:$F$1196&lt;=F446))/SUMPRODUCT(($B$2:$B$1196=B446)*1)</f>
        <v/>
      </c>
      <c r="H446" s="2">
        <f>Cleaned_Data!J446</f>
        <v/>
      </c>
      <c r="I446" s="2">
        <f>Cleaned_Data!E446</f>
        <v/>
      </c>
      <c r="J446" s="2">
        <f>IF(C446="Yes",1,0)</f>
        <v/>
      </c>
      <c r="K446" s="2">
        <f>MIN(MAX(1-(D446-1)/4,0),1)</f>
        <v/>
      </c>
      <c r="L446" s="2">
        <f>MIN(E446/60,1)</f>
        <v/>
      </c>
      <c r="M446" s="2">
        <f>MIN(MAX(1-G446,0),1)</f>
        <v/>
      </c>
      <c r="N446" s="2">
        <f>MIN(MAX(1-(H446-1)/4,0),1)</f>
        <v/>
      </c>
      <c r="O446" s="2">
        <f>1-MIN(I446/8,1)</f>
        <v/>
      </c>
      <c r="P446" s="10">
        <f>ROUND(100*(J446*Assumptions!$B$6+K446*Assumptions!$B$7+L446*Assumptions!$B$8+M446*Assumptions!$B$9+N446*Assumptions!$B$10+O446*Assumptions!$B$11),1)</f>
        <v/>
      </c>
      <c r="Q446" s="2">
        <f>IF(P446&gt;=Assumptions!$B$14,"High",IF(P446&gt;=Assumptions!$B$15,"Medium","Low"))</f>
        <v/>
      </c>
      <c r="R446" s="2">
        <f>Cleaned_Data!L446</f>
        <v/>
      </c>
    </row>
    <row r="447">
      <c r="A447" s="2">
        <f>Cleaned_Data!A447</f>
        <v/>
      </c>
      <c r="B447" s="2">
        <f>Cleaned_Data!B447</f>
        <v/>
      </c>
      <c r="C447" s="2">
        <f>Cleaned_Data!G447</f>
        <v/>
      </c>
      <c r="D447" s="2">
        <f>Cleaned_Data!I447</f>
        <v/>
      </c>
      <c r="E447" s="2">
        <f>Cleaned_Data!H447</f>
        <v/>
      </c>
      <c r="F447" s="2">
        <f>Cleaned_Data!F447</f>
        <v/>
      </c>
      <c r="G447" s="9">
        <f>SUMPRODUCT(($B$2:$B$1196=B447)*($F$2:$F$1196&lt;=F447))/SUMPRODUCT(($B$2:$B$1196=B447)*1)</f>
        <v/>
      </c>
      <c r="H447" s="2">
        <f>Cleaned_Data!J447</f>
        <v/>
      </c>
      <c r="I447" s="2">
        <f>Cleaned_Data!E447</f>
        <v/>
      </c>
      <c r="J447" s="2">
        <f>IF(C447="Yes",1,0)</f>
        <v/>
      </c>
      <c r="K447" s="2">
        <f>MIN(MAX(1-(D447-1)/4,0),1)</f>
        <v/>
      </c>
      <c r="L447" s="2">
        <f>MIN(E447/60,1)</f>
        <v/>
      </c>
      <c r="M447" s="2">
        <f>MIN(MAX(1-G447,0),1)</f>
        <v/>
      </c>
      <c r="N447" s="2">
        <f>MIN(MAX(1-(H447-1)/4,0),1)</f>
        <v/>
      </c>
      <c r="O447" s="2">
        <f>1-MIN(I447/8,1)</f>
        <v/>
      </c>
      <c r="P447" s="10">
        <f>ROUND(100*(J447*Assumptions!$B$6+K447*Assumptions!$B$7+L447*Assumptions!$B$8+M447*Assumptions!$B$9+N447*Assumptions!$B$10+O447*Assumptions!$B$11),1)</f>
        <v/>
      </c>
      <c r="Q447" s="2">
        <f>IF(P447&gt;=Assumptions!$B$14,"High",IF(P447&gt;=Assumptions!$B$15,"Medium","Low"))</f>
        <v/>
      </c>
      <c r="R447" s="2">
        <f>Cleaned_Data!L447</f>
        <v/>
      </c>
    </row>
    <row r="448">
      <c r="A448" s="2">
        <f>Cleaned_Data!A448</f>
        <v/>
      </c>
      <c r="B448" s="2">
        <f>Cleaned_Data!B448</f>
        <v/>
      </c>
      <c r="C448" s="2">
        <f>Cleaned_Data!G448</f>
        <v/>
      </c>
      <c r="D448" s="2">
        <f>Cleaned_Data!I448</f>
        <v/>
      </c>
      <c r="E448" s="2">
        <f>Cleaned_Data!H448</f>
        <v/>
      </c>
      <c r="F448" s="2">
        <f>Cleaned_Data!F448</f>
        <v/>
      </c>
      <c r="G448" s="9">
        <f>SUMPRODUCT(($B$2:$B$1196=B448)*($F$2:$F$1196&lt;=F448))/SUMPRODUCT(($B$2:$B$1196=B448)*1)</f>
        <v/>
      </c>
      <c r="H448" s="2">
        <f>Cleaned_Data!J448</f>
        <v/>
      </c>
      <c r="I448" s="2">
        <f>Cleaned_Data!E448</f>
        <v/>
      </c>
      <c r="J448" s="2">
        <f>IF(C448="Yes",1,0)</f>
        <v/>
      </c>
      <c r="K448" s="2">
        <f>MIN(MAX(1-(D448-1)/4,0),1)</f>
        <v/>
      </c>
      <c r="L448" s="2">
        <f>MIN(E448/60,1)</f>
        <v/>
      </c>
      <c r="M448" s="2">
        <f>MIN(MAX(1-G448,0),1)</f>
        <v/>
      </c>
      <c r="N448" s="2">
        <f>MIN(MAX(1-(H448-1)/4,0),1)</f>
        <v/>
      </c>
      <c r="O448" s="2">
        <f>1-MIN(I448/8,1)</f>
        <v/>
      </c>
      <c r="P448" s="10">
        <f>ROUND(100*(J448*Assumptions!$B$6+K448*Assumptions!$B$7+L448*Assumptions!$B$8+M448*Assumptions!$B$9+N448*Assumptions!$B$10+O448*Assumptions!$B$11),1)</f>
        <v/>
      </c>
      <c r="Q448" s="2">
        <f>IF(P448&gt;=Assumptions!$B$14,"High",IF(P448&gt;=Assumptions!$B$15,"Medium","Low"))</f>
        <v/>
      </c>
      <c r="R448" s="2">
        <f>Cleaned_Data!L448</f>
        <v/>
      </c>
    </row>
    <row r="449">
      <c r="A449" s="2">
        <f>Cleaned_Data!A449</f>
        <v/>
      </c>
      <c r="B449" s="2">
        <f>Cleaned_Data!B449</f>
        <v/>
      </c>
      <c r="C449" s="2">
        <f>Cleaned_Data!G449</f>
        <v/>
      </c>
      <c r="D449" s="2">
        <f>Cleaned_Data!I449</f>
        <v/>
      </c>
      <c r="E449" s="2">
        <f>Cleaned_Data!H449</f>
        <v/>
      </c>
      <c r="F449" s="2">
        <f>Cleaned_Data!F449</f>
        <v/>
      </c>
      <c r="G449" s="9">
        <f>SUMPRODUCT(($B$2:$B$1196=B449)*($F$2:$F$1196&lt;=F449))/SUMPRODUCT(($B$2:$B$1196=B449)*1)</f>
        <v/>
      </c>
      <c r="H449" s="2">
        <f>Cleaned_Data!J449</f>
        <v/>
      </c>
      <c r="I449" s="2">
        <f>Cleaned_Data!E449</f>
        <v/>
      </c>
      <c r="J449" s="2">
        <f>IF(C449="Yes",1,0)</f>
        <v/>
      </c>
      <c r="K449" s="2">
        <f>MIN(MAX(1-(D449-1)/4,0),1)</f>
        <v/>
      </c>
      <c r="L449" s="2">
        <f>MIN(E449/60,1)</f>
        <v/>
      </c>
      <c r="M449" s="2">
        <f>MIN(MAX(1-G449,0),1)</f>
        <v/>
      </c>
      <c r="N449" s="2">
        <f>MIN(MAX(1-(H449-1)/4,0),1)</f>
        <v/>
      </c>
      <c r="O449" s="2">
        <f>1-MIN(I449/8,1)</f>
        <v/>
      </c>
      <c r="P449" s="10">
        <f>ROUND(100*(J449*Assumptions!$B$6+K449*Assumptions!$B$7+L449*Assumptions!$B$8+M449*Assumptions!$B$9+N449*Assumptions!$B$10+O449*Assumptions!$B$11),1)</f>
        <v/>
      </c>
      <c r="Q449" s="2">
        <f>IF(P449&gt;=Assumptions!$B$14,"High",IF(P449&gt;=Assumptions!$B$15,"Medium","Low"))</f>
        <v/>
      </c>
      <c r="R449" s="2">
        <f>Cleaned_Data!L449</f>
        <v/>
      </c>
    </row>
    <row r="450">
      <c r="A450" s="2">
        <f>Cleaned_Data!A450</f>
        <v/>
      </c>
      <c r="B450" s="2">
        <f>Cleaned_Data!B450</f>
        <v/>
      </c>
      <c r="C450" s="2">
        <f>Cleaned_Data!G450</f>
        <v/>
      </c>
      <c r="D450" s="2">
        <f>Cleaned_Data!I450</f>
        <v/>
      </c>
      <c r="E450" s="2">
        <f>Cleaned_Data!H450</f>
        <v/>
      </c>
      <c r="F450" s="2">
        <f>Cleaned_Data!F450</f>
        <v/>
      </c>
      <c r="G450" s="9">
        <f>SUMPRODUCT(($B$2:$B$1196=B450)*($F$2:$F$1196&lt;=F450))/SUMPRODUCT(($B$2:$B$1196=B450)*1)</f>
        <v/>
      </c>
      <c r="H450" s="2">
        <f>Cleaned_Data!J450</f>
        <v/>
      </c>
      <c r="I450" s="2">
        <f>Cleaned_Data!E450</f>
        <v/>
      </c>
      <c r="J450" s="2">
        <f>IF(C450="Yes",1,0)</f>
        <v/>
      </c>
      <c r="K450" s="2">
        <f>MIN(MAX(1-(D450-1)/4,0),1)</f>
        <v/>
      </c>
      <c r="L450" s="2">
        <f>MIN(E450/60,1)</f>
        <v/>
      </c>
      <c r="M450" s="2">
        <f>MIN(MAX(1-G450,0),1)</f>
        <v/>
      </c>
      <c r="N450" s="2">
        <f>MIN(MAX(1-(H450-1)/4,0),1)</f>
        <v/>
      </c>
      <c r="O450" s="2">
        <f>1-MIN(I450/8,1)</f>
        <v/>
      </c>
      <c r="P450" s="10">
        <f>ROUND(100*(J450*Assumptions!$B$6+K450*Assumptions!$B$7+L450*Assumptions!$B$8+M450*Assumptions!$B$9+N450*Assumptions!$B$10+O450*Assumptions!$B$11),1)</f>
        <v/>
      </c>
      <c r="Q450" s="2">
        <f>IF(P450&gt;=Assumptions!$B$14,"High",IF(P450&gt;=Assumptions!$B$15,"Medium","Low"))</f>
        <v/>
      </c>
      <c r="R450" s="2">
        <f>Cleaned_Data!L450</f>
        <v/>
      </c>
    </row>
    <row r="451">
      <c r="A451" s="2">
        <f>Cleaned_Data!A451</f>
        <v/>
      </c>
      <c r="B451" s="2">
        <f>Cleaned_Data!B451</f>
        <v/>
      </c>
      <c r="C451" s="2">
        <f>Cleaned_Data!G451</f>
        <v/>
      </c>
      <c r="D451" s="2">
        <f>Cleaned_Data!I451</f>
        <v/>
      </c>
      <c r="E451" s="2">
        <f>Cleaned_Data!H451</f>
        <v/>
      </c>
      <c r="F451" s="2">
        <f>Cleaned_Data!F451</f>
        <v/>
      </c>
      <c r="G451" s="9">
        <f>SUMPRODUCT(($B$2:$B$1196=B451)*($F$2:$F$1196&lt;=F451))/SUMPRODUCT(($B$2:$B$1196=B451)*1)</f>
        <v/>
      </c>
      <c r="H451" s="2">
        <f>Cleaned_Data!J451</f>
        <v/>
      </c>
      <c r="I451" s="2">
        <f>Cleaned_Data!E451</f>
        <v/>
      </c>
      <c r="J451" s="2">
        <f>IF(C451="Yes",1,0)</f>
        <v/>
      </c>
      <c r="K451" s="2">
        <f>MIN(MAX(1-(D451-1)/4,0),1)</f>
        <v/>
      </c>
      <c r="L451" s="2">
        <f>MIN(E451/60,1)</f>
        <v/>
      </c>
      <c r="M451" s="2">
        <f>MIN(MAX(1-G451,0),1)</f>
        <v/>
      </c>
      <c r="N451" s="2">
        <f>MIN(MAX(1-(H451-1)/4,0),1)</f>
        <v/>
      </c>
      <c r="O451" s="2">
        <f>1-MIN(I451/8,1)</f>
        <v/>
      </c>
      <c r="P451" s="10">
        <f>ROUND(100*(J451*Assumptions!$B$6+K451*Assumptions!$B$7+L451*Assumptions!$B$8+M451*Assumptions!$B$9+N451*Assumptions!$B$10+O451*Assumptions!$B$11),1)</f>
        <v/>
      </c>
      <c r="Q451" s="2">
        <f>IF(P451&gt;=Assumptions!$B$14,"High",IF(P451&gt;=Assumptions!$B$15,"Medium","Low"))</f>
        <v/>
      </c>
      <c r="R451" s="2">
        <f>Cleaned_Data!L451</f>
        <v/>
      </c>
    </row>
    <row r="452">
      <c r="A452" s="2">
        <f>Cleaned_Data!A452</f>
        <v/>
      </c>
      <c r="B452" s="2">
        <f>Cleaned_Data!B452</f>
        <v/>
      </c>
      <c r="C452" s="2">
        <f>Cleaned_Data!G452</f>
        <v/>
      </c>
      <c r="D452" s="2">
        <f>Cleaned_Data!I452</f>
        <v/>
      </c>
      <c r="E452" s="2">
        <f>Cleaned_Data!H452</f>
        <v/>
      </c>
      <c r="F452" s="2">
        <f>Cleaned_Data!F452</f>
        <v/>
      </c>
      <c r="G452" s="9">
        <f>SUMPRODUCT(($B$2:$B$1196=B452)*($F$2:$F$1196&lt;=F452))/SUMPRODUCT(($B$2:$B$1196=B452)*1)</f>
        <v/>
      </c>
      <c r="H452" s="2">
        <f>Cleaned_Data!J452</f>
        <v/>
      </c>
      <c r="I452" s="2">
        <f>Cleaned_Data!E452</f>
        <v/>
      </c>
      <c r="J452" s="2">
        <f>IF(C452="Yes",1,0)</f>
        <v/>
      </c>
      <c r="K452" s="2">
        <f>MIN(MAX(1-(D452-1)/4,0),1)</f>
        <v/>
      </c>
      <c r="L452" s="2">
        <f>MIN(E452/60,1)</f>
        <v/>
      </c>
      <c r="M452" s="2">
        <f>MIN(MAX(1-G452,0),1)</f>
        <v/>
      </c>
      <c r="N452" s="2">
        <f>MIN(MAX(1-(H452-1)/4,0),1)</f>
        <v/>
      </c>
      <c r="O452" s="2">
        <f>1-MIN(I452/8,1)</f>
        <v/>
      </c>
      <c r="P452" s="10">
        <f>ROUND(100*(J452*Assumptions!$B$6+K452*Assumptions!$B$7+L452*Assumptions!$B$8+M452*Assumptions!$B$9+N452*Assumptions!$B$10+O452*Assumptions!$B$11),1)</f>
        <v/>
      </c>
      <c r="Q452" s="2">
        <f>IF(P452&gt;=Assumptions!$B$14,"High",IF(P452&gt;=Assumptions!$B$15,"Medium","Low"))</f>
        <v/>
      </c>
      <c r="R452" s="2">
        <f>Cleaned_Data!L452</f>
        <v/>
      </c>
    </row>
    <row r="453">
      <c r="A453" s="2">
        <f>Cleaned_Data!A453</f>
        <v/>
      </c>
      <c r="B453" s="2">
        <f>Cleaned_Data!B453</f>
        <v/>
      </c>
      <c r="C453" s="2">
        <f>Cleaned_Data!G453</f>
        <v/>
      </c>
      <c r="D453" s="2">
        <f>Cleaned_Data!I453</f>
        <v/>
      </c>
      <c r="E453" s="2">
        <f>Cleaned_Data!H453</f>
        <v/>
      </c>
      <c r="F453" s="2">
        <f>Cleaned_Data!F453</f>
        <v/>
      </c>
      <c r="G453" s="9">
        <f>SUMPRODUCT(($B$2:$B$1196=B453)*($F$2:$F$1196&lt;=F453))/SUMPRODUCT(($B$2:$B$1196=B453)*1)</f>
        <v/>
      </c>
      <c r="H453" s="2">
        <f>Cleaned_Data!J453</f>
        <v/>
      </c>
      <c r="I453" s="2">
        <f>Cleaned_Data!E453</f>
        <v/>
      </c>
      <c r="J453" s="2">
        <f>IF(C453="Yes",1,0)</f>
        <v/>
      </c>
      <c r="K453" s="2">
        <f>MIN(MAX(1-(D453-1)/4,0),1)</f>
        <v/>
      </c>
      <c r="L453" s="2">
        <f>MIN(E453/60,1)</f>
        <v/>
      </c>
      <c r="M453" s="2">
        <f>MIN(MAX(1-G453,0),1)</f>
        <v/>
      </c>
      <c r="N453" s="2">
        <f>MIN(MAX(1-(H453-1)/4,0),1)</f>
        <v/>
      </c>
      <c r="O453" s="2">
        <f>1-MIN(I453/8,1)</f>
        <v/>
      </c>
      <c r="P453" s="10">
        <f>ROUND(100*(J453*Assumptions!$B$6+K453*Assumptions!$B$7+L453*Assumptions!$B$8+M453*Assumptions!$B$9+N453*Assumptions!$B$10+O453*Assumptions!$B$11),1)</f>
        <v/>
      </c>
      <c r="Q453" s="2">
        <f>IF(P453&gt;=Assumptions!$B$14,"High",IF(P453&gt;=Assumptions!$B$15,"Medium","Low"))</f>
        <v/>
      </c>
      <c r="R453" s="2">
        <f>Cleaned_Data!L453</f>
        <v/>
      </c>
    </row>
    <row r="454">
      <c r="A454" s="2">
        <f>Cleaned_Data!A454</f>
        <v/>
      </c>
      <c r="B454" s="2">
        <f>Cleaned_Data!B454</f>
        <v/>
      </c>
      <c r="C454" s="2">
        <f>Cleaned_Data!G454</f>
        <v/>
      </c>
      <c r="D454" s="2">
        <f>Cleaned_Data!I454</f>
        <v/>
      </c>
      <c r="E454" s="2">
        <f>Cleaned_Data!H454</f>
        <v/>
      </c>
      <c r="F454" s="2">
        <f>Cleaned_Data!F454</f>
        <v/>
      </c>
      <c r="G454" s="9">
        <f>SUMPRODUCT(($B$2:$B$1196=B454)*($F$2:$F$1196&lt;=F454))/SUMPRODUCT(($B$2:$B$1196=B454)*1)</f>
        <v/>
      </c>
      <c r="H454" s="2">
        <f>Cleaned_Data!J454</f>
        <v/>
      </c>
      <c r="I454" s="2">
        <f>Cleaned_Data!E454</f>
        <v/>
      </c>
      <c r="J454" s="2">
        <f>IF(C454="Yes",1,0)</f>
        <v/>
      </c>
      <c r="K454" s="2">
        <f>MIN(MAX(1-(D454-1)/4,0),1)</f>
        <v/>
      </c>
      <c r="L454" s="2">
        <f>MIN(E454/60,1)</f>
        <v/>
      </c>
      <c r="M454" s="2">
        <f>MIN(MAX(1-G454,0),1)</f>
        <v/>
      </c>
      <c r="N454" s="2">
        <f>MIN(MAX(1-(H454-1)/4,0),1)</f>
        <v/>
      </c>
      <c r="O454" s="2">
        <f>1-MIN(I454/8,1)</f>
        <v/>
      </c>
      <c r="P454" s="10">
        <f>ROUND(100*(J454*Assumptions!$B$6+K454*Assumptions!$B$7+L454*Assumptions!$B$8+M454*Assumptions!$B$9+N454*Assumptions!$B$10+O454*Assumptions!$B$11),1)</f>
        <v/>
      </c>
      <c r="Q454" s="2">
        <f>IF(P454&gt;=Assumptions!$B$14,"High",IF(P454&gt;=Assumptions!$B$15,"Medium","Low"))</f>
        <v/>
      </c>
      <c r="R454" s="2">
        <f>Cleaned_Data!L454</f>
        <v/>
      </c>
    </row>
    <row r="455">
      <c r="A455" s="2">
        <f>Cleaned_Data!A455</f>
        <v/>
      </c>
      <c r="B455" s="2">
        <f>Cleaned_Data!B455</f>
        <v/>
      </c>
      <c r="C455" s="2">
        <f>Cleaned_Data!G455</f>
        <v/>
      </c>
      <c r="D455" s="2">
        <f>Cleaned_Data!I455</f>
        <v/>
      </c>
      <c r="E455" s="2">
        <f>Cleaned_Data!H455</f>
        <v/>
      </c>
      <c r="F455" s="2">
        <f>Cleaned_Data!F455</f>
        <v/>
      </c>
      <c r="G455" s="9">
        <f>SUMPRODUCT(($B$2:$B$1196=B455)*($F$2:$F$1196&lt;=F455))/SUMPRODUCT(($B$2:$B$1196=B455)*1)</f>
        <v/>
      </c>
      <c r="H455" s="2">
        <f>Cleaned_Data!J455</f>
        <v/>
      </c>
      <c r="I455" s="2">
        <f>Cleaned_Data!E455</f>
        <v/>
      </c>
      <c r="J455" s="2">
        <f>IF(C455="Yes",1,0)</f>
        <v/>
      </c>
      <c r="K455" s="2">
        <f>MIN(MAX(1-(D455-1)/4,0),1)</f>
        <v/>
      </c>
      <c r="L455" s="2">
        <f>MIN(E455/60,1)</f>
        <v/>
      </c>
      <c r="M455" s="2">
        <f>MIN(MAX(1-G455,0),1)</f>
        <v/>
      </c>
      <c r="N455" s="2">
        <f>MIN(MAX(1-(H455-1)/4,0),1)</f>
        <v/>
      </c>
      <c r="O455" s="2">
        <f>1-MIN(I455/8,1)</f>
        <v/>
      </c>
      <c r="P455" s="10">
        <f>ROUND(100*(J455*Assumptions!$B$6+K455*Assumptions!$B$7+L455*Assumptions!$B$8+M455*Assumptions!$B$9+N455*Assumptions!$B$10+O455*Assumptions!$B$11),1)</f>
        <v/>
      </c>
      <c r="Q455" s="2">
        <f>IF(P455&gt;=Assumptions!$B$14,"High",IF(P455&gt;=Assumptions!$B$15,"Medium","Low"))</f>
        <v/>
      </c>
      <c r="R455" s="2">
        <f>Cleaned_Data!L455</f>
        <v/>
      </c>
    </row>
    <row r="456">
      <c r="A456" s="2">
        <f>Cleaned_Data!A456</f>
        <v/>
      </c>
      <c r="B456" s="2">
        <f>Cleaned_Data!B456</f>
        <v/>
      </c>
      <c r="C456" s="2">
        <f>Cleaned_Data!G456</f>
        <v/>
      </c>
      <c r="D456" s="2">
        <f>Cleaned_Data!I456</f>
        <v/>
      </c>
      <c r="E456" s="2">
        <f>Cleaned_Data!H456</f>
        <v/>
      </c>
      <c r="F456" s="2">
        <f>Cleaned_Data!F456</f>
        <v/>
      </c>
      <c r="G456" s="9">
        <f>SUMPRODUCT(($B$2:$B$1196=B456)*($F$2:$F$1196&lt;=F456))/SUMPRODUCT(($B$2:$B$1196=B456)*1)</f>
        <v/>
      </c>
      <c r="H456" s="2">
        <f>Cleaned_Data!J456</f>
        <v/>
      </c>
      <c r="I456" s="2">
        <f>Cleaned_Data!E456</f>
        <v/>
      </c>
      <c r="J456" s="2">
        <f>IF(C456="Yes",1,0)</f>
        <v/>
      </c>
      <c r="K456" s="2">
        <f>MIN(MAX(1-(D456-1)/4,0),1)</f>
        <v/>
      </c>
      <c r="L456" s="2">
        <f>MIN(E456/60,1)</f>
        <v/>
      </c>
      <c r="M456" s="2">
        <f>MIN(MAX(1-G456,0),1)</f>
        <v/>
      </c>
      <c r="N456" s="2">
        <f>MIN(MAX(1-(H456-1)/4,0),1)</f>
        <v/>
      </c>
      <c r="O456" s="2">
        <f>1-MIN(I456/8,1)</f>
        <v/>
      </c>
      <c r="P456" s="10">
        <f>ROUND(100*(J456*Assumptions!$B$6+K456*Assumptions!$B$7+L456*Assumptions!$B$8+M456*Assumptions!$B$9+N456*Assumptions!$B$10+O456*Assumptions!$B$11),1)</f>
        <v/>
      </c>
      <c r="Q456" s="2">
        <f>IF(P456&gt;=Assumptions!$B$14,"High",IF(P456&gt;=Assumptions!$B$15,"Medium","Low"))</f>
        <v/>
      </c>
      <c r="R456" s="2">
        <f>Cleaned_Data!L456</f>
        <v/>
      </c>
    </row>
    <row r="457">
      <c r="A457" s="2">
        <f>Cleaned_Data!A457</f>
        <v/>
      </c>
      <c r="B457" s="2">
        <f>Cleaned_Data!B457</f>
        <v/>
      </c>
      <c r="C457" s="2">
        <f>Cleaned_Data!G457</f>
        <v/>
      </c>
      <c r="D457" s="2">
        <f>Cleaned_Data!I457</f>
        <v/>
      </c>
      <c r="E457" s="2">
        <f>Cleaned_Data!H457</f>
        <v/>
      </c>
      <c r="F457" s="2">
        <f>Cleaned_Data!F457</f>
        <v/>
      </c>
      <c r="G457" s="9">
        <f>SUMPRODUCT(($B$2:$B$1196=B457)*($F$2:$F$1196&lt;=F457))/SUMPRODUCT(($B$2:$B$1196=B457)*1)</f>
        <v/>
      </c>
      <c r="H457" s="2">
        <f>Cleaned_Data!J457</f>
        <v/>
      </c>
      <c r="I457" s="2">
        <f>Cleaned_Data!E457</f>
        <v/>
      </c>
      <c r="J457" s="2">
        <f>IF(C457="Yes",1,0)</f>
        <v/>
      </c>
      <c r="K457" s="2">
        <f>MIN(MAX(1-(D457-1)/4,0),1)</f>
        <v/>
      </c>
      <c r="L457" s="2">
        <f>MIN(E457/60,1)</f>
        <v/>
      </c>
      <c r="M457" s="2">
        <f>MIN(MAX(1-G457,0),1)</f>
        <v/>
      </c>
      <c r="N457" s="2">
        <f>MIN(MAX(1-(H457-1)/4,0),1)</f>
        <v/>
      </c>
      <c r="O457" s="2">
        <f>1-MIN(I457/8,1)</f>
        <v/>
      </c>
      <c r="P457" s="10">
        <f>ROUND(100*(J457*Assumptions!$B$6+K457*Assumptions!$B$7+L457*Assumptions!$B$8+M457*Assumptions!$B$9+N457*Assumptions!$B$10+O457*Assumptions!$B$11),1)</f>
        <v/>
      </c>
      <c r="Q457" s="2">
        <f>IF(P457&gt;=Assumptions!$B$14,"High",IF(P457&gt;=Assumptions!$B$15,"Medium","Low"))</f>
        <v/>
      </c>
      <c r="R457" s="2">
        <f>Cleaned_Data!L457</f>
        <v/>
      </c>
    </row>
    <row r="458">
      <c r="A458" s="2">
        <f>Cleaned_Data!A458</f>
        <v/>
      </c>
      <c r="B458" s="2">
        <f>Cleaned_Data!B458</f>
        <v/>
      </c>
      <c r="C458" s="2">
        <f>Cleaned_Data!G458</f>
        <v/>
      </c>
      <c r="D458" s="2">
        <f>Cleaned_Data!I458</f>
        <v/>
      </c>
      <c r="E458" s="2">
        <f>Cleaned_Data!H458</f>
        <v/>
      </c>
      <c r="F458" s="2">
        <f>Cleaned_Data!F458</f>
        <v/>
      </c>
      <c r="G458" s="9">
        <f>SUMPRODUCT(($B$2:$B$1196=B458)*($F$2:$F$1196&lt;=F458))/SUMPRODUCT(($B$2:$B$1196=B458)*1)</f>
        <v/>
      </c>
      <c r="H458" s="2">
        <f>Cleaned_Data!J458</f>
        <v/>
      </c>
      <c r="I458" s="2">
        <f>Cleaned_Data!E458</f>
        <v/>
      </c>
      <c r="J458" s="2">
        <f>IF(C458="Yes",1,0)</f>
        <v/>
      </c>
      <c r="K458" s="2">
        <f>MIN(MAX(1-(D458-1)/4,0),1)</f>
        <v/>
      </c>
      <c r="L458" s="2">
        <f>MIN(E458/60,1)</f>
        <v/>
      </c>
      <c r="M458" s="2">
        <f>MIN(MAX(1-G458,0),1)</f>
        <v/>
      </c>
      <c r="N458" s="2">
        <f>MIN(MAX(1-(H458-1)/4,0),1)</f>
        <v/>
      </c>
      <c r="O458" s="2">
        <f>1-MIN(I458/8,1)</f>
        <v/>
      </c>
      <c r="P458" s="10">
        <f>ROUND(100*(J458*Assumptions!$B$6+K458*Assumptions!$B$7+L458*Assumptions!$B$8+M458*Assumptions!$B$9+N458*Assumptions!$B$10+O458*Assumptions!$B$11),1)</f>
        <v/>
      </c>
      <c r="Q458" s="2">
        <f>IF(P458&gt;=Assumptions!$B$14,"High",IF(P458&gt;=Assumptions!$B$15,"Medium","Low"))</f>
        <v/>
      </c>
      <c r="R458" s="2">
        <f>Cleaned_Data!L458</f>
        <v/>
      </c>
    </row>
    <row r="459">
      <c r="A459" s="2">
        <f>Cleaned_Data!A459</f>
        <v/>
      </c>
      <c r="B459" s="2">
        <f>Cleaned_Data!B459</f>
        <v/>
      </c>
      <c r="C459" s="2">
        <f>Cleaned_Data!G459</f>
        <v/>
      </c>
      <c r="D459" s="2">
        <f>Cleaned_Data!I459</f>
        <v/>
      </c>
      <c r="E459" s="2">
        <f>Cleaned_Data!H459</f>
        <v/>
      </c>
      <c r="F459" s="2">
        <f>Cleaned_Data!F459</f>
        <v/>
      </c>
      <c r="G459" s="9">
        <f>SUMPRODUCT(($B$2:$B$1196=B459)*($F$2:$F$1196&lt;=F459))/SUMPRODUCT(($B$2:$B$1196=B459)*1)</f>
        <v/>
      </c>
      <c r="H459" s="2">
        <f>Cleaned_Data!J459</f>
        <v/>
      </c>
      <c r="I459" s="2">
        <f>Cleaned_Data!E459</f>
        <v/>
      </c>
      <c r="J459" s="2">
        <f>IF(C459="Yes",1,0)</f>
        <v/>
      </c>
      <c r="K459" s="2">
        <f>MIN(MAX(1-(D459-1)/4,0),1)</f>
        <v/>
      </c>
      <c r="L459" s="2">
        <f>MIN(E459/60,1)</f>
        <v/>
      </c>
      <c r="M459" s="2">
        <f>MIN(MAX(1-G459,0),1)</f>
        <v/>
      </c>
      <c r="N459" s="2">
        <f>MIN(MAX(1-(H459-1)/4,0),1)</f>
        <v/>
      </c>
      <c r="O459" s="2">
        <f>1-MIN(I459/8,1)</f>
        <v/>
      </c>
      <c r="P459" s="10">
        <f>ROUND(100*(J459*Assumptions!$B$6+K459*Assumptions!$B$7+L459*Assumptions!$B$8+M459*Assumptions!$B$9+N459*Assumptions!$B$10+O459*Assumptions!$B$11),1)</f>
        <v/>
      </c>
      <c r="Q459" s="2">
        <f>IF(P459&gt;=Assumptions!$B$14,"High",IF(P459&gt;=Assumptions!$B$15,"Medium","Low"))</f>
        <v/>
      </c>
      <c r="R459" s="2">
        <f>Cleaned_Data!L459</f>
        <v/>
      </c>
    </row>
    <row r="460">
      <c r="A460" s="2">
        <f>Cleaned_Data!A460</f>
        <v/>
      </c>
      <c r="B460" s="2">
        <f>Cleaned_Data!B460</f>
        <v/>
      </c>
      <c r="C460" s="2">
        <f>Cleaned_Data!G460</f>
        <v/>
      </c>
      <c r="D460" s="2">
        <f>Cleaned_Data!I460</f>
        <v/>
      </c>
      <c r="E460" s="2">
        <f>Cleaned_Data!H460</f>
        <v/>
      </c>
      <c r="F460" s="2">
        <f>Cleaned_Data!F460</f>
        <v/>
      </c>
      <c r="G460" s="9">
        <f>SUMPRODUCT(($B$2:$B$1196=B460)*($F$2:$F$1196&lt;=F460))/SUMPRODUCT(($B$2:$B$1196=B460)*1)</f>
        <v/>
      </c>
      <c r="H460" s="2">
        <f>Cleaned_Data!J460</f>
        <v/>
      </c>
      <c r="I460" s="2">
        <f>Cleaned_Data!E460</f>
        <v/>
      </c>
      <c r="J460" s="2">
        <f>IF(C460="Yes",1,0)</f>
        <v/>
      </c>
      <c r="K460" s="2">
        <f>MIN(MAX(1-(D460-1)/4,0),1)</f>
        <v/>
      </c>
      <c r="L460" s="2">
        <f>MIN(E460/60,1)</f>
        <v/>
      </c>
      <c r="M460" s="2">
        <f>MIN(MAX(1-G460,0),1)</f>
        <v/>
      </c>
      <c r="N460" s="2">
        <f>MIN(MAX(1-(H460-1)/4,0),1)</f>
        <v/>
      </c>
      <c r="O460" s="2">
        <f>1-MIN(I460/8,1)</f>
        <v/>
      </c>
      <c r="P460" s="10">
        <f>ROUND(100*(J460*Assumptions!$B$6+K460*Assumptions!$B$7+L460*Assumptions!$B$8+M460*Assumptions!$B$9+N460*Assumptions!$B$10+O460*Assumptions!$B$11),1)</f>
        <v/>
      </c>
      <c r="Q460" s="2">
        <f>IF(P460&gt;=Assumptions!$B$14,"High",IF(P460&gt;=Assumptions!$B$15,"Medium","Low"))</f>
        <v/>
      </c>
      <c r="R460" s="2">
        <f>Cleaned_Data!L460</f>
        <v/>
      </c>
    </row>
    <row r="461">
      <c r="A461" s="2">
        <f>Cleaned_Data!A461</f>
        <v/>
      </c>
      <c r="B461" s="2">
        <f>Cleaned_Data!B461</f>
        <v/>
      </c>
      <c r="C461" s="2">
        <f>Cleaned_Data!G461</f>
        <v/>
      </c>
      <c r="D461" s="2">
        <f>Cleaned_Data!I461</f>
        <v/>
      </c>
      <c r="E461" s="2">
        <f>Cleaned_Data!H461</f>
        <v/>
      </c>
      <c r="F461" s="2">
        <f>Cleaned_Data!F461</f>
        <v/>
      </c>
      <c r="G461" s="9">
        <f>SUMPRODUCT(($B$2:$B$1196=B461)*($F$2:$F$1196&lt;=F461))/SUMPRODUCT(($B$2:$B$1196=B461)*1)</f>
        <v/>
      </c>
      <c r="H461" s="2">
        <f>Cleaned_Data!J461</f>
        <v/>
      </c>
      <c r="I461" s="2">
        <f>Cleaned_Data!E461</f>
        <v/>
      </c>
      <c r="J461" s="2">
        <f>IF(C461="Yes",1,0)</f>
        <v/>
      </c>
      <c r="K461" s="2">
        <f>MIN(MAX(1-(D461-1)/4,0),1)</f>
        <v/>
      </c>
      <c r="L461" s="2">
        <f>MIN(E461/60,1)</f>
        <v/>
      </c>
      <c r="M461" s="2">
        <f>MIN(MAX(1-G461,0),1)</f>
        <v/>
      </c>
      <c r="N461" s="2">
        <f>MIN(MAX(1-(H461-1)/4,0),1)</f>
        <v/>
      </c>
      <c r="O461" s="2">
        <f>1-MIN(I461/8,1)</f>
        <v/>
      </c>
      <c r="P461" s="10">
        <f>ROUND(100*(J461*Assumptions!$B$6+K461*Assumptions!$B$7+L461*Assumptions!$B$8+M461*Assumptions!$B$9+N461*Assumptions!$B$10+O461*Assumptions!$B$11),1)</f>
        <v/>
      </c>
      <c r="Q461" s="2">
        <f>IF(P461&gt;=Assumptions!$B$14,"High",IF(P461&gt;=Assumptions!$B$15,"Medium","Low"))</f>
        <v/>
      </c>
      <c r="R461" s="2">
        <f>Cleaned_Data!L461</f>
        <v/>
      </c>
    </row>
    <row r="462">
      <c r="A462" s="2">
        <f>Cleaned_Data!A462</f>
        <v/>
      </c>
      <c r="B462" s="2">
        <f>Cleaned_Data!B462</f>
        <v/>
      </c>
      <c r="C462" s="2">
        <f>Cleaned_Data!G462</f>
        <v/>
      </c>
      <c r="D462" s="2">
        <f>Cleaned_Data!I462</f>
        <v/>
      </c>
      <c r="E462" s="2">
        <f>Cleaned_Data!H462</f>
        <v/>
      </c>
      <c r="F462" s="2">
        <f>Cleaned_Data!F462</f>
        <v/>
      </c>
      <c r="G462" s="9">
        <f>SUMPRODUCT(($B$2:$B$1196=B462)*($F$2:$F$1196&lt;=F462))/SUMPRODUCT(($B$2:$B$1196=B462)*1)</f>
        <v/>
      </c>
      <c r="H462" s="2">
        <f>Cleaned_Data!J462</f>
        <v/>
      </c>
      <c r="I462" s="2">
        <f>Cleaned_Data!E462</f>
        <v/>
      </c>
      <c r="J462" s="2">
        <f>IF(C462="Yes",1,0)</f>
        <v/>
      </c>
      <c r="K462" s="2">
        <f>MIN(MAX(1-(D462-1)/4,0),1)</f>
        <v/>
      </c>
      <c r="L462" s="2">
        <f>MIN(E462/60,1)</f>
        <v/>
      </c>
      <c r="M462" s="2">
        <f>MIN(MAX(1-G462,0),1)</f>
        <v/>
      </c>
      <c r="N462" s="2">
        <f>MIN(MAX(1-(H462-1)/4,0),1)</f>
        <v/>
      </c>
      <c r="O462" s="2">
        <f>1-MIN(I462/8,1)</f>
        <v/>
      </c>
      <c r="P462" s="10">
        <f>ROUND(100*(J462*Assumptions!$B$6+K462*Assumptions!$B$7+L462*Assumptions!$B$8+M462*Assumptions!$B$9+N462*Assumptions!$B$10+O462*Assumptions!$B$11),1)</f>
        <v/>
      </c>
      <c r="Q462" s="2">
        <f>IF(P462&gt;=Assumptions!$B$14,"High",IF(P462&gt;=Assumptions!$B$15,"Medium","Low"))</f>
        <v/>
      </c>
      <c r="R462" s="2">
        <f>Cleaned_Data!L462</f>
        <v/>
      </c>
    </row>
    <row r="463">
      <c r="A463" s="2">
        <f>Cleaned_Data!A463</f>
        <v/>
      </c>
      <c r="B463" s="2">
        <f>Cleaned_Data!B463</f>
        <v/>
      </c>
      <c r="C463" s="2">
        <f>Cleaned_Data!G463</f>
        <v/>
      </c>
      <c r="D463" s="2">
        <f>Cleaned_Data!I463</f>
        <v/>
      </c>
      <c r="E463" s="2">
        <f>Cleaned_Data!H463</f>
        <v/>
      </c>
      <c r="F463" s="2">
        <f>Cleaned_Data!F463</f>
        <v/>
      </c>
      <c r="G463" s="9">
        <f>SUMPRODUCT(($B$2:$B$1196=B463)*($F$2:$F$1196&lt;=F463))/SUMPRODUCT(($B$2:$B$1196=B463)*1)</f>
        <v/>
      </c>
      <c r="H463" s="2">
        <f>Cleaned_Data!J463</f>
        <v/>
      </c>
      <c r="I463" s="2">
        <f>Cleaned_Data!E463</f>
        <v/>
      </c>
      <c r="J463" s="2">
        <f>IF(C463="Yes",1,0)</f>
        <v/>
      </c>
      <c r="K463" s="2">
        <f>MIN(MAX(1-(D463-1)/4,0),1)</f>
        <v/>
      </c>
      <c r="L463" s="2">
        <f>MIN(E463/60,1)</f>
        <v/>
      </c>
      <c r="M463" s="2">
        <f>MIN(MAX(1-G463,0),1)</f>
        <v/>
      </c>
      <c r="N463" s="2">
        <f>MIN(MAX(1-(H463-1)/4,0),1)</f>
        <v/>
      </c>
      <c r="O463" s="2">
        <f>1-MIN(I463/8,1)</f>
        <v/>
      </c>
      <c r="P463" s="10">
        <f>ROUND(100*(J463*Assumptions!$B$6+K463*Assumptions!$B$7+L463*Assumptions!$B$8+M463*Assumptions!$B$9+N463*Assumptions!$B$10+O463*Assumptions!$B$11),1)</f>
        <v/>
      </c>
      <c r="Q463" s="2">
        <f>IF(P463&gt;=Assumptions!$B$14,"High",IF(P463&gt;=Assumptions!$B$15,"Medium","Low"))</f>
        <v/>
      </c>
      <c r="R463" s="2">
        <f>Cleaned_Data!L463</f>
        <v/>
      </c>
    </row>
    <row r="464">
      <c r="A464" s="2">
        <f>Cleaned_Data!A464</f>
        <v/>
      </c>
      <c r="B464" s="2">
        <f>Cleaned_Data!B464</f>
        <v/>
      </c>
      <c r="C464" s="2">
        <f>Cleaned_Data!G464</f>
        <v/>
      </c>
      <c r="D464" s="2">
        <f>Cleaned_Data!I464</f>
        <v/>
      </c>
      <c r="E464" s="2">
        <f>Cleaned_Data!H464</f>
        <v/>
      </c>
      <c r="F464" s="2">
        <f>Cleaned_Data!F464</f>
        <v/>
      </c>
      <c r="G464" s="9">
        <f>SUMPRODUCT(($B$2:$B$1196=B464)*($F$2:$F$1196&lt;=F464))/SUMPRODUCT(($B$2:$B$1196=B464)*1)</f>
        <v/>
      </c>
      <c r="H464" s="2">
        <f>Cleaned_Data!J464</f>
        <v/>
      </c>
      <c r="I464" s="2">
        <f>Cleaned_Data!E464</f>
        <v/>
      </c>
      <c r="J464" s="2">
        <f>IF(C464="Yes",1,0)</f>
        <v/>
      </c>
      <c r="K464" s="2">
        <f>MIN(MAX(1-(D464-1)/4,0),1)</f>
        <v/>
      </c>
      <c r="L464" s="2">
        <f>MIN(E464/60,1)</f>
        <v/>
      </c>
      <c r="M464" s="2">
        <f>MIN(MAX(1-G464,0),1)</f>
        <v/>
      </c>
      <c r="N464" s="2">
        <f>MIN(MAX(1-(H464-1)/4,0),1)</f>
        <v/>
      </c>
      <c r="O464" s="2">
        <f>1-MIN(I464/8,1)</f>
        <v/>
      </c>
      <c r="P464" s="10">
        <f>ROUND(100*(J464*Assumptions!$B$6+K464*Assumptions!$B$7+L464*Assumptions!$B$8+M464*Assumptions!$B$9+N464*Assumptions!$B$10+O464*Assumptions!$B$11),1)</f>
        <v/>
      </c>
      <c r="Q464" s="2">
        <f>IF(P464&gt;=Assumptions!$B$14,"High",IF(P464&gt;=Assumptions!$B$15,"Medium","Low"))</f>
        <v/>
      </c>
      <c r="R464" s="2">
        <f>Cleaned_Data!L464</f>
        <v/>
      </c>
    </row>
    <row r="465">
      <c r="A465" s="2">
        <f>Cleaned_Data!A465</f>
        <v/>
      </c>
      <c r="B465" s="2">
        <f>Cleaned_Data!B465</f>
        <v/>
      </c>
      <c r="C465" s="2">
        <f>Cleaned_Data!G465</f>
        <v/>
      </c>
      <c r="D465" s="2">
        <f>Cleaned_Data!I465</f>
        <v/>
      </c>
      <c r="E465" s="2">
        <f>Cleaned_Data!H465</f>
        <v/>
      </c>
      <c r="F465" s="2">
        <f>Cleaned_Data!F465</f>
        <v/>
      </c>
      <c r="G465" s="9">
        <f>SUMPRODUCT(($B$2:$B$1196=B465)*($F$2:$F$1196&lt;=F465))/SUMPRODUCT(($B$2:$B$1196=B465)*1)</f>
        <v/>
      </c>
      <c r="H465" s="2">
        <f>Cleaned_Data!J465</f>
        <v/>
      </c>
      <c r="I465" s="2">
        <f>Cleaned_Data!E465</f>
        <v/>
      </c>
      <c r="J465" s="2">
        <f>IF(C465="Yes",1,0)</f>
        <v/>
      </c>
      <c r="K465" s="2">
        <f>MIN(MAX(1-(D465-1)/4,0),1)</f>
        <v/>
      </c>
      <c r="L465" s="2">
        <f>MIN(E465/60,1)</f>
        <v/>
      </c>
      <c r="M465" s="2">
        <f>MIN(MAX(1-G465,0),1)</f>
        <v/>
      </c>
      <c r="N465" s="2">
        <f>MIN(MAX(1-(H465-1)/4,0),1)</f>
        <v/>
      </c>
      <c r="O465" s="2">
        <f>1-MIN(I465/8,1)</f>
        <v/>
      </c>
      <c r="P465" s="10">
        <f>ROUND(100*(J465*Assumptions!$B$6+K465*Assumptions!$B$7+L465*Assumptions!$B$8+M465*Assumptions!$B$9+N465*Assumptions!$B$10+O465*Assumptions!$B$11),1)</f>
        <v/>
      </c>
      <c r="Q465" s="2">
        <f>IF(P465&gt;=Assumptions!$B$14,"High",IF(P465&gt;=Assumptions!$B$15,"Medium","Low"))</f>
        <v/>
      </c>
      <c r="R465" s="2">
        <f>Cleaned_Data!L465</f>
        <v/>
      </c>
    </row>
    <row r="466">
      <c r="A466" s="2">
        <f>Cleaned_Data!A466</f>
        <v/>
      </c>
      <c r="B466" s="2">
        <f>Cleaned_Data!B466</f>
        <v/>
      </c>
      <c r="C466" s="2">
        <f>Cleaned_Data!G466</f>
        <v/>
      </c>
      <c r="D466" s="2">
        <f>Cleaned_Data!I466</f>
        <v/>
      </c>
      <c r="E466" s="2">
        <f>Cleaned_Data!H466</f>
        <v/>
      </c>
      <c r="F466" s="2">
        <f>Cleaned_Data!F466</f>
        <v/>
      </c>
      <c r="G466" s="9">
        <f>SUMPRODUCT(($B$2:$B$1196=B466)*($F$2:$F$1196&lt;=F466))/SUMPRODUCT(($B$2:$B$1196=B466)*1)</f>
        <v/>
      </c>
      <c r="H466" s="2">
        <f>Cleaned_Data!J466</f>
        <v/>
      </c>
      <c r="I466" s="2">
        <f>Cleaned_Data!E466</f>
        <v/>
      </c>
      <c r="J466" s="2">
        <f>IF(C466="Yes",1,0)</f>
        <v/>
      </c>
      <c r="K466" s="2">
        <f>MIN(MAX(1-(D466-1)/4,0),1)</f>
        <v/>
      </c>
      <c r="L466" s="2">
        <f>MIN(E466/60,1)</f>
        <v/>
      </c>
      <c r="M466" s="2">
        <f>MIN(MAX(1-G466,0),1)</f>
        <v/>
      </c>
      <c r="N466" s="2">
        <f>MIN(MAX(1-(H466-1)/4,0),1)</f>
        <v/>
      </c>
      <c r="O466" s="2">
        <f>1-MIN(I466/8,1)</f>
        <v/>
      </c>
      <c r="P466" s="10">
        <f>ROUND(100*(J466*Assumptions!$B$6+K466*Assumptions!$B$7+L466*Assumptions!$B$8+M466*Assumptions!$B$9+N466*Assumptions!$B$10+O466*Assumptions!$B$11),1)</f>
        <v/>
      </c>
      <c r="Q466" s="2">
        <f>IF(P466&gt;=Assumptions!$B$14,"High",IF(P466&gt;=Assumptions!$B$15,"Medium","Low"))</f>
        <v/>
      </c>
      <c r="R466" s="2">
        <f>Cleaned_Data!L466</f>
        <v/>
      </c>
    </row>
    <row r="467">
      <c r="A467" s="2">
        <f>Cleaned_Data!A467</f>
        <v/>
      </c>
      <c r="B467" s="2">
        <f>Cleaned_Data!B467</f>
        <v/>
      </c>
      <c r="C467" s="2">
        <f>Cleaned_Data!G467</f>
        <v/>
      </c>
      <c r="D467" s="2">
        <f>Cleaned_Data!I467</f>
        <v/>
      </c>
      <c r="E467" s="2">
        <f>Cleaned_Data!H467</f>
        <v/>
      </c>
      <c r="F467" s="2">
        <f>Cleaned_Data!F467</f>
        <v/>
      </c>
      <c r="G467" s="9">
        <f>SUMPRODUCT(($B$2:$B$1196=B467)*($F$2:$F$1196&lt;=F467))/SUMPRODUCT(($B$2:$B$1196=B467)*1)</f>
        <v/>
      </c>
      <c r="H467" s="2">
        <f>Cleaned_Data!J467</f>
        <v/>
      </c>
      <c r="I467" s="2">
        <f>Cleaned_Data!E467</f>
        <v/>
      </c>
      <c r="J467" s="2">
        <f>IF(C467="Yes",1,0)</f>
        <v/>
      </c>
      <c r="K467" s="2">
        <f>MIN(MAX(1-(D467-1)/4,0),1)</f>
        <v/>
      </c>
      <c r="L467" s="2">
        <f>MIN(E467/60,1)</f>
        <v/>
      </c>
      <c r="M467" s="2">
        <f>MIN(MAX(1-G467,0),1)</f>
        <v/>
      </c>
      <c r="N467" s="2">
        <f>MIN(MAX(1-(H467-1)/4,0),1)</f>
        <v/>
      </c>
      <c r="O467" s="2">
        <f>1-MIN(I467/8,1)</f>
        <v/>
      </c>
      <c r="P467" s="10">
        <f>ROUND(100*(J467*Assumptions!$B$6+K467*Assumptions!$B$7+L467*Assumptions!$B$8+M467*Assumptions!$B$9+N467*Assumptions!$B$10+O467*Assumptions!$B$11),1)</f>
        <v/>
      </c>
      <c r="Q467" s="2">
        <f>IF(P467&gt;=Assumptions!$B$14,"High",IF(P467&gt;=Assumptions!$B$15,"Medium","Low"))</f>
        <v/>
      </c>
      <c r="R467" s="2">
        <f>Cleaned_Data!L467</f>
        <v/>
      </c>
    </row>
    <row r="468">
      <c r="A468" s="2">
        <f>Cleaned_Data!A468</f>
        <v/>
      </c>
      <c r="B468" s="2">
        <f>Cleaned_Data!B468</f>
        <v/>
      </c>
      <c r="C468" s="2">
        <f>Cleaned_Data!G468</f>
        <v/>
      </c>
      <c r="D468" s="2">
        <f>Cleaned_Data!I468</f>
        <v/>
      </c>
      <c r="E468" s="2">
        <f>Cleaned_Data!H468</f>
        <v/>
      </c>
      <c r="F468" s="2">
        <f>Cleaned_Data!F468</f>
        <v/>
      </c>
      <c r="G468" s="9">
        <f>SUMPRODUCT(($B$2:$B$1196=B468)*($F$2:$F$1196&lt;=F468))/SUMPRODUCT(($B$2:$B$1196=B468)*1)</f>
        <v/>
      </c>
      <c r="H468" s="2">
        <f>Cleaned_Data!J468</f>
        <v/>
      </c>
      <c r="I468" s="2">
        <f>Cleaned_Data!E468</f>
        <v/>
      </c>
      <c r="J468" s="2">
        <f>IF(C468="Yes",1,0)</f>
        <v/>
      </c>
      <c r="K468" s="2">
        <f>MIN(MAX(1-(D468-1)/4,0),1)</f>
        <v/>
      </c>
      <c r="L468" s="2">
        <f>MIN(E468/60,1)</f>
        <v/>
      </c>
      <c r="M468" s="2">
        <f>MIN(MAX(1-G468,0),1)</f>
        <v/>
      </c>
      <c r="N468" s="2">
        <f>MIN(MAX(1-(H468-1)/4,0),1)</f>
        <v/>
      </c>
      <c r="O468" s="2">
        <f>1-MIN(I468/8,1)</f>
        <v/>
      </c>
      <c r="P468" s="10">
        <f>ROUND(100*(J468*Assumptions!$B$6+K468*Assumptions!$B$7+L468*Assumptions!$B$8+M468*Assumptions!$B$9+N468*Assumptions!$B$10+O468*Assumptions!$B$11),1)</f>
        <v/>
      </c>
      <c r="Q468" s="2">
        <f>IF(P468&gt;=Assumptions!$B$14,"High",IF(P468&gt;=Assumptions!$B$15,"Medium","Low"))</f>
        <v/>
      </c>
      <c r="R468" s="2">
        <f>Cleaned_Data!L468</f>
        <v/>
      </c>
    </row>
    <row r="469">
      <c r="A469" s="2">
        <f>Cleaned_Data!A469</f>
        <v/>
      </c>
      <c r="B469" s="2">
        <f>Cleaned_Data!B469</f>
        <v/>
      </c>
      <c r="C469" s="2">
        <f>Cleaned_Data!G469</f>
        <v/>
      </c>
      <c r="D469" s="2">
        <f>Cleaned_Data!I469</f>
        <v/>
      </c>
      <c r="E469" s="2">
        <f>Cleaned_Data!H469</f>
        <v/>
      </c>
      <c r="F469" s="2">
        <f>Cleaned_Data!F469</f>
        <v/>
      </c>
      <c r="G469" s="9">
        <f>SUMPRODUCT(($B$2:$B$1196=B469)*($F$2:$F$1196&lt;=F469))/SUMPRODUCT(($B$2:$B$1196=B469)*1)</f>
        <v/>
      </c>
      <c r="H469" s="2">
        <f>Cleaned_Data!J469</f>
        <v/>
      </c>
      <c r="I469" s="2">
        <f>Cleaned_Data!E469</f>
        <v/>
      </c>
      <c r="J469" s="2">
        <f>IF(C469="Yes",1,0)</f>
        <v/>
      </c>
      <c r="K469" s="2">
        <f>MIN(MAX(1-(D469-1)/4,0),1)</f>
        <v/>
      </c>
      <c r="L469" s="2">
        <f>MIN(E469/60,1)</f>
        <v/>
      </c>
      <c r="M469" s="2">
        <f>MIN(MAX(1-G469,0),1)</f>
        <v/>
      </c>
      <c r="N469" s="2">
        <f>MIN(MAX(1-(H469-1)/4,0),1)</f>
        <v/>
      </c>
      <c r="O469" s="2">
        <f>1-MIN(I469/8,1)</f>
        <v/>
      </c>
      <c r="P469" s="10">
        <f>ROUND(100*(J469*Assumptions!$B$6+K469*Assumptions!$B$7+L469*Assumptions!$B$8+M469*Assumptions!$B$9+N469*Assumptions!$B$10+O469*Assumptions!$B$11),1)</f>
        <v/>
      </c>
      <c r="Q469" s="2">
        <f>IF(P469&gt;=Assumptions!$B$14,"High",IF(P469&gt;=Assumptions!$B$15,"Medium","Low"))</f>
        <v/>
      </c>
      <c r="R469" s="2">
        <f>Cleaned_Data!L469</f>
        <v/>
      </c>
    </row>
    <row r="470">
      <c r="A470" s="2">
        <f>Cleaned_Data!A470</f>
        <v/>
      </c>
      <c r="B470" s="2">
        <f>Cleaned_Data!B470</f>
        <v/>
      </c>
      <c r="C470" s="2">
        <f>Cleaned_Data!G470</f>
        <v/>
      </c>
      <c r="D470" s="2">
        <f>Cleaned_Data!I470</f>
        <v/>
      </c>
      <c r="E470" s="2">
        <f>Cleaned_Data!H470</f>
        <v/>
      </c>
      <c r="F470" s="2">
        <f>Cleaned_Data!F470</f>
        <v/>
      </c>
      <c r="G470" s="9">
        <f>SUMPRODUCT(($B$2:$B$1196=B470)*($F$2:$F$1196&lt;=F470))/SUMPRODUCT(($B$2:$B$1196=B470)*1)</f>
        <v/>
      </c>
      <c r="H470" s="2">
        <f>Cleaned_Data!J470</f>
        <v/>
      </c>
      <c r="I470" s="2">
        <f>Cleaned_Data!E470</f>
        <v/>
      </c>
      <c r="J470" s="2">
        <f>IF(C470="Yes",1,0)</f>
        <v/>
      </c>
      <c r="K470" s="2">
        <f>MIN(MAX(1-(D470-1)/4,0),1)</f>
        <v/>
      </c>
      <c r="L470" s="2">
        <f>MIN(E470/60,1)</f>
        <v/>
      </c>
      <c r="M470" s="2">
        <f>MIN(MAX(1-G470,0),1)</f>
        <v/>
      </c>
      <c r="N470" s="2">
        <f>MIN(MAX(1-(H470-1)/4,0),1)</f>
        <v/>
      </c>
      <c r="O470" s="2">
        <f>1-MIN(I470/8,1)</f>
        <v/>
      </c>
      <c r="P470" s="10">
        <f>ROUND(100*(J470*Assumptions!$B$6+K470*Assumptions!$B$7+L470*Assumptions!$B$8+M470*Assumptions!$B$9+N470*Assumptions!$B$10+O470*Assumptions!$B$11),1)</f>
        <v/>
      </c>
      <c r="Q470" s="2">
        <f>IF(P470&gt;=Assumptions!$B$14,"High",IF(P470&gt;=Assumptions!$B$15,"Medium","Low"))</f>
        <v/>
      </c>
      <c r="R470" s="2">
        <f>Cleaned_Data!L470</f>
        <v/>
      </c>
    </row>
    <row r="471">
      <c r="A471" s="2">
        <f>Cleaned_Data!A471</f>
        <v/>
      </c>
      <c r="B471" s="2">
        <f>Cleaned_Data!B471</f>
        <v/>
      </c>
      <c r="C471" s="2">
        <f>Cleaned_Data!G471</f>
        <v/>
      </c>
      <c r="D471" s="2">
        <f>Cleaned_Data!I471</f>
        <v/>
      </c>
      <c r="E471" s="2">
        <f>Cleaned_Data!H471</f>
        <v/>
      </c>
      <c r="F471" s="2">
        <f>Cleaned_Data!F471</f>
        <v/>
      </c>
      <c r="G471" s="9">
        <f>SUMPRODUCT(($B$2:$B$1196=B471)*($F$2:$F$1196&lt;=F471))/SUMPRODUCT(($B$2:$B$1196=B471)*1)</f>
        <v/>
      </c>
      <c r="H471" s="2">
        <f>Cleaned_Data!J471</f>
        <v/>
      </c>
      <c r="I471" s="2">
        <f>Cleaned_Data!E471</f>
        <v/>
      </c>
      <c r="J471" s="2">
        <f>IF(C471="Yes",1,0)</f>
        <v/>
      </c>
      <c r="K471" s="2">
        <f>MIN(MAX(1-(D471-1)/4,0),1)</f>
        <v/>
      </c>
      <c r="L471" s="2">
        <f>MIN(E471/60,1)</f>
        <v/>
      </c>
      <c r="M471" s="2">
        <f>MIN(MAX(1-G471,0),1)</f>
        <v/>
      </c>
      <c r="N471" s="2">
        <f>MIN(MAX(1-(H471-1)/4,0),1)</f>
        <v/>
      </c>
      <c r="O471" s="2">
        <f>1-MIN(I471/8,1)</f>
        <v/>
      </c>
      <c r="P471" s="10">
        <f>ROUND(100*(J471*Assumptions!$B$6+K471*Assumptions!$B$7+L471*Assumptions!$B$8+M471*Assumptions!$B$9+N471*Assumptions!$B$10+O471*Assumptions!$B$11),1)</f>
        <v/>
      </c>
      <c r="Q471" s="2">
        <f>IF(P471&gt;=Assumptions!$B$14,"High",IF(P471&gt;=Assumptions!$B$15,"Medium","Low"))</f>
        <v/>
      </c>
      <c r="R471" s="2">
        <f>Cleaned_Data!L471</f>
        <v/>
      </c>
    </row>
    <row r="472">
      <c r="A472" s="2">
        <f>Cleaned_Data!A472</f>
        <v/>
      </c>
      <c r="B472" s="2">
        <f>Cleaned_Data!B472</f>
        <v/>
      </c>
      <c r="C472" s="2">
        <f>Cleaned_Data!G472</f>
        <v/>
      </c>
      <c r="D472" s="2">
        <f>Cleaned_Data!I472</f>
        <v/>
      </c>
      <c r="E472" s="2">
        <f>Cleaned_Data!H472</f>
        <v/>
      </c>
      <c r="F472" s="2">
        <f>Cleaned_Data!F472</f>
        <v/>
      </c>
      <c r="G472" s="9">
        <f>SUMPRODUCT(($B$2:$B$1196=B472)*($F$2:$F$1196&lt;=F472))/SUMPRODUCT(($B$2:$B$1196=B472)*1)</f>
        <v/>
      </c>
      <c r="H472" s="2">
        <f>Cleaned_Data!J472</f>
        <v/>
      </c>
      <c r="I472" s="2">
        <f>Cleaned_Data!E472</f>
        <v/>
      </c>
      <c r="J472" s="2">
        <f>IF(C472="Yes",1,0)</f>
        <v/>
      </c>
      <c r="K472" s="2">
        <f>MIN(MAX(1-(D472-1)/4,0),1)</f>
        <v/>
      </c>
      <c r="L472" s="2">
        <f>MIN(E472/60,1)</f>
        <v/>
      </c>
      <c r="M472" s="2">
        <f>MIN(MAX(1-G472,0),1)</f>
        <v/>
      </c>
      <c r="N472" s="2">
        <f>MIN(MAX(1-(H472-1)/4,0),1)</f>
        <v/>
      </c>
      <c r="O472" s="2">
        <f>1-MIN(I472/8,1)</f>
        <v/>
      </c>
      <c r="P472" s="10">
        <f>ROUND(100*(J472*Assumptions!$B$6+K472*Assumptions!$B$7+L472*Assumptions!$B$8+M472*Assumptions!$B$9+N472*Assumptions!$B$10+O472*Assumptions!$B$11),1)</f>
        <v/>
      </c>
      <c r="Q472" s="2">
        <f>IF(P472&gt;=Assumptions!$B$14,"High",IF(P472&gt;=Assumptions!$B$15,"Medium","Low"))</f>
        <v/>
      </c>
      <c r="R472" s="2">
        <f>Cleaned_Data!L472</f>
        <v/>
      </c>
    </row>
    <row r="473">
      <c r="A473" s="2">
        <f>Cleaned_Data!A473</f>
        <v/>
      </c>
      <c r="B473" s="2">
        <f>Cleaned_Data!B473</f>
        <v/>
      </c>
      <c r="C473" s="2">
        <f>Cleaned_Data!G473</f>
        <v/>
      </c>
      <c r="D473" s="2">
        <f>Cleaned_Data!I473</f>
        <v/>
      </c>
      <c r="E473" s="2">
        <f>Cleaned_Data!H473</f>
        <v/>
      </c>
      <c r="F473" s="2">
        <f>Cleaned_Data!F473</f>
        <v/>
      </c>
      <c r="G473" s="9">
        <f>SUMPRODUCT(($B$2:$B$1196=B473)*($F$2:$F$1196&lt;=F473))/SUMPRODUCT(($B$2:$B$1196=B473)*1)</f>
        <v/>
      </c>
      <c r="H473" s="2">
        <f>Cleaned_Data!J473</f>
        <v/>
      </c>
      <c r="I473" s="2">
        <f>Cleaned_Data!E473</f>
        <v/>
      </c>
      <c r="J473" s="2">
        <f>IF(C473="Yes",1,0)</f>
        <v/>
      </c>
      <c r="K473" s="2">
        <f>MIN(MAX(1-(D473-1)/4,0),1)</f>
        <v/>
      </c>
      <c r="L473" s="2">
        <f>MIN(E473/60,1)</f>
        <v/>
      </c>
      <c r="M473" s="2">
        <f>MIN(MAX(1-G473,0),1)</f>
        <v/>
      </c>
      <c r="N473" s="2">
        <f>MIN(MAX(1-(H473-1)/4,0),1)</f>
        <v/>
      </c>
      <c r="O473" s="2">
        <f>1-MIN(I473/8,1)</f>
        <v/>
      </c>
      <c r="P473" s="10">
        <f>ROUND(100*(J473*Assumptions!$B$6+K473*Assumptions!$B$7+L473*Assumptions!$B$8+M473*Assumptions!$B$9+N473*Assumptions!$B$10+O473*Assumptions!$B$11),1)</f>
        <v/>
      </c>
      <c r="Q473" s="2">
        <f>IF(P473&gt;=Assumptions!$B$14,"High",IF(P473&gt;=Assumptions!$B$15,"Medium","Low"))</f>
        <v/>
      </c>
      <c r="R473" s="2">
        <f>Cleaned_Data!L473</f>
        <v/>
      </c>
    </row>
    <row r="474">
      <c r="A474" s="2">
        <f>Cleaned_Data!A474</f>
        <v/>
      </c>
      <c r="B474" s="2">
        <f>Cleaned_Data!B474</f>
        <v/>
      </c>
      <c r="C474" s="2">
        <f>Cleaned_Data!G474</f>
        <v/>
      </c>
      <c r="D474" s="2">
        <f>Cleaned_Data!I474</f>
        <v/>
      </c>
      <c r="E474" s="2">
        <f>Cleaned_Data!H474</f>
        <v/>
      </c>
      <c r="F474" s="2">
        <f>Cleaned_Data!F474</f>
        <v/>
      </c>
      <c r="G474" s="9">
        <f>SUMPRODUCT(($B$2:$B$1196=B474)*($F$2:$F$1196&lt;=F474))/SUMPRODUCT(($B$2:$B$1196=B474)*1)</f>
        <v/>
      </c>
      <c r="H474" s="2">
        <f>Cleaned_Data!J474</f>
        <v/>
      </c>
      <c r="I474" s="2">
        <f>Cleaned_Data!E474</f>
        <v/>
      </c>
      <c r="J474" s="2">
        <f>IF(C474="Yes",1,0)</f>
        <v/>
      </c>
      <c r="K474" s="2">
        <f>MIN(MAX(1-(D474-1)/4,0),1)</f>
        <v/>
      </c>
      <c r="L474" s="2">
        <f>MIN(E474/60,1)</f>
        <v/>
      </c>
      <c r="M474" s="2">
        <f>MIN(MAX(1-G474,0),1)</f>
        <v/>
      </c>
      <c r="N474" s="2">
        <f>MIN(MAX(1-(H474-1)/4,0),1)</f>
        <v/>
      </c>
      <c r="O474" s="2">
        <f>1-MIN(I474/8,1)</f>
        <v/>
      </c>
      <c r="P474" s="10">
        <f>ROUND(100*(J474*Assumptions!$B$6+K474*Assumptions!$B$7+L474*Assumptions!$B$8+M474*Assumptions!$B$9+N474*Assumptions!$B$10+O474*Assumptions!$B$11),1)</f>
        <v/>
      </c>
      <c r="Q474" s="2">
        <f>IF(P474&gt;=Assumptions!$B$14,"High",IF(P474&gt;=Assumptions!$B$15,"Medium","Low"))</f>
        <v/>
      </c>
      <c r="R474" s="2">
        <f>Cleaned_Data!L474</f>
        <v/>
      </c>
    </row>
    <row r="475">
      <c r="A475" s="2">
        <f>Cleaned_Data!A475</f>
        <v/>
      </c>
      <c r="B475" s="2">
        <f>Cleaned_Data!B475</f>
        <v/>
      </c>
      <c r="C475" s="2">
        <f>Cleaned_Data!G475</f>
        <v/>
      </c>
      <c r="D475" s="2">
        <f>Cleaned_Data!I475</f>
        <v/>
      </c>
      <c r="E475" s="2">
        <f>Cleaned_Data!H475</f>
        <v/>
      </c>
      <c r="F475" s="2">
        <f>Cleaned_Data!F475</f>
        <v/>
      </c>
      <c r="G475" s="9">
        <f>SUMPRODUCT(($B$2:$B$1196=B475)*($F$2:$F$1196&lt;=F475))/SUMPRODUCT(($B$2:$B$1196=B475)*1)</f>
        <v/>
      </c>
      <c r="H475" s="2">
        <f>Cleaned_Data!J475</f>
        <v/>
      </c>
      <c r="I475" s="2">
        <f>Cleaned_Data!E475</f>
        <v/>
      </c>
      <c r="J475" s="2">
        <f>IF(C475="Yes",1,0)</f>
        <v/>
      </c>
      <c r="K475" s="2">
        <f>MIN(MAX(1-(D475-1)/4,0),1)</f>
        <v/>
      </c>
      <c r="L475" s="2">
        <f>MIN(E475/60,1)</f>
        <v/>
      </c>
      <c r="M475" s="2">
        <f>MIN(MAX(1-G475,0),1)</f>
        <v/>
      </c>
      <c r="N475" s="2">
        <f>MIN(MAX(1-(H475-1)/4,0),1)</f>
        <v/>
      </c>
      <c r="O475" s="2">
        <f>1-MIN(I475/8,1)</f>
        <v/>
      </c>
      <c r="P475" s="10">
        <f>ROUND(100*(J475*Assumptions!$B$6+K475*Assumptions!$B$7+L475*Assumptions!$B$8+M475*Assumptions!$B$9+N475*Assumptions!$B$10+O475*Assumptions!$B$11),1)</f>
        <v/>
      </c>
      <c r="Q475" s="2">
        <f>IF(P475&gt;=Assumptions!$B$14,"High",IF(P475&gt;=Assumptions!$B$15,"Medium","Low"))</f>
        <v/>
      </c>
      <c r="R475" s="2">
        <f>Cleaned_Data!L475</f>
        <v/>
      </c>
    </row>
    <row r="476">
      <c r="A476" s="2">
        <f>Cleaned_Data!A476</f>
        <v/>
      </c>
      <c r="B476" s="2">
        <f>Cleaned_Data!B476</f>
        <v/>
      </c>
      <c r="C476" s="2">
        <f>Cleaned_Data!G476</f>
        <v/>
      </c>
      <c r="D476" s="2">
        <f>Cleaned_Data!I476</f>
        <v/>
      </c>
      <c r="E476" s="2">
        <f>Cleaned_Data!H476</f>
        <v/>
      </c>
      <c r="F476" s="2">
        <f>Cleaned_Data!F476</f>
        <v/>
      </c>
      <c r="G476" s="9">
        <f>SUMPRODUCT(($B$2:$B$1196=B476)*($F$2:$F$1196&lt;=F476))/SUMPRODUCT(($B$2:$B$1196=B476)*1)</f>
        <v/>
      </c>
      <c r="H476" s="2">
        <f>Cleaned_Data!J476</f>
        <v/>
      </c>
      <c r="I476" s="2">
        <f>Cleaned_Data!E476</f>
        <v/>
      </c>
      <c r="J476" s="2">
        <f>IF(C476="Yes",1,0)</f>
        <v/>
      </c>
      <c r="K476" s="2">
        <f>MIN(MAX(1-(D476-1)/4,0),1)</f>
        <v/>
      </c>
      <c r="L476" s="2">
        <f>MIN(E476/60,1)</f>
        <v/>
      </c>
      <c r="M476" s="2">
        <f>MIN(MAX(1-G476,0),1)</f>
        <v/>
      </c>
      <c r="N476" s="2">
        <f>MIN(MAX(1-(H476-1)/4,0),1)</f>
        <v/>
      </c>
      <c r="O476" s="2">
        <f>1-MIN(I476/8,1)</f>
        <v/>
      </c>
      <c r="P476" s="10">
        <f>ROUND(100*(J476*Assumptions!$B$6+K476*Assumptions!$B$7+L476*Assumptions!$B$8+M476*Assumptions!$B$9+N476*Assumptions!$B$10+O476*Assumptions!$B$11),1)</f>
        <v/>
      </c>
      <c r="Q476" s="2">
        <f>IF(P476&gt;=Assumptions!$B$14,"High",IF(P476&gt;=Assumptions!$B$15,"Medium","Low"))</f>
        <v/>
      </c>
      <c r="R476" s="2">
        <f>Cleaned_Data!L476</f>
        <v/>
      </c>
    </row>
    <row r="477">
      <c r="A477" s="2">
        <f>Cleaned_Data!A477</f>
        <v/>
      </c>
      <c r="B477" s="2">
        <f>Cleaned_Data!B477</f>
        <v/>
      </c>
      <c r="C477" s="2">
        <f>Cleaned_Data!G477</f>
        <v/>
      </c>
      <c r="D477" s="2">
        <f>Cleaned_Data!I477</f>
        <v/>
      </c>
      <c r="E477" s="2">
        <f>Cleaned_Data!H477</f>
        <v/>
      </c>
      <c r="F477" s="2">
        <f>Cleaned_Data!F477</f>
        <v/>
      </c>
      <c r="G477" s="9">
        <f>SUMPRODUCT(($B$2:$B$1196=B477)*($F$2:$F$1196&lt;=F477))/SUMPRODUCT(($B$2:$B$1196=B477)*1)</f>
        <v/>
      </c>
      <c r="H477" s="2">
        <f>Cleaned_Data!J477</f>
        <v/>
      </c>
      <c r="I477" s="2">
        <f>Cleaned_Data!E477</f>
        <v/>
      </c>
      <c r="J477" s="2">
        <f>IF(C477="Yes",1,0)</f>
        <v/>
      </c>
      <c r="K477" s="2">
        <f>MIN(MAX(1-(D477-1)/4,0),1)</f>
        <v/>
      </c>
      <c r="L477" s="2">
        <f>MIN(E477/60,1)</f>
        <v/>
      </c>
      <c r="M477" s="2">
        <f>MIN(MAX(1-G477,0),1)</f>
        <v/>
      </c>
      <c r="N477" s="2">
        <f>MIN(MAX(1-(H477-1)/4,0),1)</f>
        <v/>
      </c>
      <c r="O477" s="2">
        <f>1-MIN(I477/8,1)</f>
        <v/>
      </c>
      <c r="P477" s="10">
        <f>ROUND(100*(J477*Assumptions!$B$6+K477*Assumptions!$B$7+L477*Assumptions!$B$8+M477*Assumptions!$B$9+N477*Assumptions!$B$10+O477*Assumptions!$B$11),1)</f>
        <v/>
      </c>
      <c r="Q477" s="2">
        <f>IF(P477&gt;=Assumptions!$B$14,"High",IF(P477&gt;=Assumptions!$B$15,"Medium","Low"))</f>
        <v/>
      </c>
      <c r="R477" s="2">
        <f>Cleaned_Data!L477</f>
        <v/>
      </c>
    </row>
    <row r="478">
      <c r="A478" s="2">
        <f>Cleaned_Data!A478</f>
        <v/>
      </c>
      <c r="B478" s="2">
        <f>Cleaned_Data!B478</f>
        <v/>
      </c>
      <c r="C478" s="2">
        <f>Cleaned_Data!G478</f>
        <v/>
      </c>
      <c r="D478" s="2">
        <f>Cleaned_Data!I478</f>
        <v/>
      </c>
      <c r="E478" s="2">
        <f>Cleaned_Data!H478</f>
        <v/>
      </c>
      <c r="F478" s="2">
        <f>Cleaned_Data!F478</f>
        <v/>
      </c>
      <c r="G478" s="9">
        <f>SUMPRODUCT(($B$2:$B$1196=B478)*($F$2:$F$1196&lt;=F478))/SUMPRODUCT(($B$2:$B$1196=B478)*1)</f>
        <v/>
      </c>
      <c r="H478" s="2">
        <f>Cleaned_Data!J478</f>
        <v/>
      </c>
      <c r="I478" s="2">
        <f>Cleaned_Data!E478</f>
        <v/>
      </c>
      <c r="J478" s="2">
        <f>IF(C478="Yes",1,0)</f>
        <v/>
      </c>
      <c r="K478" s="2">
        <f>MIN(MAX(1-(D478-1)/4,0),1)</f>
        <v/>
      </c>
      <c r="L478" s="2">
        <f>MIN(E478/60,1)</f>
        <v/>
      </c>
      <c r="M478" s="2">
        <f>MIN(MAX(1-G478,0),1)</f>
        <v/>
      </c>
      <c r="N478" s="2">
        <f>MIN(MAX(1-(H478-1)/4,0),1)</f>
        <v/>
      </c>
      <c r="O478" s="2">
        <f>1-MIN(I478/8,1)</f>
        <v/>
      </c>
      <c r="P478" s="10">
        <f>ROUND(100*(J478*Assumptions!$B$6+K478*Assumptions!$B$7+L478*Assumptions!$B$8+M478*Assumptions!$B$9+N478*Assumptions!$B$10+O478*Assumptions!$B$11),1)</f>
        <v/>
      </c>
      <c r="Q478" s="2">
        <f>IF(P478&gt;=Assumptions!$B$14,"High",IF(P478&gt;=Assumptions!$B$15,"Medium","Low"))</f>
        <v/>
      </c>
      <c r="R478" s="2">
        <f>Cleaned_Data!L478</f>
        <v/>
      </c>
    </row>
    <row r="479">
      <c r="A479" s="2">
        <f>Cleaned_Data!A479</f>
        <v/>
      </c>
      <c r="B479" s="2">
        <f>Cleaned_Data!B479</f>
        <v/>
      </c>
      <c r="C479" s="2">
        <f>Cleaned_Data!G479</f>
        <v/>
      </c>
      <c r="D479" s="2">
        <f>Cleaned_Data!I479</f>
        <v/>
      </c>
      <c r="E479" s="2">
        <f>Cleaned_Data!H479</f>
        <v/>
      </c>
      <c r="F479" s="2">
        <f>Cleaned_Data!F479</f>
        <v/>
      </c>
      <c r="G479" s="9">
        <f>SUMPRODUCT(($B$2:$B$1196=B479)*($F$2:$F$1196&lt;=F479))/SUMPRODUCT(($B$2:$B$1196=B479)*1)</f>
        <v/>
      </c>
      <c r="H479" s="2">
        <f>Cleaned_Data!J479</f>
        <v/>
      </c>
      <c r="I479" s="2">
        <f>Cleaned_Data!E479</f>
        <v/>
      </c>
      <c r="J479" s="2">
        <f>IF(C479="Yes",1,0)</f>
        <v/>
      </c>
      <c r="K479" s="2">
        <f>MIN(MAX(1-(D479-1)/4,0),1)</f>
        <v/>
      </c>
      <c r="L479" s="2">
        <f>MIN(E479/60,1)</f>
        <v/>
      </c>
      <c r="M479" s="2">
        <f>MIN(MAX(1-G479,0),1)</f>
        <v/>
      </c>
      <c r="N479" s="2">
        <f>MIN(MAX(1-(H479-1)/4,0),1)</f>
        <v/>
      </c>
      <c r="O479" s="2">
        <f>1-MIN(I479/8,1)</f>
        <v/>
      </c>
      <c r="P479" s="10">
        <f>ROUND(100*(J479*Assumptions!$B$6+K479*Assumptions!$B$7+L479*Assumptions!$B$8+M479*Assumptions!$B$9+N479*Assumptions!$B$10+O479*Assumptions!$B$11),1)</f>
        <v/>
      </c>
      <c r="Q479" s="2">
        <f>IF(P479&gt;=Assumptions!$B$14,"High",IF(P479&gt;=Assumptions!$B$15,"Medium","Low"))</f>
        <v/>
      </c>
      <c r="R479" s="2">
        <f>Cleaned_Data!L479</f>
        <v/>
      </c>
    </row>
    <row r="480">
      <c r="A480" s="2">
        <f>Cleaned_Data!A480</f>
        <v/>
      </c>
      <c r="B480" s="2">
        <f>Cleaned_Data!B480</f>
        <v/>
      </c>
      <c r="C480" s="2">
        <f>Cleaned_Data!G480</f>
        <v/>
      </c>
      <c r="D480" s="2">
        <f>Cleaned_Data!I480</f>
        <v/>
      </c>
      <c r="E480" s="2">
        <f>Cleaned_Data!H480</f>
        <v/>
      </c>
      <c r="F480" s="2">
        <f>Cleaned_Data!F480</f>
        <v/>
      </c>
      <c r="G480" s="9">
        <f>SUMPRODUCT(($B$2:$B$1196=B480)*($F$2:$F$1196&lt;=F480))/SUMPRODUCT(($B$2:$B$1196=B480)*1)</f>
        <v/>
      </c>
      <c r="H480" s="2">
        <f>Cleaned_Data!J480</f>
        <v/>
      </c>
      <c r="I480" s="2">
        <f>Cleaned_Data!E480</f>
        <v/>
      </c>
      <c r="J480" s="2">
        <f>IF(C480="Yes",1,0)</f>
        <v/>
      </c>
      <c r="K480" s="2">
        <f>MIN(MAX(1-(D480-1)/4,0),1)</f>
        <v/>
      </c>
      <c r="L480" s="2">
        <f>MIN(E480/60,1)</f>
        <v/>
      </c>
      <c r="M480" s="2">
        <f>MIN(MAX(1-G480,0),1)</f>
        <v/>
      </c>
      <c r="N480" s="2">
        <f>MIN(MAX(1-(H480-1)/4,0),1)</f>
        <v/>
      </c>
      <c r="O480" s="2">
        <f>1-MIN(I480/8,1)</f>
        <v/>
      </c>
      <c r="P480" s="10">
        <f>ROUND(100*(J480*Assumptions!$B$6+K480*Assumptions!$B$7+L480*Assumptions!$B$8+M480*Assumptions!$B$9+N480*Assumptions!$B$10+O480*Assumptions!$B$11),1)</f>
        <v/>
      </c>
      <c r="Q480" s="2">
        <f>IF(P480&gt;=Assumptions!$B$14,"High",IF(P480&gt;=Assumptions!$B$15,"Medium","Low"))</f>
        <v/>
      </c>
      <c r="R480" s="2">
        <f>Cleaned_Data!L480</f>
        <v/>
      </c>
    </row>
    <row r="481">
      <c r="A481" s="2">
        <f>Cleaned_Data!A481</f>
        <v/>
      </c>
      <c r="B481" s="2">
        <f>Cleaned_Data!B481</f>
        <v/>
      </c>
      <c r="C481" s="2">
        <f>Cleaned_Data!G481</f>
        <v/>
      </c>
      <c r="D481" s="2">
        <f>Cleaned_Data!I481</f>
        <v/>
      </c>
      <c r="E481" s="2">
        <f>Cleaned_Data!H481</f>
        <v/>
      </c>
      <c r="F481" s="2">
        <f>Cleaned_Data!F481</f>
        <v/>
      </c>
      <c r="G481" s="9">
        <f>SUMPRODUCT(($B$2:$B$1196=B481)*($F$2:$F$1196&lt;=F481))/SUMPRODUCT(($B$2:$B$1196=B481)*1)</f>
        <v/>
      </c>
      <c r="H481" s="2">
        <f>Cleaned_Data!J481</f>
        <v/>
      </c>
      <c r="I481" s="2">
        <f>Cleaned_Data!E481</f>
        <v/>
      </c>
      <c r="J481" s="2">
        <f>IF(C481="Yes",1,0)</f>
        <v/>
      </c>
      <c r="K481" s="2">
        <f>MIN(MAX(1-(D481-1)/4,0),1)</f>
        <v/>
      </c>
      <c r="L481" s="2">
        <f>MIN(E481/60,1)</f>
        <v/>
      </c>
      <c r="M481" s="2">
        <f>MIN(MAX(1-G481,0),1)</f>
        <v/>
      </c>
      <c r="N481" s="2">
        <f>MIN(MAX(1-(H481-1)/4,0),1)</f>
        <v/>
      </c>
      <c r="O481" s="2">
        <f>1-MIN(I481/8,1)</f>
        <v/>
      </c>
      <c r="P481" s="10">
        <f>ROUND(100*(J481*Assumptions!$B$6+K481*Assumptions!$B$7+L481*Assumptions!$B$8+M481*Assumptions!$B$9+N481*Assumptions!$B$10+O481*Assumptions!$B$11),1)</f>
        <v/>
      </c>
      <c r="Q481" s="2">
        <f>IF(P481&gt;=Assumptions!$B$14,"High",IF(P481&gt;=Assumptions!$B$15,"Medium","Low"))</f>
        <v/>
      </c>
      <c r="R481" s="2">
        <f>Cleaned_Data!L481</f>
        <v/>
      </c>
    </row>
    <row r="482">
      <c r="A482" s="2">
        <f>Cleaned_Data!A482</f>
        <v/>
      </c>
      <c r="B482" s="2">
        <f>Cleaned_Data!B482</f>
        <v/>
      </c>
      <c r="C482" s="2">
        <f>Cleaned_Data!G482</f>
        <v/>
      </c>
      <c r="D482" s="2">
        <f>Cleaned_Data!I482</f>
        <v/>
      </c>
      <c r="E482" s="2">
        <f>Cleaned_Data!H482</f>
        <v/>
      </c>
      <c r="F482" s="2">
        <f>Cleaned_Data!F482</f>
        <v/>
      </c>
      <c r="G482" s="9">
        <f>SUMPRODUCT(($B$2:$B$1196=B482)*($F$2:$F$1196&lt;=F482))/SUMPRODUCT(($B$2:$B$1196=B482)*1)</f>
        <v/>
      </c>
      <c r="H482" s="2">
        <f>Cleaned_Data!J482</f>
        <v/>
      </c>
      <c r="I482" s="2">
        <f>Cleaned_Data!E482</f>
        <v/>
      </c>
      <c r="J482" s="2">
        <f>IF(C482="Yes",1,0)</f>
        <v/>
      </c>
      <c r="K482" s="2">
        <f>MIN(MAX(1-(D482-1)/4,0),1)</f>
        <v/>
      </c>
      <c r="L482" s="2">
        <f>MIN(E482/60,1)</f>
        <v/>
      </c>
      <c r="M482" s="2">
        <f>MIN(MAX(1-G482,0),1)</f>
        <v/>
      </c>
      <c r="N482" s="2">
        <f>MIN(MAX(1-(H482-1)/4,0),1)</f>
        <v/>
      </c>
      <c r="O482" s="2">
        <f>1-MIN(I482/8,1)</f>
        <v/>
      </c>
      <c r="P482" s="10">
        <f>ROUND(100*(J482*Assumptions!$B$6+K482*Assumptions!$B$7+L482*Assumptions!$B$8+M482*Assumptions!$B$9+N482*Assumptions!$B$10+O482*Assumptions!$B$11),1)</f>
        <v/>
      </c>
      <c r="Q482" s="2">
        <f>IF(P482&gt;=Assumptions!$B$14,"High",IF(P482&gt;=Assumptions!$B$15,"Medium","Low"))</f>
        <v/>
      </c>
      <c r="R482" s="2">
        <f>Cleaned_Data!L482</f>
        <v/>
      </c>
    </row>
    <row r="483">
      <c r="A483" s="2">
        <f>Cleaned_Data!A483</f>
        <v/>
      </c>
      <c r="B483" s="2">
        <f>Cleaned_Data!B483</f>
        <v/>
      </c>
      <c r="C483" s="2">
        <f>Cleaned_Data!G483</f>
        <v/>
      </c>
      <c r="D483" s="2">
        <f>Cleaned_Data!I483</f>
        <v/>
      </c>
      <c r="E483" s="2">
        <f>Cleaned_Data!H483</f>
        <v/>
      </c>
      <c r="F483" s="2">
        <f>Cleaned_Data!F483</f>
        <v/>
      </c>
      <c r="G483" s="9">
        <f>SUMPRODUCT(($B$2:$B$1196=B483)*($F$2:$F$1196&lt;=F483))/SUMPRODUCT(($B$2:$B$1196=B483)*1)</f>
        <v/>
      </c>
      <c r="H483" s="2">
        <f>Cleaned_Data!J483</f>
        <v/>
      </c>
      <c r="I483" s="2">
        <f>Cleaned_Data!E483</f>
        <v/>
      </c>
      <c r="J483" s="2">
        <f>IF(C483="Yes",1,0)</f>
        <v/>
      </c>
      <c r="K483" s="2">
        <f>MIN(MAX(1-(D483-1)/4,0),1)</f>
        <v/>
      </c>
      <c r="L483" s="2">
        <f>MIN(E483/60,1)</f>
        <v/>
      </c>
      <c r="M483" s="2">
        <f>MIN(MAX(1-G483,0),1)</f>
        <v/>
      </c>
      <c r="N483" s="2">
        <f>MIN(MAX(1-(H483-1)/4,0),1)</f>
        <v/>
      </c>
      <c r="O483" s="2">
        <f>1-MIN(I483/8,1)</f>
        <v/>
      </c>
      <c r="P483" s="10">
        <f>ROUND(100*(J483*Assumptions!$B$6+K483*Assumptions!$B$7+L483*Assumptions!$B$8+M483*Assumptions!$B$9+N483*Assumptions!$B$10+O483*Assumptions!$B$11),1)</f>
        <v/>
      </c>
      <c r="Q483" s="2">
        <f>IF(P483&gt;=Assumptions!$B$14,"High",IF(P483&gt;=Assumptions!$B$15,"Medium","Low"))</f>
        <v/>
      </c>
      <c r="R483" s="2">
        <f>Cleaned_Data!L483</f>
        <v/>
      </c>
    </row>
    <row r="484">
      <c r="A484" s="2">
        <f>Cleaned_Data!A484</f>
        <v/>
      </c>
      <c r="B484" s="2">
        <f>Cleaned_Data!B484</f>
        <v/>
      </c>
      <c r="C484" s="2">
        <f>Cleaned_Data!G484</f>
        <v/>
      </c>
      <c r="D484" s="2">
        <f>Cleaned_Data!I484</f>
        <v/>
      </c>
      <c r="E484" s="2">
        <f>Cleaned_Data!H484</f>
        <v/>
      </c>
      <c r="F484" s="2">
        <f>Cleaned_Data!F484</f>
        <v/>
      </c>
      <c r="G484" s="9">
        <f>SUMPRODUCT(($B$2:$B$1196=B484)*($F$2:$F$1196&lt;=F484))/SUMPRODUCT(($B$2:$B$1196=B484)*1)</f>
        <v/>
      </c>
      <c r="H484" s="2">
        <f>Cleaned_Data!J484</f>
        <v/>
      </c>
      <c r="I484" s="2">
        <f>Cleaned_Data!E484</f>
        <v/>
      </c>
      <c r="J484" s="2">
        <f>IF(C484="Yes",1,0)</f>
        <v/>
      </c>
      <c r="K484" s="2">
        <f>MIN(MAX(1-(D484-1)/4,0),1)</f>
        <v/>
      </c>
      <c r="L484" s="2">
        <f>MIN(E484/60,1)</f>
        <v/>
      </c>
      <c r="M484" s="2">
        <f>MIN(MAX(1-G484,0),1)</f>
        <v/>
      </c>
      <c r="N484" s="2">
        <f>MIN(MAX(1-(H484-1)/4,0),1)</f>
        <v/>
      </c>
      <c r="O484" s="2">
        <f>1-MIN(I484/8,1)</f>
        <v/>
      </c>
      <c r="P484" s="10">
        <f>ROUND(100*(J484*Assumptions!$B$6+K484*Assumptions!$B$7+L484*Assumptions!$B$8+M484*Assumptions!$B$9+N484*Assumptions!$B$10+O484*Assumptions!$B$11),1)</f>
        <v/>
      </c>
      <c r="Q484" s="2">
        <f>IF(P484&gt;=Assumptions!$B$14,"High",IF(P484&gt;=Assumptions!$B$15,"Medium","Low"))</f>
        <v/>
      </c>
      <c r="R484" s="2">
        <f>Cleaned_Data!L484</f>
        <v/>
      </c>
    </row>
    <row r="485">
      <c r="A485" s="2">
        <f>Cleaned_Data!A485</f>
        <v/>
      </c>
      <c r="B485" s="2">
        <f>Cleaned_Data!B485</f>
        <v/>
      </c>
      <c r="C485" s="2">
        <f>Cleaned_Data!G485</f>
        <v/>
      </c>
      <c r="D485" s="2">
        <f>Cleaned_Data!I485</f>
        <v/>
      </c>
      <c r="E485" s="2">
        <f>Cleaned_Data!H485</f>
        <v/>
      </c>
      <c r="F485" s="2">
        <f>Cleaned_Data!F485</f>
        <v/>
      </c>
      <c r="G485" s="9">
        <f>SUMPRODUCT(($B$2:$B$1196=B485)*($F$2:$F$1196&lt;=F485))/SUMPRODUCT(($B$2:$B$1196=B485)*1)</f>
        <v/>
      </c>
      <c r="H485" s="2">
        <f>Cleaned_Data!J485</f>
        <v/>
      </c>
      <c r="I485" s="2">
        <f>Cleaned_Data!E485</f>
        <v/>
      </c>
      <c r="J485" s="2">
        <f>IF(C485="Yes",1,0)</f>
        <v/>
      </c>
      <c r="K485" s="2">
        <f>MIN(MAX(1-(D485-1)/4,0),1)</f>
        <v/>
      </c>
      <c r="L485" s="2">
        <f>MIN(E485/60,1)</f>
        <v/>
      </c>
      <c r="M485" s="2">
        <f>MIN(MAX(1-G485,0),1)</f>
        <v/>
      </c>
      <c r="N485" s="2">
        <f>MIN(MAX(1-(H485-1)/4,0),1)</f>
        <v/>
      </c>
      <c r="O485" s="2">
        <f>1-MIN(I485/8,1)</f>
        <v/>
      </c>
      <c r="P485" s="10">
        <f>ROUND(100*(J485*Assumptions!$B$6+K485*Assumptions!$B$7+L485*Assumptions!$B$8+M485*Assumptions!$B$9+N485*Assumptions!$B$10+O485*Assumptions!$B$11),1)</f>
        <v/>
      </c>
      <c r="Q485" s="2">
        <f>IF(P485&gt;=Assumptions!$B$14,"High",IF(P485&gt;=Assumptions!$B$15,"Medium","Low"))</f>
        <v/>
      </c>
      <c r="R485" s="2">
        <f>Cleaned_Data!L485</f>
        <v/>
      </c>
    </row>
    <row r="486">
      <c r="A486" s="2">
        <f>Cleaned_Data!A486</f>
        <v/>
      </c>
      <c r="B486" s="2">
        <f>Cleaned_Data!B486</f>
        <v/>
      </c>
      <c r="C486" s="2">
        <f>Cleaned_Data!G486</f>
        <v/>
      </c>
      <c r="D486" s="2">
        <f>Cleaned_Data!I486</f>
        <v/>
      </c>
      <c r="E486" s="2">
        <f>Cleaned_Data!H486</f>
        <v/>
      </c>
      <c r="F486" s="2">
        <f>Cleaned_Data!F486</f>
        <v/>
      </c>
      <c r="G486" s="9">
        <f>SUMPRODUCT(($B$2:$B$1196=B486)*($F$2:$F$1196&lt;=F486))/SUMPRODUCT(($B$2:$B$1196=B486)*1)</f>
        <v/>
      </c>
      <c r="H486" s="2">
        <f>Cleaned_Data!J486</f>
        <v/>
      </c>
      <c r="I486" s="2">
        <f>Cleaned_Data!E486</f>
        <v/>
      </c>
      <c r="J486" s="2">
        <f>IF(C486="Yes",1,0)</f>
        <v/>
      </c>
      <c r="K486" s="2">
        <f>MIN(MAX(1-(D486-1)/4,0),1)</f>
        <v/>
      </c>
      <c r="L486" s="2">
        <f>MIN(E486/60,1)</f>
        <v/>
      </c>
      <c r="M486" s="2">
        <f>MIN(MAX(1-G486,0),1)</f>
        <v/>
      </c>
      <c r="N486" s="2">
        <f>MIN(MAX(1-(H486-1)/4,0),1)</f>
        <v/>
      </c>
      <c r="O486" s="2">
        <f>1-MIN(I486/8,1)</f>
        <v/>
      </c>
      <c r="P486" s="10">
        <f>ROUND(100*(J486*Assumptions!$B$6+K486*Assumptions!$B$7+L486*Assumptions!$B$8+M486*Assumptions!$B$9+N486*Assumptions!$B$10+O486*Assumptions!$B$11),1)</f>
        <v/>
      </c>
      <c r="Q486" s="2">
        <f>IF(P486&gt;=Assumptions!$B$14,"High",IF(P486&gt;=Assumptions!$B$15,"Medium","Low"))</f>
        <v/>
      </c>
      <c r="R486" s="2">
        <f>Cleaned_Data!L486</f>
        <v/>
      </c>
    </row>
    <row r="487">
      <c r="A487" s="2">
        <f>Cleaned_Data!A487</f>
        <v/>
      </c>
      <c r="B487" s="2">
        <f>Cleaned_Data!B487</f>
        <v/>
      </c>
      <c r="C487" s="2">
        <f>Cleaned_Data!G487</f>
        <v/>
      </c>
      <c r="D487" s="2">
        <f>Cleaned_Data!I487</f>
        <v/>
      </c>
      <c r="E487" s="2">
        <f>Cleaned_Data!H487</f>
        <v/>
      </c>
      <c r="F487" s="2">
        <f>Cleaned_Data!F487</f>
        <v/>
      </c>
      <c r="G487" s="9">
        <f>SUMPRODUCT(($B$2:$B$1196=B487)*($F$2:$F$1196&lt;=F487))/SUMPRODUCT(($B$2:$B$1196=B487)*1)</f>
        <v/>
      </c>
      <c r="H487" s="2">
        <f>Cleaned_Data!J487</f>
        <v/>
      </c>
      <c r="I487" s="2">
        <f>Cleaned_Data!E487</f>
        <v/>
      </c>
      <c r="J487" s="2">
        <f>IF(C487="Yes",1,0)</f>
        <v/>
      </c>
      <c r="K487" s="2">
        <f>MIN(MAX(1-(D487-1)/4,0),1)</f>
        <v/>
      </c>
      <c r="L487" s="2">
        <f>MIN(E487/60,1)</f>
        <v/>
      </c>
      <c r="M487" s="2">
        <f>MIN(MAX(1-G487,0),1)</f>
        <v/>
      </c>
      <c r="N487" s="2">
        <f>MIN(MAX(1-(H487-1)/4,0),1)</f>
        <v/>
      </c>
      <c r="O487" s="2">
        <f>1-MIN(I487/8,1)</f>
        <v/>
      </c>
      <c r="P487" s="10">
        <f>ROUND(100*(J487*Assumptions!$B$6+K487*Assumptions!$B$7+L487*Assumptions!$B$8+M487*Assumptions!$B$9+N487*Assumptions!$B$10+O487*Assumptions!$B$11),1)</f>
        <v/>
      </c>
      <c r="Q487" s="2">
        <f>IF(P487&gt;=Assumptions!$B$14,"High",IF(P487&gt;=Assumptions!$B$15,"Medium","Low"))</f>
        <v/>
      </c>
      <c r="R487" s="2">
        <f>Cleaned_Data!L487</f>
        <v/>
      </c>
    </row>
    <row r="488">
      <c r="A488" s="2">
        <f>Cleaned_Data!A488</f>
        <v/>
      </c>
      <c r="B488" s="2">
        <f>Cleaned_Data!B488</f>
        <v/>
      </c>
      <c r="C488" s="2">
        <f>Cleaned_Data!G488</f>
        <v/>
      </c>
      <c r="D488" s="2">
        <f>Cleaned_Data!I488</f>
        <v/>
      </c>
      <c r="E488" s="2">
        <f>Cleaned_Data!H488</f>
        <v/>
      </c>
      <c r="F488" s="2">
        <f>Cleaned_Data!F488</f>
        <v/>
      </c>
      <c r="G488" s="9">
        <f>SUMPRODUCT(($B$2:$B$1196=B488)*($F$2:$F$1196&lt;=F488))/SUMPRODUCT(($B$2:$B$1196=B488)*1)</f>
        <v/>
      </c>
      <c r="H488" s="2">
        <f>Cleaned_Data!J488</f>
        <v/>
      </c>
      <c r="I488" s="2">
        <f>Cleaned_Data!E488</f>
        <v/>
      </c>
      <c r="J488" s="2">
        <f>IF(C488="Yes",1,0)</f>
        <v/>
      </c>
      <c r="K488" s="2">
        <f>MIN(MAX(1-(D488-1)/4,0),1)</f>
        <v/>
      </c>
      <c r="L488" s="2">
        <f>MIN(E488/60,1)</f>
        <v/>
      </c>
      <c r="M488" s="2">
        <f>MIN(MAX(1-G488,0),1)</f>
        <v/>
      </c>
      <c r="N488" s="2">
        <f>MIN(MAX(1-(H488-1)/4,0),1)</f>
        <v/>
      </c>
      <c r="O488" s="2">
        <f>1-MIN(I488/8,1)</f>
        <v/>
      </c>
      <c r="P488" s="10">
        <f>ROUND(100*(J488*Assumptions!$B$6+K488*Assumptions!$B$7+L488*Assumptions!$B$8+M488*Assumptions!$B$9+N488*Assumptions!$B$10+O488*Assumptions!$B$11),1)</f>
        <v/>
      </c>
      <c r="Q488" s="2">
        <f>IF(P488&gt;=Assumptions!$B$14,"High",IF(P488&gt;=Assumptions!$B$15,"Medium","Low"))</f>
        <v/>
      </c>
      <c r="R488" s="2">
        <f>Cleaned_Data!L488</f>
        <v/>
      </c>
    </row>
    <row r="489">
      <c r="A489" s="2">
        <f>Cleaned_Data!A489</f>
        <v/>
      </c>
      <c r="B489" s="2">
        <f>Cleaned_Data!B489</f>
        <v/>
      </c>
      <c r="C489" s="2">
        <f>Cleaned_Data!G489</f>
        <v/>
      </c>
      <c r="D489" s="2">
        <f>Cleaned_Data!I489</f>
        <v/>
      </c>
      <c r="E489" s="2">
        <f>Cleaned_Data!H489</f>
        <v/>
      </c>
      <c r="F489" s="2">
        <f>Cleaned_Data!F489</f>
        <v/>
      </c>
      <c r="G489" s="9">
        <f>SUMPRODUCT(($B$2:$B$1196=B489)*($F$2:$F$1196&lt;=F489))/SUMPRODUCT(($B$2:$B$1196=B489)*1)</f>
        <v/>
      </c>
      <c r="H489" s="2">
        <f>Cleaned_Data!J489</f>
        <v/>
      </c>
      <c r="I489" s="2">
        <f>Cleaned_Data!E489</f>
        <v/>
      </c>
      <c r="J489" s="2">
        <f>IF(C489="Yes",1,0)</f>
        <v/>
      </c>
      <c r="K489" s="2">
        <f>MIN(MAX(1-(D489-1)/4,0),1)</f>
        <v/>
      </c>
      <c r="L489" s="2">
        <f>MIN(E489/60,1)</f>
        <v/>
      </c>
      <c r="M489" s="2">
        <f>MIN(MAX(1-G489,0),1)</f>
        <v/>
      </c>
      <c r="N489" s="2">
        <f>MIN(MAX(1-(H489-1)/4,0),1)</f>
        <v/>
      </c>
      <c r="O489" s="2">
        <f>1-MIN(I489/8,1)</f>
        <v/>
      </c>
      <c r="P489" s="10">
        <f>ROUND(100*(J489*Assumptions!$B$6+K489*Assumptions!$B$7+L489*Assumptions!$B$8+M489*Assumptions!$B$9+N489*Assumptions!$B$10+O489*Assumptions!$B$11),1)</f>
        <v/>
      </c>
      <c r="Q489" s="2">
        <f>IF(P489&gt;=Assumptions!$B$14,"High",IF(P489&gt;=Assumptions!$B$15,"Medium","Low"))</f>
        <v/>
      </c>
      <c r="R489" s="2">
        <f>Cleaned_Data!L489</f>
        <v/>
      </c>
    </row>
    <row r="490">
      <c r="A490" s="2">
        <f>Cleaned_Data!A490</f>
        <v/>
      </c>
      <c r="B490" s="2">
        <f>Cleaned_Data!B490</f>
        <v/>
      </c>
      <c r="C490" s="2">
        <f>Cleaned_Data!G490</f>
        <v/>
      </c>
      <c r="D490" s="2">
        <f>Cleaned_Data!I490</f>
        <v/>
      </c>
      <c r="E490" s="2">
        <f>Cleaned_Data!H490</f>
        <v/>
      </c>
      <c r="F490" s="2">
        <f>Cleaned_Data!F490</f>
        <v/>
      </c>
      <c r="G490" s="9">
        <f>SUMPRODUCT(($B$2:$B$1196=B490)*($F$2:$F$1196&lt;=F490))/SUMPRODUCT(($B$2:$B$1196=B490)*1)</f>
        <v/>
      </c>
      <c r="H490" s="2">
        <f>Cleaned_Data!J490</f>
        <v/>
      </c>
      <c r="I490" s="2">
        <f>Cleaned_Data!E490</f>
        <v/>
      </c>
      <c r="J490" s="2">
        <f>IF(C490="Yes",1,0)</f>
        <v/>
      </c>
      <c r="K490" s="2">
        <f>MIN(MAX(1-(D490-1)/4,0),1)</f>
        <v/>
      </c>
      <c r="L490" s="2">
        <f>MIN(E490/60,1)</f>
        <v/>
      </c>
      <c r="M490" s="2">
        <f>MIN(MAX(1-G490,0),1)</f>
        <v/>
      </c>
      <c r="N490" s="2">
        <f>MIN(MAX(1-(H490-1)/4,0),1)</f>
        <v/>
      </c>
      <c r="O490" s="2">
        <f>1-MIN(I490/8,1)</f>
        <v/>
      </c>
      <c r="P490" s="10">
        <f>ROUND(100*(J490*Assumptions!$B$6+K490*Assumptions!$B$7+L490*Assumptions!$B$8+M490*Assumptions!$B$9+N490*Assumptions!$B$10+O490*Assumptions!$B$11),1)</f>
        <v/>
      </c>
      <c r="Q490" s="2">
        <f>IF(P490&gt;=Assumptions!$B$14,"High",IF(P490&gt;=Assumptions!$B$15,"Medium","Low"))</f>
        <v/>
      </c>
      <c r="R490" s="2">
        <f>Cleaned_Data!L490</f>
        <v/>
      </c>
    </row>
    <row r="491">
      <c r="A491" s="2">
        <f>Cleaned_Data!A491</f>
        <v/>
      </c>
      <c r="B491" s="2">
        <f>Cleaned_Data!B491</f>
        <v/>
      </c>
      <c r="C491" s="2">
        <f>Cleaned_Data!G491</f>
        <v/>
      </c>
      <c r="D491" s="2">
        <f>Cleaned_Data!I491</f>
        <v/>
      </c>
      <c r="E491" s="2">
        <f>Cleaned_Data!H491</f>
        <v/>
      </c>
      <c r="F491" s="2">
        <f>Cleaned_Data!F491</f>
        <v/>
      </c>
      <c r="G491" s="9">
        <f>SUMPRODUCT(($B$2:$B$1196=B491)*($F$2:$F$1196&lt;=F491))/SUMPRODUCT(($B$2:$B$1196=B491)*1)</f>
        <v/>
      </c>
      <c r="H491" s="2">
        <f>Cleaned_Data!J491</f>
        <v/>
      </c>
      <c r="I491" s="2">
        <f>Cleaned_Data!E491</f>
        <v/>
      </c>
      <c r="J491" s="2">
        <f>IF(C491="Yes",1,0)</f>
        <v/>
      </c>
      <c r="K491" s="2">
        <f>MIN(MAX(1-(D491-1)/4,0),1)</f>
        <v/>
      </c>
      <c r="L491" s="2">
        <f>MIN(E491/60,1)</f>
        <v/>
      </c>
      <c r="M491" s="2">
        <f>MIN(MAX(1-G491,0),1)</f>
        <v/>
      </c>
      <c r="N491" s="2">
        <f>MIN(MAX(1-(H491-1)/4,0),1)</f>
        <v/>
      </c>
      <c r="O491" s="2">
        <f>1-MIN(I491/8,1)</f>
        <v/>
      </c>
      <c r="P491" s="10">
        <f>ROUND(100*(J491*Assumptions!$B$6+K491*Assumptions!$B$7+L491*Assumptions!$B$8+M491*Assumptions!$B$9+N491*Assumptions!$B$10+O491*Assumptions!$B$11),1)</f>
        <v/>
      </c>
      <c r="Q491" s="2">
        <f>IF(P491&gt;=Assumptions!$B$14,"High",IF(P491&gt;=Assumptions!$B$15,"Medium","Low"))</f>
        <v/>
      </c>
      <c r="R491" s="2">
        <f>Cleaned_Data!L491</f>
        <v/>
      </c>
    </row>
    <row r="492">
      <c r="A492" s="2">
        <f>Cleaned_Data!A492</f>
        <v/>
      </c>
      <c r="B492" s="2">
        <f>Cleaned_Data!B492</f>
        <v/>
      </c>
      <c r="C492" s="2">
        <f>Cleaned_Data!G492</f>
        <v/>
      </c>
      <c r="D492" s="2">
        <f>Cleaned_Data!I492</f>
        <v/>
      </c>
      <c r="E492" s="2">
        <f>Cleaned_Data!H492</f>
        <v/>
      </c>
      <c r="F492" s="2">
        <f>Cleaned_Data!F492</f>
        <v/>
      </c>
      <c r="G492" s="9">
        <f>SUMPRODUCT(($B$2:$B$1196=B492)*($F$2:$F$1196&lt;=F492))/SUMPRODUCT(($B$2:$B$1196=B492)*1)</f>
        <v/>
      </c>
      <c r="H492" s="2">
        <f>Cleaned_Data!J492</f>
        <v/>
      </c>
      <c r="I492" s="2">
        <f>Cleaned_Data!E492</f>
        <v/>
      </c>
      <c r="J492" s="2">
        <f>IF(C492="Yes",1,0)</f>
        <v/>
      </c>
      <c r="K492" s="2">
        <f>MIN(MAX(1-(D492-1)/4,0),1)</f>
        <v/>
      </c>
      <c r="L492" s="2">
        <f>MIN(E492/60,1)</f>
        <v/>
      </c>
      <c r="M492" s="2">
        <f>MIN(MAX(1-G492,0),1)</f>
        <v/>
      </c>
      <c r="N492" s="2">
        <f>MIN(MAX(1-(H492-1)/4,0),1)</f>
        <v/>
      </c>
      <c r="O492" s="2">
        <f>1-MIN(I492/8,1)</f>
        <v/>
      </c>
      <c r="P492" s="10">
        <f>ROUND(100*(J492*Assumptions!$B$6+K492*Assumptions!$B$7+L492*Assumptions!$B$8+M492*Assumptions!$B$9+N492*Assumptions!$B$10+O492*Assumptions!$B$11),1)</f>
        <v/>
      </c>
      <c r="Q492" s="2">
        <f>IF(P492&gt;=Assumptions!$B$14,"High",IF(P492&gt;=Assumptions!$B$15,"Medium","Low"))</f>
        <v/>
      </c>
      <c r="R492" s="2">
        <f>Cleaned_Data!L492</f>
        <v/>
      </c>
    </row>
    <row r="493">
      <c r="A493" s="2">
        <f>Cleaned_Data!A493</f>
        <v/>
      </c>
      <c r="B493" s="2">
        <f>Cleaned_Data!B493</f>
        <v/>
      </c>
      <c r="C493" s="2">
        <f>Cleaned_Data!G493</f>
        <v/>
      </c>
      <c r="D493" s="2">
        <f>Cleaned_Data!I493</f>
        <v/>
      </c>
      <c r="E493" s="2">
        <f>Cleaned_Data!H493</f>
        <v/>
      </c>
      <c r="F493" s="2">
        <f>Cleaned_Data!F493</f>
        <v/>
      </c>
      <c r="G493" s="9">
        <f>SUMPRODUCT(($B$2:$B$1196=B493)*($F$2:$F$1196&lt;=F493))/SUMPRODUCT(($B$2:$B$1196=B493)*1)</f>
        <v/>
      </c>
      <c r="H493" s="2">
        <f>Cleaned_Data!J493</f>
        <v/>
      </c>
      <c r="I493" s="2">
        <f>Cleaned_Data!E493</f>
        <v/>
      </c>
      <c r="J493" s="2">
        <f>IF(C493="Yes",1,0)</f>
        <v/>
      </c>
      <c r="K493" s="2">
        <f>MIN(MAX(1-(D493-1)/4,0),1)</f>
        <v/>
      </c>
      <c r="L493" s="2">
        <f>MIN(E493/60,1)</f>
        <v/>
      </c>
      <c r="M493" s="2">
        <f>MIN(MAX(1-G493,0),1)</f>
        <v/>
      </c>
      <c r="N493" s="2">
        <f>MIN(MAX(1-(H493-1)/4,0),1)</f>
        <v/>
      </c>
      <c r="O493" s="2">
        <f>1-MIN(I493/8,1)</f>
        <v/>
      </c>
      <c r="P493" s="10">
        <f>ROUND(100*(J493*Assumptions!$B$6+K493*Assumptions!$B$7+L493*Assumptions!$B$8+M493*Assumptions!$B$9+N493*Assumptions!$B$10+O493*Assumptions!$B$11),1)</f>
        <v/>
      </c>
      <c r="Q493" s="2">
        <f>IF(P493&gt;=Assumptions!$B$14,"High",IF(P493&gt;=Assumptions!$B$15,"Medium","Low"))</f>
        <v/>
      </c>
      <c r="R493" s="2">
        <f>Cleaned_Data!L493</f>
        <v/>
      </c>
    </row>
    <row r="494">
      <c r="A494" s="2">
        <f>Cleaned_Data!A494</f>
        <v/>
      </c>
      <c r="B494" s="2">
        <f>Cleaned_Data!B494</f>
        <v/>
      </c>
      <c r="C494" s="2">
        <f>Cleaned_Data!G494</f>
        <v/>
      </c>
      <c r="D494" s="2">
        <f>Cleaned_Data!I494</f>
        <v/>
      </c>
      <c r="E494" s="2">
        <f>Cleaned_Data!H494</f>
        <v/>
      </c>
      <c r="F494" s="2">
        <f>Cleaned_Data!F494</f>
        <v/>
      </c>
      <c r="G494" s="9">
        <f>SUMPRODUCT(($B$2:$B$1196=B494)*($F$2:$F$1196&lt;=F494))/SUMPRODUCT(($B$2:$B$1196=B494)*1)</f>
        <v/>
      </c>
      <c r="H494" s="2">
        <f>Cleaned_Data!J494</f>
        <v/>
      </c>
      <c r="I494" s="2">
        <f>Cleaned_Data!E494</f>
        <v/>
      </c>
      <c r="J494" s="2">
        <f>IF(C494="Yes",1,0)</f>
        <v/>
      </c>
      <c r="K494" s="2">
        <f>MIN(MAX(1-(D494-1)/4,0),1)</f>
        <v/>
      </c>
      <c r="L494" s="2">
        <f>MIN(E494/60,1)</f>
        <v/>
      </c>
      <c r="M494" s="2">
        <f>MIN(MAX(1-G494,0),1)</f>
        <v/>
      </c>
      <c r="N494" s="2">
        <f>MIN(MAX(1-(H494-1)/4,0),1)</f>
        <v/>
      </c>
      <c r="O494" s="2">
        <f>1-MIN(I494/8,1)</f>
        <v/>
      </c>
      <c r="P494" s="10">
        <f>ROUND(100*(J494*Assumptions!$B$6+K494*Assumptions!$B$7+L494*Assumptions!$B$8+M494*Assumptions!$B$9+N494*Assumptions!$B$10+O494*Assumptions!$B$11),1)</f>
        <v/>
      </c>
      <c r="Q494" s="2">
        <f>IF(P494&gt;=Assumptions!$B$14,"High",IF(P494&gt;=Assumptions!$B$15,"Medium","Low"))</f>
        <v/>
      </c>
      <c r="R494" s="2">
        <f>Cleaned_Data!L494</f>
        <v/>
      </c>
    </row>
    <row r="495">
      <c r="A495" s="2">
        <f>Cleaned_Data!A495</f>
        <v/>
      </c>
      <c r="B495" s="2">
        <f>Cleaned_Data!B495</f>
        <v/>
      </c>
      <c r="C495" s="2">
        <f>Cleaned_Data!G495</f>
        <v/>
      </c>
      <c r="D495" s="2">
        <f>Cleaned_Data!I495</f>
        <v/>
      </c>
      <c r="E495" s="2">
        <f>Cleaned_Data!H495</f>
        <v/>
      </c>
      <c r="F495" s="2">
        <f>Cleaned_Data!F495</f>
        <v/>
      </c>
      <c r="G495" s="9">
        <f>SUMPRODUCT(($B$2:$B$1196=B495)*($F$2:$F$1196&lt;=F495))/SUMPRODUCT(($B$2:$B$1196=B495)*1)</f>
        <v/>
      </c>
      <c r="H495" s="2">
        <f>Cleaned_Data!J495</f>
        <v/>
      </c>
      <c r="I495" s="2">
        <f>Cleaned_Data!E495</f>
        <v/>
      </c>
      <c r="J495" s="2">
        <f>IF(C495="Yes",1,0)</f>
        <v/>
      </c>
      <c r="K495" s="2">
        <f>MIN(MAX(1-(D495-1)/4,0),1)</f>
        <v/>
      </c>
      <c r="L495" s="2">
        <f>MIN(E495/60,1)</f>
        <v/>
      </c>
      <c r="M495" s="2">
        <f>MIN(MAX(1-G495,0),1)</f>
        <v/>
      </c>
      <c r="N495" s="2">
        <f>MIN(MAX(1-(H495-1)/4,0),1)</f>
        <v/>
      </c>
      <c r="O495" s="2">
        <f>1-MIN(I495/8,1)</f>
        <v/>
      </c>
      <c r="P495" s="10">
        <f>ROUND(100*(J495*Assumptions!$B$6+K495*Assumptions!$B$7+L495*Assumptions!$B$8+M495*Assumptions!$B$9+N495*Assumptions!$B$10+O495*Assumptions!$B$11),1)</f>
        <v/>
      </c>
      <c r="Q495" s="2">
        <f>IF(P495&gt;=Assumptions!$B$14,"High",IF(P495&gt;=Assumptions!$B$15,"Medium","Low"))</f>
        <v/>
      </c>
      <c r="R495" s="2">
        <f>Cleaned_Data!L495</f>
        <v/>
      </c>
    </row>
    <row r="496">
      <c r="A496" s="2">
        <f>Cleaned_Data!A496</f>
        <v/>
      </c>
      <c r="B496" s="2">
        <f>Cleaned_Data!B496</f>
        <v/>
      </c>
      <c r="C496" s="2">
        <f>Cleaned_Data!G496</f>
        <v/>
      </c>
      <c r="D496" s="2">
        <f>Cleaned_Data!I496</f>
        <v/>
      </c>
      <c r="E496" s="2">
        <f>Cleaned_Data!H496</f>
        <v/>
      </c>
      <c r="F496" s="2">
        <f>Cleaned_Data!F496</f>
        <v/>
      </c>
      <c r="G496" s="9">
        <f>SUMPRODUCT(($B$2:$B$1196=B496)*($F$2:$F$1196&lt;=F496))/SUMPRODUCT(($B$2:$B$1196=B496)*1)</f>
        <v/>
      </c>
      <c r="H496" s="2">
        <f>Cleaned_Data!J496</f>
        <v/>
      </c>
      <c r="I496" s="2">
        <f>Cleaned_Data!E496</f>
        <v/>
      </c>
      <c r="J496" s="2">
        <f>IF(C496="Yes",1,0)</f>
        <v/>
      </c>
      <c r="K496" s="2">
        <f>MIN(MAX(1-(D496-1)/4,0),1)</f>
        <v/>
      </c>
      <c r="L496" s="2">
        <f>MIN(E496/60,1)</f>
        <v/>
      </c>
      <c r="M496" s="2">
        <f>MIN(MAX(1-G496,0),1)</f>
        <v/>
      </c>
      <c r="N496" s="2">
        <f>MIN(MAX(1-(H496-1)/4,0),1)</f>
        <v/>
      </c>
      <c r="O496" s="2">
        <f>1-MIN(I496/8,1)</f>
        <v/>
      </c>
      <c r="P496" s="10">
        <f>ROUND(100*(J496*Assumptions!$B$6+K496*Assumptions!$B$7+L496*Assumptions!$B$8+M496*Assumptions!$B$9+N496*Assumptions!$B$10+O496*Assumptions!$B$11),1)</f>
        <v/>
      </c>
      <c r="Q496" s="2">
        <f>IF(P496&gt;=Assumptions!$B$14,"High",IF(P496&gt;=Assumptions!$B$15,"Medium","Low"))</f>
        <v/>
      </c>
      <c r="R496" s="2">
        <f>Cleaned_Data!L496</f>
        <v/>
      </c>
    </row>
    <row r="497">
      <c r="A497" s="2">
        <f>Cleaned_Data!A497</f>
        <v/>
      </c>
      <c r="B497" s="2">
        <f>Cleaned_Data!B497</f>
        <v/>
      </c>
      <c r="C497" s="2">
        <f>Cleaned_Data!G497</f>
        <v/>
      </c>
      <c r="D497" s="2">
        <f>Cleaned_Data!I497</f>
        <v/>
      </c>
      <c r="E497" s="2">
        <f>Cleaned_Data!H497</f>
        <v/>
      </c>
      <c r="F497" s="2">
        <f>Cleaned_Data!F497</f>
        <v/>
      </c>
      <c r="G497" s="9">
        <f>SUMPRODUCT(($B$2:$B$1196=B497)*($F$2:$F$1196&lt;=F497))/SUMPRODUCT(($B$2:$B$1196=B497)*1)</f>
        <v/>
      </c>
      <c r="H497" s="2">
        <f>Cleaned_Data!J497</f>
        <v/>
      </c>
      <c r="I497" s="2">
        <f>Cleaned_Data!E497</f>
        <v/>
      </c>
      <c r="J497" s="2">
        <f>IF(C497="Yes",1,0)</f>
        <v/>
      </c>
      <c r="K497" s="2">
        <f>MIN(MAX(1-(D497-1)/4,0),1)</f>
        <v/>
      </c>
      <c r="L497" s="2">
        <f>MIN(E497/60,1)</f>
        <v/>
      </c>
      <c r="M497" s="2">
        <f>MIN(MAX(1-G497,0),1)</f>
        <v/>
      </c>
      <c r="N497" s="2">
        <f>MIN(MAX(1-(H497-1)/4,0),1)</f>
        <v/>
      </c>
      <c r="O497" s="2">
        <f>1-MIN(I497/8,1)</f>
        <v/>
      </c>
      <c r="P497" s="10">
        <f>ROUND(100*(J497*Assumptions!$B$6+K497*Assumptions!$B$7+L497*Assumptions!$B$8+M497*Assumptions!$B$9+N497*Assumptions!$B$10+O497*Assumptions!$B$11),1)</f>
        <v/>
      </c>
      <c r="Q497" s="2">
        <f>IF(P497&gt;=Assumptions!$B$14,"High",IF(P497&gt;=Assumptions!$B$15,"Medium","Low"))</f>
        <v/>
      </c>
      <c r="R497" s="2">
        <f>Cleaned_Data!L497</f>
        <v/>
      </c>
    </row>
    <row r="498">
      <c r="A498" s="2">
        <f>Cleaned_Data!A498</f>
        <v/>
      </c>
      <c r="B498" s="2">
        <f>Cleaned_Data!B498</f>
        <v/>
      </c>
      <c r="C498" s="2">
        <f>Cleaned_Data!G498</f>
        <v/>
      </c>
      <c r="D498" s="2">
        <f>Cleaned_Data!I498</f>
        <v/>
      </c>
      <c r="E498" s="2">
        <f>Cleaned_Data!H498</f>
        <v/>
      </c>
      <c r="F498" s="2">
        <f>Cleaned_Data!F498</f>
        <v/>
      </c>
      <c r="G498" s="9">
        <f>SUMPRODUCT(($B$2:$B$1196=B498)*($F$2:$F$1196&lt;=F498))/SUMPRODUCT(($B$2:$B$1196=B498)*1)</f>
        <v/>
      </c>
      <c r="H498" s="2">
        <f>Cleaned_Data!J498</f>
        <v/>
      </c>
      <c r="I498" s="2">
        <f>Cleaned_Data!E498</f>
        <v/>
      </c>
      <c r="J498" s="2">
        <f>IF(C498="Yes",1,0)</f>
        <v/>
      </c>
      <c r="K498" s="2">
        <f>MIN(MAX(1-(D498-1)/4,0),1)</f>
        <v/>
      </c>
      <c r="L498" s="2">
        <f>MIN(E498/60,1)</f>
        <v/>
      </c>
      <c r="M498" s="2">
        <f>MIN(MAX(1-G498,0),1)</f>
        <v/>
      </c>
      <c r="N498" s="2">
        <f>MIN(MAX(1-(H498-1)/4,0),1)</f>
        <v/>
      </c>
      <c r="O498" s="2">
        <f>1-MIN(I498/8,1)</f>
        <v/>
      </c>
      <c r="P498" s="10">
        <f>ROUND(100*(J498*Assumptions!$B$6+K498*Assumptions!$B$7+L498*Assumptions!$B$8+M498*Assumptions!$B$9+N498*Assumptions!$B$10+O498*Assumptions!$B$11),1)</f>
        <v/>
      </c>
      <c r="Q498" s="2">
        <f>IF(P498&gt;=Assumptions!$B$14,"High",IF(P498&gt;=Assumptions!$B$15,"Medium","Low"))</f>
        <v/>
      </c>
      <c r="R498" s="2">
        <f>Cleaned_Data!L498</f>
        <v/>
      </c>
    </row>
    <row r="499">
      <c r="A499" s="2">
        <f>Cleaned_Data!A499</f>
        <v/>
      </c>
      <c r="B499" s="2">
        <f>Cleaned_Data!B499</f>
        <v/>
      </c>
      <c r="C499" s="2">
        <f>Cleaned_Data!G499</f>
        <v/>
      </c>
      <c r="D499" s="2">
        <f>Cleaned_Data!I499</f>
        <v/>
      </c>
      <c r="E499" s="2">
        <f>Cleaned_Data!H499</f>
        <v/>
      </c>
      <c r="F499" s="2">
        <f>Cleaned_Data!F499</f>
        <v/>
      </c>
      <c r="G499" s="9">
        <f>SUMPRODUCT(($B$2:$B$1196=B499)*($F$2:$F$1196&lt;=F499))/SUMPRODUCT(($B$2:$B$1196=B499)*1)</f>
        <v/>
      </c>
      <c r="H499" s="2">
        <f>Cleaned_Data!J499</f>
        <v/>
      </c>
      <c r="I499" s="2">
        <f>Cleaned_Data!E499</f>
        <v/>
      </c>
      <c r="J499" s="2">
        <f>IF(C499="Yes",1,0)</f>
        <v/>
      </c>
      <c r="K499" s="2">
        <f>MIN(MAX(1-(D499-1)/4,0),1)</f>
        <v/>
      </c>
      <c r="L499" s="2">
        <f>MIN(E499/60,1)</f>
        <v/>
      </c>
      <c r="M499" s="2">
        <f>MIN(MAX(1-G499,0),1)</f>
        <v/>
      </c>
      <c r="N499" s="2">
        <f>MIN(MAX(1-(H499-1)/4,0),1)</f>
        <v/>
      </c>
      <c r="O499" s="2">
        <f>1-MIN(I499/8,1)</f>
        <v/>
      </c>
      <c r="P499" s="10">
        <f>ROUND(100*(J499*Assumptions!$B$6+K499*Assumptions!$B$7+L499*Assumptions!$B$8+M499*Assumptions!$B$9+N499*Assumptions!$B$10+O499*Assumptions!$B$11),1)</f>
        <v/>
      </c>
      <c r="Q499" s="2">
        <f>IF(P499&gt;=Assumptions!$B$14,"High",IF(P499&gt;=Assumptions!$B$15,"Medium","Low"))</f>
        <v/>
      </c>
      <c r="R499" s="2">
        <f>Cleaned_Data!L499</f>
        <v/>
      </c>
    </row>
    <row r="500">
      <c r="A500" s="2">
        <f>Cleaned_Data!A500</f>
        <v/>
      </c>
      <c r="B500" s="2">
        <f>Cleaned_Data!B500</f>
        <v/>
      </c>
      <c r="C500" s="2">
        <f>Cleaned_Data!G500</f>
        <v/>
      </c>
      <c r="D500" s="2">
        <f>Cleaned_Data!I500</f>
        <v/>
      </c>
      <c r="E500" s="2">
        <f>Cleaned_Data!H500</f>
        <v/>
      </c>
      <c r="F500" s="2">
        <f>Cleaned_Data!F500</f>
        <v/>
      </c>
      <c r="G500" s="9">
        <f>SUMPRODUCT(($B$2:$B$1196=B500)*($F$2:$F$1196&lt;=F500))/SUMPRODUCT(($B$2:$B$1196=B500)*1)</f>
        <v/>
      </c>
      <c r="H500" s="2">
        <f>Cleaned_Data!J500</f>
        <v/>
      </c>
      <c r="I500" s="2">
        <f>Cleaned_Data!E500</f>
        <v/>
      </c>
      <c r="J500" s="2">
        <f>IF(C500="Yes",1,0)</f>
        <v/>
      </c>
      <c r="K500" s="2">
        <f>MIN(MAX(1-(D500-1)/4,0),1)</f>
        <v/>
      </c>
      <c r="L500" s="2">
        <f>MIN(E500/60,1)</f>
        <v/>
      </c>
      <c r="M500" s="2">
        <f>MIN(MAX(1-G500,0),1)</f>
        <v/>
      </c>
      <c r="N500" s="2">
        <f>MIN(MAX(1-(H500-1)/4,0),1)</f>
        <v/>
      </c>
      <c r="O500" s="2">
        <f>1-MIN(I500/8,1)</f>
        <v/>
      </c>
      <c r="P500" s="10">
        <f>ROUND(100*(J500*Assumptions!$B$6+K500*Assumptions!$B$7+L500*Assumptions!$B$8+M500*Assumptions!$B$9+N500*Assumptions!$B$10+O500*Assumptions!$B$11),1)</f>
        <v/>
      </c>
      <c r="Q500" s="2">
        <f>IF(P500&gt;=Assumptions!$B$14,"High",IF(P500&gt;=Assumptions!$B$15,"Medium","Low"))</f>
        <v/>
      </c>
      <c r="R500" s="2">
        <f>Cleaned_Data!L500</f>
        <v/>
      </c>
    </row>
    <row r="501">
      <c r="A501" s="2">
        <f>Cleaned_Data!A501</f>
        <v/>
      </c>
      <c r="B501" s="2">
        <f>Cleaned_Data!B501</f>
        <v/>
      </c>
      <c r="C501" s="2">
        <f>Cleaned_Data!G501</f>
        <v/>
      </c>
      <c r="D501" s="2">
        <f>Cleaned_Data!I501</f>
        <v/>
      </c>
      <c r="E501" s="2">
        <f>Cleaned_Data!H501</f>
        <v/>
      </c>
      <c r="F501" s="2">
        <f>Cleaned_Data!F501</f>
        <v/>
      </c>
      <c r="G501" s="9">
        <f>SUMPRODUCT(($B$2:$B$1196=B501)*($F$2:$F$1196&lt;=F501))/SUMPRODUCT(($B$2:$B$1196=B501)*1)</f>
        <v/>
      </c>
      <c r="H501" s="2">
        <f>Cleaned_Data!J501</f>
        <v/>
      </c>
      <c r="I501" s="2">
        <f>Cleaned_Data!E501</f>
        <v/>
      </c>
      <c r="J501" s="2">
        <f>IF(C501="Yes",1,0)</f>
        <v/>
      </c>
      <c r="K501" s="2">
        <f>MIN(MAX(1-(D501-1)/4,0),1)</f>
        <v/>
      </c>
      <c r="L501" s="2">
        <f>MIN(E501/60,1)</f>
        <v/>
      </c>
      <c r="M501" s="2">
        <f>MIN(MAX(1-G501,0),1)</f>
        <v/>
      </c>
      <c r="N501" s="2">
        <f>MIN(MAX(1-(H501-1)/4,0),1)</f>
        <v/>
      </c>
      <c r="O501" s="2">
        <f>1-MIN(I501/8,1)</f>
        <v/>
      </c>
      <c r="P501" s="10">
        <f>ROUND(100*(J501*Assumptions!$B$6+K501*Assumptions!$B$7+L501*Assumptions!$B$8+M501*Assumptions!$B$9+N501*Assumptions!$B$10+O501*Assumptions!$B$11),1)</f>
        <v/>
      </c>
      <c r="Q501" s="2">
        <f>IF(P501&gt;=Assumptions!$B$14,"High",IF(P501&gt;=Assumptions!$B$15,"Medium","Low"))</f>
        <v/>
      </c>
      <c r="R501" s="2">
        <f>Cleaned_Data!L501</f>
        <v/>
      </c>
    </row>
    <row r="502">
      <c r="A502" s="2">
        <f>Cleaned_Data!A502</f>
        <v/>
      </c>
      <c r="B502" s="2">
        <f>Cleaned_Data!B502</f>
        <v/>
      </c>
      <c r="C502" s="2">
        <f>Cleaned_Data!G502</f>
        <v/>
      </c>
      <c r="D502" s="2">
        <f>Cleaned_Data!I502</f>
        <v/>
      </c>
      <c r="E502" s="2">
        <f>Cleaned_Data!H502</f>
        <v/>
      </c>
      <c r="F502" s="2">
        <f>Cleaned_Data!F502</f>
        <v/>
      </c>
      <c r="G502" s="9">
        <f>SUMPRODUCT(($B$2:$B$1196=B502)*($F$2:$F$1196&lt;=F502))/SUMPRODUCT(($B$2:$B$1196=B502)*1)</f>
        <v/>
      </c>
      <c r="H502" s="2">
        <f>Cleaned_Data!J502</f>
        <v/>
      </c>
      <c r="I502" s="2">
        <f>Cleaned_Data!E502</f>
        <v/>
      </c>
      <c r="J502" s="2">
        <f>IF(C502="Yes",1,0)</f>
        <v/>
      </c>
      <c r="K502" s="2">
        <f>MIN(MAX(1-(D502-1)/4,0),1)</f>
        <v/>
      </c>
      <c r="L502" s="2">
        <f>MIN(E502/60,1)</f>
        <v/>
      </c>
      <c r="M502" s="2">
        <f>MIN(MAX(1-G502,0),1)</f>
        <v/>
      </c>
      <c r="N502" s="2">
        <f>MIN(MAX(1-(H502-1)/4,0),1)</f>
        <v/>
      </c>
      <c r="O502" s="2">
        <f>1-MIN(I502/8,1)</f>
        <v/>
      </c>
      <c r="P502" s="10">
        <f>ROUND(100*(J502*Assumptions!$B$6+K502*Assumptions!$B$7+L502*Assumptions!$B$8+M502*Assumptions!$B$9+N502*Assumptions!$B$10+O502*Assumptions!$B$11),1)</f>
        <v/>
      </c>
      <c r="Q502" s="2">
        <f>IF(P502&gt;=Assumptions!$B$14,"High",IF(P502&gt;=Assumptions!$B$15,"Medium","Low"))</f>
        <v/>
      </c>
      <c r="R502" s="2">
        <f>Cleaned_Data!L502</f>
        <v/>
      </c>
    </row>
    <row r="503">
      <c r="A503" s="2">
        <f>Cleaned_Data!A503</f>
        <v/>
      </c>
      <c r="B503" s="2">
        <f>Cleaned_Data!B503</f>
        <v/>
      </c>
      <c r="C503" s="2">
        <f>Cleaned_Data!G503</f>
        <v/>
      </c>
      <c r="D503" s="2">
        <f>Cleaned_Data!I503</f>
        <v/>
      </c>
      <c r="E503" s="2">
        <f>Cleaned_Data!H503</f>
        <v/>
      </c>
      <c r="F503" s="2">
        <f>Cleaned_Data!F503</f>
        <v/>
      </c>
      <c r="G503" s="9">
        <f>SUMPRODUCT(($B$2:$B$1196=B503)*($F$2:$F$1196&lt;=F503))/SUMPRODUCT(($B$2:$B$1196=B503)*1)</f>
        <v/>
      </c>
      <c r="H503" s="2">
        <f>Cleaned_Data!J503</f>
        <v/>
      </c>
      <c r="I503" s="2">
        <f>Cleaned_Data!E503</f>
        <v/>
      </c>
      <c r="J503" s="2">
        <f>IF(C503="Yes",1,0)</f>
        <v/>
      </c>
      <c r="K503" s="2">
        <f>MIN(MAX(1-(D503-1)/4,0),1)</f>
        <v/>
      </c>
      <c r="L503" s="2">
        <f>MIN(E503/60,1)</f>
        <v/>
      </c>
      <c r="M503" s="2">
        <f>MIN(MAX(1-G503,0),1)</f>
        <v/>
      </c>
      <c r="N503" s="2">
        <f>MIN(MAX(1-(H503-1)/4,0),1)</f>
        <v/>
      </c>
      <c r="O503" s="2">
        <f>1-MIN(I503/8,1)</f>
        <v/>
      </c>
      <c r="P503" s="10">
        <f>ROUND(100*(J503*Assumptions!$B$6+K503*Assumptions!$B$7+L503*Assumptions!$B$8+M503*Assumptions!$B$9+N503*Assumptions!$B$10+O503*Assumptions!$B$11),1)</f>
        <v/>
      </c>
      <c r="Q503" s="2">
        <f>IF(P503&gt;=Assumptions!$B$14,"High",IF(P503&gt;=Assumptions!$B$15,"Medium","Low"))</f>
        <v/>
      </c>
      <c r="R503" s="2">
        <f>Cleaned_Data!L503</f>
        <v/>
      </c>
    </row>
    <row r="504">
      <c r="A504" s="2">
        <f>Cleaned_Data!A504</f>
        <v/>
      </c>
      <c r="B504" s="2">
        <f>Cleaned_Data!B504</f>
        <v/>
      </c>
      <c r="C504" s="2">
        <f>Cleaned_Data!G504</f>
        <v/>
      </c>
      <c r="D504" s="2">
        <f>Cleaned_Data!I504</f>
        <v/>
      </c>
      <c r="E504" s="2">
        <f>Cleaned_Data!H504</f>
        <v/>
      </c>
      <c r="F504" s="2">
        <f>Cleaned_Data!F504</f>
        <v/>
      </c>
      <c r="G504" s="9">
        <f>SUMPRODUCT(($B$2:$B$1196=B504)*($F$2:$F$1196&lt;=F504))/SUMPRODUCT(($B$2:$B$1196=B504)*1)</f>
        <v/>
      </c>
      <c r="H504" s="2">
        <f>Cleaned_Data!J504</f>
        <v/>
      </c>
      <c r="I504" s="2">
        <f>Cleaned_Data!E504</f>
        <v/>
      </c>
      <c r="J504" s="2">
        <f>IF(C504="Yes",1,0)</f>
        <v/>
      </c>
      <c r="K504" s="2">
        <f>MIN(MAX(1-(D504-1)/4,0),1)</f>
        <v/>
      </c>
      <c r="L504" s="2">
        <f>MIN(E504/60,1)</f>
        <v/>
      </c>
      <c r="M504" s="2">
        <f>MIN(MAX(1-G504,0),1)</f>
        <v/>
      </c>
      <c r="N504" s="2">
        <f>MIN(MAX(1-(H504-1)/4,0),1)</f>
        <v/>
      </c>
      <c r="O504" s="2">
        <f>1-MIN(I504/8,1)</f>
        <v/>
      </c>
      <c r="P504" s="10">
        <f>ROUND(100*(J504*Assumptions!$B$6+K504*Assumptions!$B$7+L504*Assumptions!$B$8+M504*Assumptions!$B$9+N504*Assumptions!$B$10+O504*Assumptions!$B$11),1)</f>
        <v/>
      </c>
      <c r="Q504" s="2">
        <f>IF(P504&gt;=Assumptions!$B$14,"High",IF(P504&gt;=Assumptions!$B$15,"Medium","Low"))</f>
        <v/>
      </c>
      <c r="R504" s="2">
        <f>Cleaned_Data!L504</f>
        <v/>
      </c>
    </row>
    <row r="505">
      <c r="A505" s="2">
        <f>Cleaned_Data!A505</f>
        <v/>
      </c>
      <c r="B505" s="2">
        <f>Cleaned_Data!B505</f>
        <v/>
      </c>
      <c r="C505" s="2">
        <f>Cleaned_Data!G505</f>
        <v/>
      </c>
      <c r="D505" s="2">
        <f>Cleaned_Data!I505</f>
        <v/>
      </c>
      <c r="E505" s="2">
        <f>Cleaned_Data!H505</f>
        <v/>
      </c>
      <c r="F505" s="2">
        <f>Cleaned_Data!F505</f>
        <v/>
      </c>
      <c r="G505" s="9">
        <f>SUMPRODUCT(($B$2:$B$1196=B505)*($F$2:$F$1196&lt;=F505))/SUMPRODUCT(($B$2:$B$1196=B505)*1)</f>
        <v/>
      </c>
      <c r="H505" s="2">
        <f>Cleaned_Data!J505</f>
        <v/>
      </c>
      <c r="I505" s="2">
        <f>Cleaned_Data!E505</f>
        <v/>
      </c>
      <c r="J505" s="2">
        <f>IF(C505="Yes",1,0)</f>
        <v/>
      </c>
      <c r="K505" s="2">
        <f>MIN(MAX(1-(D505-1)/4,0),1)</f>
        <v/>
      </c>
      <c r="L505" s="2">
        <f>MIN(E505/60,1)</f>
        <v/>
      </c>
      <c r="M505" s="2">
        <f>MIN(MAX(1-G505,0),1)</f>
        <v/>
      </c>
      <c r="N505" s="2">
        <f>MIN(MAX(1-(H505-1)/4,0),1)</f>
        <v/>
      </c>
      <c r="O505" s="2">
        <f>1-MIN(I505/8,1)</f>
        <v/>
      </c>
      <c r="P505" s="10">
        <f>ROUND(100*(J505*Assumptions!$B$6+K505*Assumptions!$B$7+L505*Assumptions!$B$8+M505*Assumptions!$B$9+N505*Assumptions!$B$10+O505*Assumptions!$B$11),1)</f>
        <v/>
      </c>
      <c r="Q505" s="2">
        <f>IF(P505&gt;=Assumptions!$B$14,"High",IF(P505&gt;=Assumptions!$B$15,"Medium","Low"))</f>
        <v/>
      </c>
      <c r="R505" s="2">
        <f>Cleaned_Data!L505</f>
        <v/>
      </c>
    </row>
    <row r="506">
      <c r="A506" s="2">
        <f>Cleaned_Data!A506</f>
        <v/>
      </c>
      <c r="B506" s="2">
        <f>Cleaned_Data!B506</f>
        <v/>
      </c>
      <c r="C506" s="2">
        <f>Cleaned_Data!G506</f>
        <v/>
      </c>
      <c r="D506" s="2">
        <f>Cleaned_Data!I506</f>
        <v/>
      </c>
      <c r="E506" s="2">
        <f>Cleaned_Data!H506</f>
        <v/>
      </c>
      <c r="F506" s="2">
        <f>Cleaned_Data!F506</f>
        <v/>
      </c>
      <c r="G506" s="9">
        <f>SUMPRODUCT(($B$2:$B$1196=B506)*($F$2:$F$1196&lt;=F506))/SUMPRODUCT(($B$2:$B$1196=B506)*1)</f>
        <v/>
      </c>
      <c r="H506" s="2">
        <f>Cleaned_Data!J506</f>
        <v/>
      </c>
      <c r="I506" s="2">
        <f>Cleaned_Data!E506</f>
        <v/>
      </c>
      <c r="J506" s="2">
        <f>IF(C506="Yes",1,0)</f>
        <v/>
      </c>
      <c r="K506" s="2">
        <f>MIN(MAX(1-(D506-1)/4,0),1)</f>
        <v/>
      </c>
      <c r="L506" s="2">
        <f>MIN(E506/60,1)</f>
        <v/>
      </c>
      <c r="M506" s="2">
        <f>MIN(MAX(1-G506,0),1)</f>
        <v/>
      </c>
      <c r="N506" s="2">
        <f>MIN(MAX(1-(H506-1)/4,0),1)</f>
        <v/>
      </c>
      <c r="O506" s="2">
        <f>1-MIN(I506/8,1)</f>
        <v/>
      </c>
      <c r="P506" s="10">
        <f>ROUND(100*(J506*Assumptions!$B$6+K506*Assumptions!$B$7+L506*Assumptions!$B$8+M506*Assumptions!$B$9+N506*Assumptions!$B$10+O506*Assumptions!$B$11),1)</f>
        <v/>
      </c>
      <c r="Q506" s="2">
        <f>IF(P506&gt;=Assumptions!$B$14,"High",IF(P506&gt;=Assumptions!$B$15,"Medium","Low"))</f>
        <v/>
      </c>
      <c r="R506" s="2">
        <f>Cleaned_Data!L506</f>
        <v/>
      </c>
    </row>
    <row r="507">
      <c r="A507" s="2">
        <f>Cleaned_Data!A507</f>
        <v/>
      </c>
      <c r="B507" s="2">
        <f>Cleaned_Data!B507</f>
        <v/>
      </c>
      <c r="C507" s="2">
        <f>Cleaned_Data!G507</f>
        <v/>
      </c>
      <c r="D507" s="2">
        <f>Cleaned_Data!I507</f>
        <v/>
      </c>
      <c r="E507" s="2">
        <f>Cleaned_Data!H507</f>
        <v/>
      </c>
      <c r="F507" s="2">
        <f>Cleaned_Data!F507</f>
        <v/>
      </c>
      <c r="G507" s="9">
        <f>SUMPRODUCT(($B$2:$B$1196=B507)*($F$2:$F$1196&lt;=F507))/SUMPRODUCT(($B$2:$B$1196=B507)*1)</f>
        <v/>
      </c>
      <c r="H507" s="2">
        <f>Cleaned_Data!J507</f>
        <v/>
      </c>
      <c r="I507" s="2">
        <f>Cleaned_Data!E507</f>
        <v/>
      </c>
      <c r="J507" s="2">
        <f>IF(C507="Yes",1,0)</f>
        <v/>
      </c>
      <c r="K507" s="2">
        <f>MIN(MAX(1-(D507-1)/4,0),1)</f>
        <v/>
      </c>
      <c r="L507" s="2">
        <f>MIN(E507/60,1)</f>
        <v/>
      </c>
      <c r="M507" s="2">
        <f>MIN(MAX(1-G507,0),1)</f>
        <v/>
      </c>
      <c r="N507" s="2">
        <f>MIN(MAX(1-(H507-1)/4,0),1)</f>
        <v/>
      </c>
      <c r="O507" s="2">
        <f>1-MIN(I507/8,1)</f>
        <v/>
      </c>
      <c r="P507" s="10">
        <f>ROUND(100*(J507*Assumptions!$B$6+K507*Assumptions!$B$7+L507*Assumptions!$B$8+M507*Assumptions!$B$9+N507*Assumptions!$B$10+O507*Assumptions!$B$11),1)</f>
        <v/>
      </c>
      <c r="Q507" s="2">
        <f>IF(P507&gt;=Assumptions!$B$14,"High",IF(P507&gt;=Assumptions!$B$15,"Medium","Low"))</f>
        <v/>
      </c>
      <c r="R507" s="2">
        <f>Cleaned_Data!L507</f>
        <v/>
      </c>
    </row>
    <row r="508">
      <c r="A508" s="2">
        <f>Cleaned_Data!A508</f>
        <v/>
      </c>
      <c r="B508" s="2">
        <f>Cleaned_Data!B508</f>
        <v/>
      </c>
      <c r="C508" s="2">
        <f>Cleaned_Data!G508</f>
        <v/>
      </c>
      <c r="D508" s="2">
        <f>Cleaned_Data!I508</f>
        <v/>
      </c>
      <c r="E508" s="2">
        <f>Cleaned_Data!H508</f>
        <v/>
      </c>
      <c r="F508" s="2">
        <f>Cleaned_Data!F508</f>
        <v/>
      </c>
      <c r="G508" s="9">
        <f>SUMPRODUCT(($B$2:$B$1196=B508)*($F$2:$F$1196&lt;=F508))/SUMPRODUCT(($B$2:$B$1196=B508)*1)</f>
        <v/>
      </c>
      <c r="H508" s="2">
        <f>Cleaned_Data!J508</f>
        <v/>
      </c>
      <c r="I508" s="2">
        <f>Cleaned_Data!E508</f>
        <v/>
      </c>
      <c r="J508" s="2">
        <f>IF(C508="Yes",1,0)</f>
        <v/>
      </c>
      <c r="K508" s="2">
        <f>MIN(MAX(1-(D508-1)/4,0),1)</f>
        <v/>
      </c>
      <c r="L508" s="2">
        <f>MIN(E508/60,1)</f>
        <v/>
      </c>
      <c r="M508" s="2">
        <f>MIN(MAX(1-G508,0),1)</f>
        <v/>
      </c>
      <c r="N508" s="2">
        <f>MIN(MAX(1-(H508-1)/4,0),1)</f>
        <v/>
      </c>
      <c r="O508" s="2">
        <f>1-MIN(I508/8,1)</f>
        <v/>
      </c>
      <c r="P508" s="10">
        <f>ROUND(100*(J508*Assumptions!$B$6+K508*Assumptions!$B$7+L508*Assumptions!$B$8+M508*Assumptions!$B$9+N508*Assumptions!$B$10+O508*Assumptions!$B$11),1)</f>
        <v/>
      </c>
      <c r="Q508" s="2">
        <f>IF(P508&gt;=Assumptions!$B$14,"High",IF(P508&gt;=Assumptions!$B$15,"Medium","Low"))</f>
        <v/>
      </c>
      <c r="R508" s="2">
        <f>Cleaned_Data!L508</f>
        <v/>
      </c>
    </row>
    <row r="509">
      <c r="A509" s="2">
        <f>Cleaned_Data!A509</f>
        <v/>
      </c>
      <c r="B509" s="2">
        <f>Cleaned_Data!B509</f>
        <v/>
      </c>
      <c r="C509" s="2">
        <f>Cleaned_Data!G509</f>
        <v/>
      </c>
      <c r="D509" s="2">
        <f>Cleaned_Data!I509</f>
        <v/>
      </c>
      <c r="E509" s="2">
        <f>Cleaned_Data!H509</f>
        <v/>
      </c>
      <c r="F509" s="2">
        <f>Cleaned_Data!F509</f>
        <v/>
      </c>
      <c r="G509" s="9">
        <f>SUMPRODUCT(($B$2:$B$1196=B509)*($F$2:$F$1196&lt;=F509))/SUMPRODUCT(($B$2:$B$1196=B509)*1)</f>
        <v/>
      </c>
      <c r="H509" s="2">
        <f>Cleaned_Data!J509</f>
        <v/>
      </c>
      <c r="I509" s="2">
        <f>Cleaned_Data!E509</f>
        <v/>
      </c>
      <c r="J509" s="2">
        <f>IF(C509="Yes",1,0)</f>
        <v/>
      </c>
      <c r="K509" s="2">
        <f>MIN(MAX(1-(D509-1)/4,0),1)</f>
        <v/>
      </c>
      <c r="L509" s="2">
        <f>MIN(E509/60,1)</f>
        <v/>
      </c>
      <c r="M509" s="2">
        <f>MIN(MAX(1-G509,0),1)</f>
        <v/>
      </c>
      <c r="N509" s="2">
        <f>MIN(MAX(1-(H509-1)/4,0),1)</f>
        <v/>
      </c>
      <c r="O509" s="2">
        <f>1-MIN(I509/8,1)</f>
        <v/>
      </c>
      <c r="P509" s="10">
        <f>ROUND(100*(J509*Assumptions!$B$6+K509*Assumptions!$B$7+L509*Assumptions!$B$8+M509*Assumptions!$B$9+N509*Assumptions!$B$10+O509*Assumptions!$B$11),1)</f>
        <v/>
      </c>
      <c r="Q509" s="2">
        <f>IF(P509&gt;=Assumptions!$B$14,"High",IF(P509&gt;=Assumptions!$B$15,"Medium","Low"))</f>
        <v/>
      </c>
      <c r="R509" s="2">
        <f>Cleaned_Data!L509</f>
        <v/>
      </c>
    </row>
    <row r="510">
      <c r="A510" s="2">
        <f>Cleaned_Data!A510</f>
        <v/>
      </c>
      <c r="B510" s="2">
        <f>Cleaned_Data!B510</f>
        <v/>
      </c>
      <c r="C510" s="2">
        <f>Cleaned_Data!G510</f>
        <v/>
      </c>
      <c r="D510" s="2">
        <f>Cleaned_Data!I510</f>
        <v/>
      </c>
      <c r="E510" s="2">
        <f>Cleaned_Data!H510</f>
        <v/>
      </c>
      <c r="F510" s="2">
        <f>Cleaned_Data!F510</f>
        <v/>
      </c>
      <c r="G510" s="9">
        <f>SUMPRODUCT(($B$2:$B$1196=B510)*($F$2:$F$1196&lt;=F510))/SUMPRODUCT(($B$2:$B$1196=B510)*1)</f>
        <v/>
      </c>
      <c r="H510" s="2">
        <f>Cleaned_Data!J510</f>
        <v/>
      </c>
      <c r="I510" s="2">
        <f>Cleaned_Data!E510</f>
        <v/>
      </c>
      <c r="J510" s="2">
        <f>IF(C510="Yes",1,0)</f>
        <v/>
      </c>
      <c r="K510" s="2">
        <f>MIN(MAX(1-(D510-1)/4,0),1)</f>
        <v/>
      </c>
      <c r="L510" s="2">
        <f>MIN(E510/60,1)</f>
        <v/>
      </c>
      <c r="M510" s="2">
        <f>MIN(MAX(1-G510,0),1)</f>
        <v/>
      </c>
      <c r="N510" s="2">
        <f>MIN(MAX(1-(H510-1)/4,0),1)</f>
        <v/>
      </c>
      <c r="O510" s="2">
        <f>1-MIN(I510/8,1)</f>
        <v/>
      </c>
      <c r="P510" s="10">
        <f>ROUND(100*(J510*Assumptions!$B$6+K510*Assumptions!$B$7+L510*Assumptions!$B$8+M510*Assumptions!$B$9+N510*Assumptions!$B$10+O510*Assumptions!$B$11),1)</f>
        <v/>
      </c>
      <c r="Q510" s="2">
        <f>IF(P510&gt;=Assumptions!$B$14,"High",IF(P510&gt;=Assumptions!$B$15,"Medium","Low"))</f>
        <v/>
      </c>
      <c r="R510" s="2">
        <f>Cleaned_Data!L510</f>
        <v/>
      </c>
    </row>
    <row r="511">
      <c r="A511" s="2">
        <f>Cleaned_Data!A511</f>
        <v/>
      </c>
      <c r="B511" s="2">
        <f>Cleaned_Data!B511</f>
        <v/>
      </c>
      <c r="C511" s="2">
        <f>Cleaned_Data!G511</f>
        <v/>
      </c>
      <c r="D511" s="2">
        <f>Cleaned_Data!I511</f>
        <v/>
      </c>
      <c r="E511" s="2">
        <f>Cleaned_Data!H511</f>
        <v/>
      </c>
      <c r="F511" s="2">
        <f>Cleaned_Data!F511</f>
        <v/>
      </c>
      <c r="G511" s="9">
        <f>SUMPRODUCT(($B$2:$B$1196=B511)*($F$2:$F$1196&lt;=F511))/SUMPRODUCT(($B$2:$B$1196=B511)*1)</f>
        <v/>
      </c>
      <c r="H511" s="2">
        <f>Cleaned_Data!J511</f>
        <v/>
      </c>
      <c r="I511" s="2">
        <f>Cleaned_Data!E511</f>
        <v/>
      </c>
      <c r="J511" s="2">
        <f>IF(C511="Yes",1,0)</f>
        <v/>
      </c>
      <c r="K511" s="2">
        <f>MIN(MAX(1-(D511-1)/4,0),1)</f>
        <v/>
      </c>
      <c r="L511" s="2">
        <f>MIN(E511/60,1)</f>
        <v/>
      </c>
      <c r="M511" s="2">
        <f>MIN(MAX(1-G511,0),1)</f>
        <v/>
      </c>
      <c r="N511" s="2">
        <f>MIN(MAX(1-(H511-1)/4,0),1)</f>
        <v/>
      </c>
      <c r="O511" s="2">
        <f>1-MIN(I511/8,1)</f>
        <v/>
      </c>
      <c r="P511" s="10">
        <f>ROUND(100*(J511*Assumptions!$B$6+K511*Assumptions!$B$7+L511*Assumptions!$B$8+M511*Assumptions!$B$9+N511*Assumptions!$B$10+O511*Assumptions!$B$11),1)</f>
        <v/>
      </c>
      <c r="Q511" s="2">
        <f>IF(P511&gt;=Assumptions!$B$14,"High",IF(P511&gt;=Assumptions!$B$15,"Medium","Low"))</f>
        <v/>
      </c>
      <c r="R511" s="2">
        <f>Cleaned_Data!L511</f>
        <v/>
      </c>
    </row>
    <row r="512">
      <c r="A512" s="2">
        <f>Cleaned_Data!A512</f>
        <v/>
      </c>
      <c r="B512" s="2">
        <f>Cleaned_Data!B512</f>
        <v/>
      </c>
      <c r="C512" s="2">
        <f>Cleaned_Data!G512</f>
        <v/>
      </c>
      <c r="D512" s="2">
        <f>Cleaned_Data!I512</f>
        <v/>
      </c>
      <c r="E512" s="2">
        <f>Cleaned_Data!H512</f>
        <v/>
      </c>
      <c r="F512" s="2">
        <f>Cleaned_Data!F512</f>
        <v/>
      </c>
      <c r="G512" s="9">
        <f>SUMPRODUCT(($B$2:$B$1196=B512)*($F$2:$F$1196&lt;=F512))/SUMPRODUCT(($B$2:$B$1196=B512)*1)</f>
        <v/>
      </c>
      <c r="H512" s="2">
        <f>Cleaned_Data!J512</f>
        <v/>
      </c>
      <c r="I512" s="2">
        <f>Cleaned_Data!E512</f>
        <v/>
      </c>
      <c r="J512" s="2">
        <f>IF(C512="Yes",1,0)</f>
        <v/>
      </c>
      <c r="K512" s="2">
        <f>MIN(MAX(1-(D512-1)/4,0),1)</f>
        <v/>
      </c>
      <c r="L512" s="2">
        <f>MIN(E512/60,1)</f>
        <v/>
      </c>
      <c r="M512" s="2">
        <f>MIN(MAX(1-G512,0),1)</f>
        <v/>
      </c>
      <c r="N512" s="2">
        <f>MIN(MAX(1-(H512-1)/4,0),1)</f>
        <v/>
      </c>
      <c r="O512" s="2">
        <f>1-MIN(I512/8,1)</f>
        <v/>
      </c>
      <c r="P512" s="10">
        <f>ROUND(100*(J512*Assumptions!$B$6+K512*Assumptions!$B$7+L512*Assumptions!$B$8+M512*Assumptions!$B$9+N512*Assumptions!$B$10+O512*Assumptions!$B$11),1)</f>
        <v/>
      </c>
      <c r="Q512" s="2">
        <f>IF(P512&gt;=Assumptions!$B$14,"High",IF(P512&gt;=Assumptions!$B$15,"Medium","Low"))</f>
        <v/>
      </c>
      <c r="R512" s="2">
        <f>Cleaned_Data!L512</f>
        <v/>
      </c>
    </row>
    <row r="513">
      <c r="A513" s="2">
        <f>Cleaned_Data!A513</f>
        <v/>
      </c>
      <c r="B513" s="2">
        <f>Cleaned_Data!B513</f>
        <v/>
      </c>
      <c r="C513" s="2">
        <f>Cleaned_Data!G513</f>
        <v/>
      </c>
      <c r="D513" s="2">
        <f>Cleaned_Data!I513</f>
        <v/>
      </c>
      <c r="E513" s="2">
        <f>Cleaned_Data!H513</f>
        <v/>
      </c>
      <c r="F513" s="2">
        <f>Cleaned_Data!F513</f>
        <v/>
      </c>
      <c r="G513" s="9">
        <f>SUMPRODUCT(($B$2:$B$1196=B513)*($F$2:$F$1196&lt;=F513))/SUMPRODUCT(($B$2:$B$1196=B513)*1)</f>
        <v/>
      </c>
      <c r="H513" s="2">
        <f>Cleaned_Data!J513</f>
        <v/>
      </c>
      <c r="I513" s="2">
        <f>Cleaned_Data!E513</f>
        <v/>
      </c>
      <c r="J513" s="2">
        <f>IF(C513="Yes",1,0)</f>
        <v/>
      </c>
      <c r="K513" s="2">
        <f>MIN(MAX(1-(D513-1)/4,0),1)</f>
        <v/>
      </c>
      <c r="L513" s="2">
        <f>MIN(E513/60,1)</f>
        <v/>
      </c>
      <c r="M513" s="2">
        <f>MIN(MAX(1-G513,0),1)</f>
        <v/>
      </c>
      <c r="N513" s="2">
        <f>MIN(MAX(1-(H513-1)/4,0),1)</f>
        <v/>
      </c>
      <c r="O513" s="2">
        <f>1-MIN(I513/8,1)</f>
        <v/>
      </c>
      <c r="P513" s="10">
        <f>ROUND(100*(J513*Assumptions!$B$6+K513*Assumptions!$B$7+L513*Assumptions!$B$8+M513*Assumptions!$B$9+N513*Assumptions!$B$10+O513*Assumptions!$B$11),1)</f>
        <v/>
      </c>
      <c r="Q513" s="2">
        <f>IF(P513&gt;=Assumptions!$B$14,"High",IF(P513&gt;=Assumptions!$B$15,"Medium","Low"))</f>
        <v/>
      </c>
      <c r="R513" s="2">
        <f>Cleaned_Data!L513</f>
        <v/>
      </c>
    </row>
    <row r="514">
      <c r="A514" s="2">
        <f>Cleaned_Data!A514</f>
        <v/>
      </c>
      <c r="B514" s="2">
        <f>Cleaned_Data!B514</f>
        <v/>
      </c>
      <c r="C514" s="2">
        <f>Cleaned_Data!G514</f>
        <v/>
      </c>
      <c r="D514" s="2">
        <f>Cleaned_Data!I514</f>
        <v/>
      </c>
      <c r="E514" s="2">
        <f>Cleaned_Data!H514</f>
        <v/>
      </c>
      <c r="F514" s="2">
        <f>Cleaned_Data!F514</f>
        <v/>
      </c>
      <c r="G514" s="9">
        <f>SUMPRODUCT(($B$2:$B$1196=B514)*($F$2:$F$1196&lt;=F514))/SUMPRODUCT(($B$2:$B$1196=B514)*1)</f>
        <v/>
      </c>
      <c r="H514" s="2">
        <f>Cleaned_Data!J514</f>
        <v/>
      </c>
      <c r="I514" s="2">
        <f>Cleaned_Data!E514</f>
        <v/>
      </c>
      <c r="J514" s="2">
        <f>IF(C514="Yes",1,0)</f>
        <v/>
      </c>
      <c r="K514" s="2">
        <f>MIN(MAX(1-(D514-1)/4,0),1)</f>
        <v/>
      </c>
      <c r="L514" s="2">
        <f>MIN(E514/60,1)</f>
        <v/>
      </c>
      <c r="M514" s="2">
        <f>MIN(MAX(1-G514,0),1)</f>
        <v/>
      </c>
      <c r="N514" s="2">
        <f>MIN(MAX(1-(H514-1)/4,0),1)</f>
        <v/>
      </c>
      <c r="O514" s="2">
        <f>1-MIN(I514/8,1)</f>
        <v/>
      </c>
      <c r="P514" s="10">
        <f>ROUND(100*(J514*Assumptions!$B$6+K514*Assumptions!$B$7+L514*Assumptions!$B$8+M514*Assumptions!$B$9+N514*Assumptions!$B$10+O514*Assumptions!$B$11),1)</f>
        <v/>
      </c>
      <c r="Q514" s="2">
        <f>IF(P514&gt;=Assumptions!$B$14,"High",IF(P514&gt;=Assumptions!$B$15,"Medium","Low"))</f>
        <v/>
      </c>
      <c r="R514" s="2">
        <f>Cleaned_Data!L514</f>
        <v/>
      </c>
    </row>
    <row r="515">
      <c r="A515" s="2">
        <f>Cleaned_Data!A515</f>
        <v/>
      </c>
      <c r="B515" s="2">
        <f>Cleaned_Data!B515</f>
        <v/>
      </c>
      <c r="C515" s="2">
        <f>Cleaned_Data!G515</f>
        <v/>
      </c>
      <c r="D515" s="2">
        <f>Cleaned_Data!I515</f>
        <v/>
      </c>
      <c r="E515" s="2">
        <f>Cleaned_Data!H515</f>
        <v/>
      </c>
      <c r="F515" s="2">
        <f>Cleaned_Data!F515</f>
        <v/>
      </c>
      <c r="G515" s="9">
        <f>SUMPRODUCT(($B$2:$B$1196=B515)*($F$2:$F$1196&lt;=F515))/SUMPRODUCT(($B$2:$B$1196=B515)*1)</f>
        <v/>
      </c>
      <c r="H515" s="2">
        <f>Cleaned_Data!J515</f>
        <v/>
      </c>
      <c r="I515" s="2">
        <f>Cleaned_Data!E515</f>
        <v/>
      </c>
      <c r="J515" s="2">
        <f>IF(C515="Yes",1,0)</f>
        <v/>
      </c>
      <c r="K515" s="2">
        <f>MIN(MAX(1-(D515-1)/4,0),1)</f>
        <v/>
      </c>
      <c r="L515" s="2">
        <f>MIN(E515/60,1)</f>
        <v/>
      </c>
      <c r="M515" s="2">
        <f>MIN(MAX(1-G515,0),1)</f>
        <v/>
      </c>
      <c r="N515" s="2">
        <f>MIN(MAX(1-(H515-1)/4,0),1)</f>
        <v/>
      </c>
      <c r="O515" s="2">
        <f>1-MIN(I515/8,1)</f>
        <v/>
      </c>
      <c r="P515" s="10">
        <f>ROUND(100*(J515*Assumptions!$B$6+K515*Assumptions!$B$7+L515*Assumptions!$B$8+M515*Assumptions!$B$9+N515*Assumptions!$B$10+O515*Assumptions!$B$11),1)</f>
        <v/>
      </c>
      <c r="Q515" s="2">
        <f>IF(P515&gt;=Assumptions!$B$14,"High",IF(P515&gt;=Assumptions!$B$15,"Medium","Low"))</f>
        <v/>
      </c>
      <c r="R515" s="2">
        <f>Cleaned_Data!L515</f>
        <v/>
      </c>
    </row>
    <row r="516">
      <c r="A516" s="2">
        <f>Cleaned_Data!A516</f>
        <v/>
      </c>
      <c r="B516" s="2">
        <f>Cleaned_Data!B516</f>
        <v/>
      </c>
      <c r="C516" s="2">
        <f>Cleaned_Data!G516</f>
        <v/>
      </c>
      <c r="D516" s="2">
        <f>Cleaned_Data!I516</f>
        <v/>
      </c>
      <c r="E516" s="2">
        <f>Cleaned_Data!H516</f>
        <v/>
      </c>
      <c r="F516" s="2">
        <f>Cleaned_Data!F516</f>
        <v/>
      </c>
      <c r="G516" s="9">
        <f>SUMPRODUCT(($B$2:$B$1196=B516)*($F$2:$F$1196&lt;=F516))/SUMPRODUCT(($B$2:$B$1196=B516)*1)</f>
        <v/>
      </c>
      <c r="H516" s="2">
        <f>Cleaned_Data!J516</f>
        <v/>
      </c>
      <c r="I516" s="2">
        <f>Cleaned_Data!E516</f>
        <v/>
      </c>
      <c r="J516" s="2">
        <f>IF(C516="Yes",1,0)</f>
        <v/>
      </c>
      <c r="K516" s="2">
        <f>MIN(MAX(1-(D516-1)/4,0),1)</f>
        <v/>
      </c>
      <c r="L516" s="2">
        <f>MIN(E516/60,1)</f>
        <v/>
      </c>
      <c r="M516" s="2">
        <f>MIN(MAX(1-G516,0),1)</f>
        <v/>
      </c>
      <c r="N516" s="2">
        <f>MIN(MAX(1-(H516-1)/4,0),1)</f>
        <v/>
      </c>
      <c r="O516" s="2">
        <f>1-MIN(I516/8,1)</f>
        <v/>
      </c>
      <c r="P516" s="10">
        <f>ROUND(100*(J516*Assumptions!$B$6+K516*Assumptions!$B$7+L516*Assumptions!$B$8+M516*Assumptions!$B$9+N516*Assumptions!$B$10+O516*Assumptions!$B$11),1)</f>
        <v/>
      </c>
      <c r="Q516" s="2">
        <f>IF(P516&gt;=Assumptions!$B$14,"High",IF(P516&gt;=Assumptions!$B$15,"Medium","Low"))</f>
        <v/>
      </c>
      <c r="R516" s="2">
        <f>Cleaned_Data!L516</f>
        <v/>
      </c>
    </row>
    <row r="517">
      <c r="A517" s="2">
        <f>Cleaned_Data!A517</f>
        <v/>
      </c>
      <c r="B517" s="2">
        <f>Cleaned_Data!B517</f>
        <v/>
      </c>
      <c r="C517" s="2">
        <f>Cleaned_Data!G517</f>
        <v/>
      </c>
      <c r="D517" s="2">
        <f>Cleaned_Data!I517</f>
        <v/>
      </c>
      <c r="E517" s="2">
        <f>Cleaned_Data!H517</f>
        <v/>
      </c>
      <c r="F517" s="2">
        <f>Cleaned_Data!F517</f>
        <v/>
      </c>
      <c r="G517" s="9">
        <f>SUMPRODUCT(($B$2:$B$1196=B517)*($F$2:$F$1196&lt;=F517))/SUMPRODUCT(($B$2:$B$1196=B517)*1)</f>
        <v/>
      </c>
      <c r="H517" s="2">
        <f>Cleaned_Data!J517</f>
        <v/>
      </c>
      <c r="I517" s="2">
        <f>Cleaned_Data!E517</f>
        <v/>
      </c>
      <c r="J517" s="2">
        <f>IF(C517="Yes",1,0)</f>
        <v/>
      </c>
      <c r="K517" s="2">
        <f>MIN(MAX(1-(D517-1)/4,0),1)</f>
        <v/>
      </c>
      <c r="L517" s="2">
        <f>MIN(E517/60,1)</f>
        <v/>
      </c>
      <c r="M517" s="2">
        <f>MIN(MAX(1-G517,0),1)</f>
        <v/>
      </c>
      <c r="N517" s="2">
        <f>MIN(MAX(1-(H517-1)/4,0),1)</f>
        <v/>
      </c>
      <c r="O517" s="2">
        <f>1-MIN(I517/8,1)</f>
        <v/>
      </c>
      <c r="P517" s="10">
        <f>ROUND(100*(J517*Assumptions!$B$6+K517*Assumptions!$B$7+L517*Assumptions!$B$8+M517*Assumptions!$B$9+N517*Assumptions!$B$10+O517*Assumptions!$B$11),1)</f>
        <v/>
      </c>
      <c r="Q517" s="2">
        <f>IF(P517&gt;=Assumptions!$B$14,"High",IF(P517&gt;=Assumptions!$B$15,"Medium","Low"))</f>
        <v/>
      </c>
      <c r="R517" s="2">
        <f>Cleaned_Data!L517</f>
        <v/>
      </c>
    </row>
    <row r="518">
      <c r="A518" s="2">
        <f>Cleaned_Data!A518</f>
        <v/>
      </c>
      <c r="B518" s="2">
        <f>Cleaned_Data!B518</f>
        <v/>
      </c>
      <c r="C518" s="2">
        <f>Cleaned_Data!G518</f>
        <v/>
      </c>
      <c r="D518" s="2">
        <f>Cleaned_Data!I518</f>
        <v/>
      </c>
      <c r="E518" s="2">
        <f>Cleaned_Data!H518</f>
        <v/>
      </c>
      <c r="F518" s="2">
        <f>Cleaned_Data!F518</f>
        <v/>
      </c>
      <c r="G518" s="9">
        <f>SUMPRODUCT(($B$2:$B$1196=B518)*($F$2:$F$1196&lt;=F518))/SUMPRODUCT(($B$2:$B$1196=B518)*1)</f>
        <v/>
      </c>
      <c r="H518" s="2">
        <f>Cleaned_Data!J518</f>
        <v/>
      </c>
      <c r="I518" s="2">
        <f>Cleaned_Data!E518</f>
        <v/>
      </c>
      <c r="J518" s="2">
        <f>IF(C518="Yes",1,0)</f>
        <v/>
      </c>
      <c r="K518" s="2">
        <f>MIN(MAX(1-(D518-1)/4,0),1)</f>
        <v/>
      </c>
      <c r="L518" s="2">
        <f>MIN(E518/60,1)</f>
        <v/>
      </c>
      <c r="M518" s="2">
        <f>MIN(MAX(1-G518,0),1)</f>
        <v/>
      </c>
      <c r="N518" s="2">
        <f>MIN(MAX(1-(H518-1)/4,0),1)</f>
        <v/>
      </c>
      <c r="O518" s="2">
        <f>1-MIN(I518/8,1)</f>
        <v/>
      </c>
      <c r="P518" s="10">
        <f>ROUND(100*(J518*Assumptions!$B$6+K518*Assumptions!$B$7+L518*Assumptions!$B$8+M518*Assumptions!$B$9+N518*Assumptions!$B$10+O518*Assumptions!$B$11),1)</f>
        <v/>
      </c>
      <c r="Q518" s="2">
        <f>IF(P518&gt;=Assumptions!$B$14,"High",IF(P518&gt;=Assumptions!$B$15,"Medium","Low"))</f>
        <v/>
      </c>
      <c r="R518" s="2">
        <f>Cleaned_Data!L518</f>
        <v/>
      </c>
    </row>
    <row r="519">
      <c r="A519" s="2">
        <f>Cleaned_Data!A519</f>
        <v/>
      </c>
      <c r="B519" s="2">
        <f>Cleaned_Data!B519</f>
        <v/>
      </c>
      <c r="C519" s="2">
        <f>Cleaned_Data!G519</f>
        <v/>
      </c>
      <c r="D519" s="2">
        <f>Cleaned_Data!I519</f>
        <v/>
      </c>
      <c r="E519" s="2">
        <f>Cleaned_Data!H519</f>
        <v/>
      </c>
      <c r="F519" s="2">
        <f>Cleaned_Data!F519</f>
        <v/>
      </c>
      <c r="G519" s="9">
        <f>SUMPRODUCT(($B$2:$B$1196=B519)*($F$2:$F$1196&lt;=F519))/SUMPRODUCT(($B$2:$B$1196=B519)*1)</f>
        <v/>
      </c>
      <c r="H519" s="2">
        <f>Cleaned_Data!J519</f>
        <v/>
      </c>
      <c r="I519" s="2">
        <f>Cleaned_Data!E519</f>
        <v/>
      </c>
      <c r="J519" s="2">
        <f>IF(C519="Yes",1,0)</f>
        <v/>
      </c>
      <c r="K519" s="2">
        <f>MIN(MAX(1-(D519-1)/4,0),1)</f>
        <v/>
      </c>
      <c r="L519" s="2">
        <f>MIN(E519/60,1)</f>
        <v/>
      </c>
      <c r="M519" s="2">
        <f>MIN(MAX(1-G519,0),1)</f>
        <v/>
      </c>
      <c r="N519" s="2">
        <f>MIN(MAX(1-(H519-1)/4,0),1)</f>
        <v/>
      </c>
      <c r="O519" s="2">
        <f>1-MIN(I519/8,1)</f>
        <v/>
      </c>
      <c r="P519" s="10">
        <f>ROUND(100*(J519*Assumptions!$B$6+K519*Assumptions!$B$7+L519*Assumptions!$B$8+M519*Assumptions!$B$9+N519*Assumptions!$B$10+O519*Assumptions!$B$11),1)</f>
        <v/>
      </c>
      <c r="Q519" s="2">
        <f>IF(P519&gt;=Assumptions!$B$14,"High",IF(P519&gt;=Assumptions!$B$15,"Medium","Low"))</f>
        <v/>
      </c>
      <c r="R519" s="2">
        <f>Cleaned_Data!L519</f>
        <v/>
      </c>
    </row>
    <row r="520">
      <c r="A520" s="2">
        <f>Cleaned_Data!A520</f>
        <v/>
      </c>
      <c r="B520" s="2">
        <f>Cleaned_Data!B520</f>
        <v/>
      </c>
      <c r="C520" s="2">
        <f>Cleaned_Data!G520</f>
        <v/>
      </c>
      <c r="D520" s="2">
        <f>Cleaned_Data!I520</f>
        <v/>
      </c>
      <c r="E520" s="2">
        <f>Cleaned_Data!H520</f>
        <v/>
      </c>
      <c r="F520" s="2">
        <f>Cleaned_Data!F520</f>
        <v/>
      </c>
      <c r="G520" s="9">
        <f>SUMPRODUCT(($B$2:$B$1196=B520)*($F$2:$F$1196&lt;=F520))/SUMPRODUCT(($B$2:$B$1196=B520)*1)</f>
        <v/>
      </c>
      <c r="H520" s="2">
        <f>Cleaned_Data!J520</f>
        <v/>
      </c>
      <c r="I520" s="2">
        <f>Cleaned_Data!E520</f>
        <v/>
      </c>
      <c r="J520" s="2">
        <f>IF(C520="Yes",1,0)</f>
        <v/>
      </c>
      <c r="K520" s="2">
        <f>MIN(MAX(1-(D520-1)/4,0),1)</f>
        <v/>
      </c>
      <c r="L520" s="2">
        <f>MIN(E520/60,1)</f>
        <v/>
      </c>
      <c r="M520" s="2">
        <f>MIN(MAX(1-G520,0),1)</f>
        <v/>
      </c>
      <c r="N520" s="2">
        <f>MIN(MAX(1-(H520-1)/4,0),1)</f>
        <v/>
      </c>
      <c r="O520" s="2">
        <f>1-MIN(I520/8,1)</f>
        <v/>
      </c>
      <c r="P520" s="10">
        <f>ROUND(100*(J520*Assumptions!$B$6+K520*Assumptions!$B$7+L520*Assumptions!$B$8+M520*Assumptions!$B$9+N520*Assumptions!$B$10+O520*Assumptions!$B$11),1)</f>
        <v/>
      </c>
      <c r="Q520" s="2">
        <f>IF(P520&gt;=Assumptions!$B$14,"High",IF(P520&gt;=Assumptions!$B$15,"Medium","Low"))</f>
        <v/>
      </c>
      <c r="R520" s="2">
        <f>Cleaned_Data!L520</f>
        <v/>
      </c>
    </row>
    <row r="521">
      <c r="A521" s="2">
        <f>Cleaned_Data!A521</f>
        <v/>
      </c>
      <c r="B521" s="2">
        <f>Cleaned_Data!B521</f>
        <v/>
      </c>
      <c r="C521" s="2">
        <f>Cleaned_Data!G521</f>
        <v/>
      </c>
      <c r="D521" s="2">
        <f>Cleaned_Data!I521</f>
        <v/>
      </c>
      <c r="E521" s="2">
        <f>Cleaned_Data!H521</f>
        <v/>
      </c>
      <c r="F521" s="2">
        <f>Cleaned_Data!F521</f>
        <v/>
      </c>
      <c r="G521" s="9">
        <f>SUMPRODUCT(($B$2:$B$1196=B521)*($F$2:$F$1196&lt;=F521))/SUMPRODUCT(($B$2:$B$1196=B521)*1)</f>
        <v/>
      </c>
      <c r="H521" s="2">
        <f>Cleaned_Data!J521</f>
        <v/>
      </c>
      <c r="I521" s="2">
        <f>Cleaned_Data!E521</f>
        <v/>
      </c>
      <c r="J521" s="2">
        <f>IF(C521="Yes",1,0)</f>
        <v/>
      </c>
      <c r="K521" s="2">
        <f>MIN(MAX(1-(D521-1)/4,0),1)</f>
        <v/>
      </c>
      <c r="L521" s="2">
        <f>MIN(E521/60,1)</f>
        <v/>
      </c>
      <c r="M521" s="2">
        <f>MIN(MAX(1-G521,0),1)</f>
        <v/>
      </c>
      <c r="N521" s="2">
        <f>MIN(MAX(1-(H521-1)/4,0),1)</f>
        <v/>
      </c>
      <c r="O521" s="2">
        <f>1-MIN(I521/8,1)</f>
        <v/>
      </c>
      <c r="P521" s="10">
        <f>ROUND(100*(J521*Assumptions!$B$6+K521*Assumptions!$B$7+L521*Assumptions!$B$8+M521*Assumptions!$B$9+N521*Assumptions!$B$10+O521*Assumptions!$B$11),1)</f>
        <v/>
      </c>
      <c r="Q521" s="2">
        <f>IF(P521&gt;=Assumptions!$B$14,"High",IF(P521&gt;=Assumptions!$B$15,"Medium","Low"))</f>
        <v/>
      </c>
      <c r="R521" s="2">
        <f>Cleaned_Data!L521</f>
        <v/>
      </c>
    </row>
    <row r="522">
      <c r="A522" s="2">
        <f>Cleaned_Data!A522</f>
        <v/>
      </c>
      <c r="B522" s="2">
        <f>Cleaned_Data!B522</f>
        <v/>
      </c>
      <c r="C522" s="2">
        <f>Cleaned_Data!G522</f>
        <v/>
      </c>
      <c r="D522" s="2">
        <f>Cleaned_Data!I522</f>
        <v/>
      </c>
      <c r="E522" s="2">
        <f>Cleaned_Data!H522</f>
        <v/>
      </c>
      <c r="F522" s="2">
        <f>Cleaned_Data!F522</f>
        <v/>
      </c>
      <c r="G522" s="9">
        <f>SUMPRODUCT(($B$2:$B$1196=B522)*($F$2:$F$1196&lt;=F522))/SUMPRODUCT(($B$2:$B$1196=B522)*1)</f>
        <v/>
      </c>
      <c r="H522" s="2">
        <f>Cleaned_Data!J522</f>
        <v/>
      </c>
      <c r="I522" s="2">
        <f>Cleaned_Data!E522</f>
        <v/>
      </c>
      <c r="J522" s="2">
        <f>IF(C522="Yes",1,0)</f>
        <v/>
      </c>
      <c r="K522" s="2">
        <f>MIN(MAX(1-(D522-1)/4,0),1)</f>
        <v/>
      </c>
      <c r="L522" s="2">
        <f>MIN(E522/60,1)</f>
        <v/>
      </c>
      <c r="M522" s="2">
        <f>MIN(MAX(1-G522,0),1)</f>
        <v/>
      </c>
      <c r="N522" s="2">
        <f>MIN(MAX(1-(H522-1)/4,0),1)</f>
        <v/>
      </c>
      <c r="O522" s="2">
        <f>1-MIN(I522/8,1)</f>
        <v/>
      </c>
      <c r="P522" s="10">
        <f>ROUND(100*(J522*Assumptions!$B$6+K522*Assumptions!$B$7+L522*Assumptions!$B$8+M522*Assumptions!$B$9+N522*Assumptions!$B$10+O522*Assumptions!$B$11),1)</f>
        <v/>
      </c>
      <c r="Q522" s="2">
        <f>IF(P522&gt;=Assumptions!$B$14,"High",IF(P522&gt;=Assumptions!$B$15,"Medium","Low"))</f>
        <v/>
      </c>
      <c r="R522" s="2">
        <f>Cleaned_Data!L522</f>
        <v/>
      </c>
    </row>
    <row r="523">
      <c r="A523" s="2">
        <f>Cleaned_Data!A523</f>
        <v/>
      </c>
      <c r="B523" s="2">
        <f>Cleaned_Data!B523</f>
        <v/>
      </c>
      <c r="C523" s="2">
        <f>Cleaned_Data!G523</f>
        <v/>
      </c>
      <c r="D523" s="2">
        <f>Cleaned_Data!I523</f>
        <v/>
      </c>
      <c r="E523" s="2">
        <f>Cleaned_Data!H523</f>
        <v/>
      </c>
      <c r="F523" s="2">
        <f>Cleaned_Data!F523</f>
        <v/>
      </c>
      <c r="G523" s="9">
        <f>SUMPRODUCT(($B$2:$B$1196=B523)*($F$2:$F$1196&lt;=F523))/SUMPRODUCT(($B$2:$B$1196=B523)*1)</f>
        <v/>
      </c>
      <c r="H523" s="2">
        <f>Cleaned_Data!J523</f>
        <v/>
      </c>
      <c r="I523" s="2">
        <f>Cleaned_Data!E523</f>
        <v/>
      </c>
      <c r="J523" s="2">
        <f>IF(C523="Yes",1,0)</f>
        <v/>
      </c>
      <c r="K523" s="2">
        <f>MIN(MAX(1-(D523-1)/4,0),1)</f>
        <v/>
      </c>
      <c r="L523" s="2">
        <f>MIN(E523/60,1)</f>
        <v/>
      </c>
      <c r="M523" s="2">
        <f>MIN(MAX(1-G523,0),1)</f>
        <v/>
      </c>
      <c r="N523" s="2">
        <f>MIN(MAX(1-(H523-1)/4,0),1)</f>
        <v/>
      </c>
      <c r="O523" s="2">
        <f>1-MIN(I523/8,1)</f>
        <v/>
      </c>
      <c r="P523" s="10">
        <f>ROUND(100*(J523*Assumptions!$B$6+K523*Assumptions!$B$7+L523*Assumptions!$B$8+M523*Assumptions!$B$9+N523*Assumptions!$B$10+O523*Assumptions!$B$11),1)</f>
        <v/>
      </c>
      <c r="Q523" s="2">
        <f>IF(P523&gt;=Assumptions!$B$14,"High",IF(P523&gt;=Assumptions!$B$15,"Medium","Low"))</f>
        <v/>
      </c>
      <c r="R523" s="2">
        <f>Cleaned_Data!L523</f>
        <v/>
      </c>
    </row>
    <row r="524">
      <c r="A524" s="2">
        <f>Cleaned_Data!A524</f>
        <v/>
      </c>
      <c r="B524" s="2">
        <f>Cleaned_Data!B524</f>
        <v/>
      </c>
      <c r="C524" s="2">
        <f>Cleaned_Data!G524</f>
        <v/>
      </c>
      <c r="D524" s="2">
        <f>Cleaned_Data!I524</f>
        <v/>
      </c>
      <c r="E524" s="2">
        <f>Cleaned_Data!H524</f>
        <v/>
      </c>
      <c r="F524" s="2">
        <f>Cleaned_Data!F524</f>
        <v/>
      </c>
      <c r="G524" s="9">
        <f>SUMPRODUCT(($B$2:$B$1196=B524)*($F$2:$F$1196&lt;=F524))/SUMPRODUCT(($B$2:$B$1196=B524)*1)</f>
        <v/>
      </c>
      <c r="H524" s="2">
        <f>Cleaned_Data!J524</f>
        <v/>
      </c>
      <c r="I524" s="2">
        <f>Cleaned_Data!E524</f>
        <v/>
      </c>
      <c r="J524" s="2">
        <f>IF(C524="Yes",1,0)</f>
        <v/>
      </c>
      <c r="K524" s="2">
        <f>MIN(MAX(1-(D524-1)/4,0),1)</f>
        <v/>
      </c>
      <c r="L524" s="2">
        <f>MIN(E524/60,1)</f>
        <v/>
      </c>
      <c r="M524" s="2">
        <f>MIN(MAX(1-G524,0),1)</f>
        <v/>
      </c>
      <c r="N524" s="2">
        <f>MIN(MAX(1-(H524-1)/4,0),1)</f>
        <v/>
      </c>
      <c r="O524" s="2">
        <f>1-MIN(I524/8,1)</f>
        <v/>
      </c>
      <c r="P524" s="10">
        <f>ROUND(100*(J524*Assumptions!$B$6+K524*Assumptions!$B$7+L524*Assumptions!$B$8+M524*Assumptions!$B$9+N524*Assumptions!$B$10+O524*Assumptions!$B$11),1)</f>
        <v/>
      </c>
      <c r="Q524" s="2">
        <f>IF(P524&gt;=Assumptions!$B$14,"High",IF(P524&gt;=Assumptions!$B$15,"Medium","Low"))</f>
        <v/>
      </c>
      <c r="R524" s="2">
        <f>Cleaned_Data!L524</f>
        <v/>
      </c>
    </row>
    <row r="525">
      <c r="A525" s="2">
        <f>Cleaned_Data!A525</f>
        <v/>
      </c>
      <c r="B525" s="2">
        <f>Cleaned_Data!B525</f>
        <v/>
      </c>
      <c r="C525" s="2">
        <f>Cleaned_Data!G525</f>
        <v/>
      </c>
      <c r="D525" s="2">
        <f>Cleaned_Data!I525</f>
        <v/>
      </c>
      <c r="E525" s="2">
        <f>Cleaned_Data!H525</f>
        <v/>
      </c>
      <c r="F525" s="2">
        <f>Cleaned_Data!F525</f>
        <v/>
      </c>
      <c r="G525" s="9">
        <f>SUMPRODUCT(($B$2:$B$1196=B525)*($F$2:$F$1196&lt;=F525))/SUMPRODUCT(($B$2:$B$1196=B525)*1)</f>
        <v/>
      </c>
      <c r="H525" s="2">
        <f>Cleaned_Data!J525</f>
        <v/>
      </c>
      <c r="I525" s="2">
        <f>Cleaned_Data!E525</f>
        <v/>
      </c>
      <c r="J525" s="2">
        <f>IF(C525="Yes",1,0)</f>
        <v/>
      </c>
      <c r="K525" s="2">
        <f>MIN(MAX(1-(D525-1)/4,0),1)</f>
        <v/>
      </c>
      <c r="L525" s="2">
        <f>MIN(E525/60,1)</f>
        <v/>
      </c>
      <c r="M525" s="2">
        <f>MIN(MAX(1-G525,0),1)</f>
        <v/>
      </c>
      <c r="N525" s="2">
        <f>MIN(MAX(1-(H525-1)/4,0),1)</f>
        <v/>
      </c>
      <c r="O525" s="2">
        <f>1-MIN(I525/8,1)</f>
        <v/>
      </c>
      <c r="P525" s="10">
        <f>ROUND(100*(J525*Assumptions!$B$6+K525*Assumptions!$B$7+L525*Assumptions!$B$8+M525*Assumptions!$B$9+N525*Assumptions!$B$10+O525*Assumptions!$B$11),1)</f>
        <v/>
      </c>
      <c r="Q525" s="2">
        <f>IF(P525&gt;=Assumptions!$B$14,"High",IF(P525&gt;=Assumptions!$B$15,"Medium","Low"))</f>
        <v/>
      </c>
      <c r="R525" s="2">
        <f>Cleaned_Data!L525</f>
        <v/>
      </c>
    </row>
    <row r="526">
      <c r="A526" s="2">
        <f>Cleaned_Data!A526</f>
        <v/>
      </c>
      <c r="B526" s="2">
        <f>Cleaned_Data!B526</f>
        <v/>
      </c>
      <c r="C526" s="2">
        <f>Cleaned_Data!G526</f>
        <v/>
      </c>
      <c r="D526" s="2">
        <f>Cleaned_Data!I526</f>
        <v/>
      </c>
      <c r="E526" s="2">
        <f>Cleaned_Data!H526</f>
        <v/>
      </c>
      <c r="F526" s="2">
        <f>Cleaned_Data!F526</f>
        <v/>
      </c>
      <c r="G526" s="9">
        <f>SUMPRODUCT(($B$2:$B$1196=B526)*($F$2:$F$1196&lt;=F526))/SUMPRODUCT(($B$2:$B$1196=B526)*1)</f>
        <v/>
      </c>
      <c r="H526" s="2">
        <f>Cleaned_Data!J526</f>
        <v/>
      </c>
      <c r="I526" s="2">
        <f>Cleaned_Data!E526</f>
        <v/>
      </c>
      <c r="J526" s="2">
        <f>IF(C526="Yes",1,0)</f>
        <v/>
      </c>
      <c r="K526" s="2">
        <f>MIN(MAX(1-(D526-1)/4,0),1)</f>
        <v/>
      </c>
      <c r="L526" s="2">
        <f>MIN(E526/60,1)</f>
        <v/>
      </c>
      <c r="M526" s="2">
        <f>MIN(MAX(1-G526,0),1)</f>
        <v/>
      </c>
      <c r="N526" s="2">
        <f>MIN(MAX(1-(H526-1)/4,0),1)</f>
        <v/>
      </c>
      <c r="O526" s="2">
        <f>1-MIN(I526/8,1)</f>
        <v/>
      </c>
      <c r="P526" s="10">
        <f>ROUND(100*(J526*Assumptions!$B$6+K526*Assumptions!$B$7+L526*Assumptions!$B$8+M526*Assumptions!$B$9+N526*Assumptions!$B$10+O526*Assumptions!$B$11),1)</f>
        <v/>
      </c>
      <c r="Q526" s="2">
        <f>IF(P526&gt;=Assumptions!$B$14,"High",IF(P526&gt;=Assumptions!$B$15,"Medium","Low"))</f>
        <v/>
      </c>
      <c r="R526" s="2">
        <f>Cleaned_Data!L526</f>
        <v/>
      </c>
    </row>
    <row r="527">
      <c r="A527" s="2">
        <f>Cleaned_Data!A527</f>
        <v/>
      </c>
      <c r="B527" s="2">
        <f>Cleaned_Data!B527</f>
        <v/>
      </c>
      <c r="C527" s="2">
        <f>Cleaned_Data!G527</f>
        <v/>
      </c>
      <c r="D527" s="2">
        <f>Cleaned_Data!I527</f>
        <v/>
      </c>
      <c r="E527" s="2">
        <f>Cleaned_Data!H527</f>
        <v/>
      </c>
      <c r="F527" s="2">
        <f>Cleaned_Data!F527</f>
        <v/>
      </c>
      <c r="G527" s="9">
        <f>SUMPRODUCT(($B$2:$B$1196=B527)*($F$2:$F$1196&lt;=F527))/SUMPRODUCT(($B$2:$B$1196=B527)*1)</f>
        <v/>
      </c>
      <c r="H527" s="2">
        <f>Cleaned_Data!J527</f>
        <v/>
      </c>
      <c r="I527" s="2">
        <f>Cleaned_Data!E527</f>
        <v/>
      </c>
      <c r="J527" s="2">
        <f>IF(C527="Yes",1,0)</f>
        <v/>
      </c>
      <c r="K527" s="2">
        <f>MIN(MAX(1-(D527-1)/4,0),1)</f>
        <v/>
      </c>
      <c r="L527" s="2">
        <f>MIN(E527/60,1)</f>
        <v/>
      </c>
      <c r="M527" s="2">
        <f>MIN(MAX(1-G527,0),1)</f>
        <v/>
      </c>
      <c r="N527" s="2">
        <f>MIN(MAX(1-(H527-1)/4,0),1)</f>
        <v/>
      </c>
      <c r="O527" s="2">
        <f>1-MIN(I527/8,1)</f>
        <v/>
      </c>
      <c r="P527" s="10">
        <f>ROUND(100*(J527*Assumptions!$B$6+K527*Assumptions!$B$7+L527*Assumptions!$B$8+M527*Assumptions!$B$9+N527*Assumptions!$B$10+O527*Assumptions!$B$11),1)</f>
        <v/>
      </c>
      <c r="Q527" s="2">
        <f>IF(P527&gt;=Assumptions!$B$14,"High",IF(P527&gt;=Assumptions!$B$15,"Medium","Low"))</f>
        <v/>
      </c>
      <c r="R527" s="2">
        <f>Cleaned_Data!L527</f>
        <v/>
      </c>
    </row>
    <row r="528">
      <c r="A528" s="2">
        <f>Cleaned_Data!A528</f>
        <v/>
      </c>
      <c r="B528" s="2">
        <f>Cleaned_Data!B528</f>
        <v/>
      </c>
      <c r="C528" s="2">
        <f>Cleaned_Data!G528</f>
        <v/>
      </c>
      <c r="D528" s="2">
        <f>Cleaned_Data!I528</f>
        <v/>
      </c>
      <c r="E528" s="2">
        <f>Cleaned_Data!H528</f>
        <v/>
      </c>
      <c r="F528" s="2">
        <f>Cleaned_Data!F528</f>
        <v/>
      </c>
      <c r="G528" s="9">
        <f>SUMPRODUCT(($B$2:$B$1196=B528)*($F$2:$F$1196&lt;=F528))/SUMPRODUCT(($B$2:$B$1196=B528)*1)</f>
        <v/>
      </c>
      <c r="H528" s="2">
        <f>Cleaned_Data!J528</f>
        <v/>
      </c>
      <c r="I528" s="2">
        <f>Cleaned_Data!E528</f>
        <v/>
      </c>
      <c r="J528" s="2">
        <f>IF(C528="Yes",1,0)</f>
        <v/>
      </c>
      <c r="K528" s="2">
        <f>MIN(MAX(1-(D528-1)/4,0),1)</f>
        <v/>
      </c>
      <c r="L528" s="2">
        <f>MIN(E528/60,1)</f>
        <v/>
      </c>
      <c r="M528" s="2">
        <f>MIN(MAX(1-G528,0),1)</f>
        <v/>
      </c>
      <c r="N528" s="2">
        <f>MIN(MAX(1-(H528-1)/4,0),1)</f>
        <v/>
      </c>
      <c r="O528" s="2">
        <f>1-MIN(I528/8,1)</f>
        <v/>
      </c>
      <c r="P528" s="10">
        <f>ROUND(100*(J528*Assumptions!$B$6+K528*Assumptions!$B$7+L528*Assumptions!$B$8+M528*Assumptions!$B$9+N528*Assumptions!$B$10+O528*Assumptions!$B$11),1)</f>
        <v/>
      </c>
      <c r="Q528" s="2">
        <f>IF(P528&gt;=Assumptions!$B$14,"High",IF(P528&gt;=Assumptions!$B$15,"Medium","Low"))</f>
        <v/>
      </c>
      <c r="R528" s="2">
        <f>Cleaned_Data!L528</f>
        <v/>
      </c>
    </row>
    <row r="529">
      <c r="A529" s="2">
        <f>Cleaned_Data!A529</f>
        <v/>
      </c>
      <c r="B529" s="2">
        <f>Cleaned_Data!B529</f>
        <v/>
      </c>
      <c r="C529" s="2">
        <f>Cleaned_Data!G529</f>
        <v/>
      </c>
      <c r="D529" s="2">
        <f>Cleaned_Data!I529</f>
        <v/>
      </c>
      <c r="E529" s="2">
        <f>Cleaned_Data!H529</f>
        <v/>
      </c>
      <c r="F529" s="2">
        <f>Cleaned_Data!F529</f>
        <v/>
      </c>
      <c r="G529" s="9">
        <f>SUMPRODUCT(($B$2:$B$1196=B529)*($F$2:$F$1196&lt;=F529))/SUMPRODUCT(($B$2:$B$1196=B529)*1)</f>
        <v/>
      </c>
      <c r="H529" s="2">
        <f>Cleaned_Data!J529</f>
        <v/>
      </c>
      <c r="I529" s="2">
        <f>Cleaned_Data!E529</f>
        <v/>
      </c>
      <c r="J529" s="2">
        <f>IF(C529="Yes",1,0)</f>
        <v/>
      </c>
      <c r="K529" s="2">
        <f>MIN(MAX(1-(D529-1)/4,0),1)</f>
        <v/>
      </c>
      <c r="L529" s="2">
        <f>MIN(E529/60,1)</f>
        <v/>
      </c>
      <c r="M529" s="2">
        <f>MIN(MAX(1-G529,0),1)</f>
        <v/>
      </c>
      <c r="N529" s="2">
        <f>MIN(MAX(1-(H529-1)/4,0),1)</f>
        <v/>
      </c>
      <c r="O529" s="2">
        <f>1-MIN(I529/8,1)</f>
        <v/>
      </c>
      <c r="P529" s="10">
        <f>ROUND(100*(J529*Assumptions!$B$6+K529*Assumptions!$B$7+L529*Assumptions!$B$8+M529*Assumptions!$B$9+N529*Assumptions!$B$10+O529*Assumptions!$B$11),1)</f>
        <v/>
      </c>
      <c r="Q529" s="2">
        <f>IF(P529&gt;=Assumptions!$B$14,"High",IF(P529&gt;=Assumptions!$B$15,"Medium","Low"))</f>
        <v/>
      </c>
      <c r="R529" s="2">
        <f>Cleaned_Data!L529</f>
        <v/>
      </c>
    </row>
    <row r="530">
      <c r="A530" s="2">
        <f>Cleaned_Data!A530</f>
        <v/>
      </c>
      <c r="B530" s="2">
        <f>Cleaned_Data!B530</f>
        <v/>
      </c>
      <c r="C530" s="2">
        <f>Cleaned_Data!G530</f>
        <v/>
      </c>
      <c r="D530" s="2">
        <f>Cleaned_Data!I530</f>
        <v/>
      </c>
      <c r="E530" s="2">
        <f>Cleaned_Data!H530</f>
        <v/>
      </c>
      <c r="F530" s="2">
        <f>Cleaned_Data!F530</f>
        <v/>
      </c>
      <c r="G530" s="9">
        <f>SUMPRODUCT(($B$2:$B$1196=B530)*($F$2:$F$1196&lt;=F530))/SUMPRODUCT(($B$2:$B$1196=B530)*1)</f>
        <v/>
      </c>
      <c r="H530" s="2">
        <f>Cleaned_Data!J530</f>
        <v/>
      </c>
      <c r="I530" s="2">
        <f>Cleaned_Data!E530</f>
        <v/>
      </c>
      <c r="J530" s="2">
        <f>IF(C530="Yes",1,0)</f>
        <v/>
      </c>
      <c r="K530" s="2">
        <f>MIN(MAX(1-(D530-1)/4,0),1)</f>
        <v/>
      </c>
      <c r="L530" s="2">
        <f>MIN(E530/60,1)</f>
        <v/>
      </c>
      <c r="M530" s="2">
        <f>MIN(MAX(1-G530,0),1)</f>
        <v/>
      </c>
      <c r="N530" s="2">
        <f>MIN(MAX(1-(H530-1)/4,0),1)</f>
        <v/>
      </c>
      <c r="O530" s="2">
        <f>1-MIN(I530/8,1)</f>
        <v/>
      </c>
      <c r="P530" s="10">
        <f>ROUND(100*(J530*Assumptions!$B$6+K530*Assumptions!$B$7+L530*Assumptions!$B$8+M530*Assumptions!$B$9+N530*Assumptions!$B$10+O530*Assumptions!$B$11),1)</f>
        <v/>
      </c>
      <c r="Q530" s="2">
        <f>IF(P530&gt;=Assumptions!$B$14,"High",IF(P530&gt;=Assumptions!$B$15,"Medium","Low"))</f>
        <v/>
      </c>
      <c r="R530" s="2">
        <f>Cleaned_Data!L530</f>
        <v/>
      </c>
    </row>
    <row r="531">
      <c r="A531" s="2">
        <f>Cleaned_Data!A531</f>
        <v/>
      </c>
      <c r="B531" s="2">
        <f>Cleaned_Data!B531</f>
        <v/>
      </c>
      <c r="C531" s="2">
        <f>Cleaned_Data!G531</f>
        <v/>
      </c>
      <c r="D531" s="2">
        <f>Cleaned_Data!I531</f>
        <v/>
      </c>
      <c r="E531" s="2">
        <f>Cleaned_Data!H531</f>
        <v/>
      </c>
      <c r="F531" s="2">
        <f>Cleaned_Data!F531</f>
        <v/>
      </c>
      <c r="G531" s="9">
        <f>SUMPRODUCT(($B$2:$B$1196=B531)*($F$2:$F$1196&lt;=F531))/SUMPRODUCT(($B$2:$B$1196=B531)*1)</f>
        <v/>
      </c>
      <c r="H531" s="2">
        <f>Cleaned_Data!J531</f>
        <v/>
      </c>
      <c r="I531" s="2">
        <f>Cleaned_Data!E531</f>
        <v/>
      </c>
      <c r="J531" s="2">
        <f>IF(C531="Yes",1,0)</f>
        <v/>
      </c>
      <c r="K531" s="2">
        <f>MIN(MAX(1-(D531-1)/4,0),1)</f>
        <v/>
      </c>
      <c r="L531" s="2">
        <f>MIN(E531/60,1)</f>
        <v/>
      </c>
      <c r="M531" s="2">
        <f>MIN(MAX(1-G531,0),1)</f>
        <v/>
      </c>
      <c r="N531" s="2">
        <f>MIN(MAX(1-(H531-1)/4,0),1)</f>
        <v/>
      </c>
      <c r="O531" s="2">
        <f>1-MIN(I531/8,1)</f>
        <v/>
      </c>
      <c r="P531" s="10">
        <f>ROUND(100*(J531*Assumptions!$B$6+K531*Assumptions!$B$7+L531*Assumptions!$B$8+M531*Assumptions!$B$9+N531*Assumptions!$B$10+O531*Assumptions!$B$11),1)</f>
        <v/>
      </c>
      <c r="Q531" s="2">
        <f>IF(P531&gt;=Assumptions!$B$14,"High",IF(P531&gt;=Assumptions!$B$15,"Medium","Low"))</f>
        <v/>
      </c>
      <c r="R531" s="2">
        <f>Cleaned_Data!L531</f>
        <v/>
      </c>
    </row>
    <row r="532">
      <c r="A532" s="2">
        <f>Cleaned_Data!A532</f>
        <v/>
      </c>
      <c r="B532" s="2">
        <f>Cleaned_Data!B532</f>
        <v/>
      </c>
      <c r="C532" s="2">
        <f>Cleaned_Data!G532</f>
        <v/>
      </c>
      <c r="D532" s="2">
        <f>Cleaned_Data!I532</f>
        <v/>
      </c>
      <c r="E532" s="2">
        <f>Cleaned_Data!H532</f>
        <v/>
      </c>
      <c r="F532" s="2">
        <f>Cleaned_Data!F532</f>
        <v/>
      </c>
      <c r="G532" s="9">
        <f>SUMPRODUCT(($B$2:$B$1196=B532)*($F$2:$F$1196&lt;=F532))/SUMPRODUCT(($B$2:$B$1196=B532)*1)</f>
        <v/>
      </c>
      <c r="H532" s="2">
        <f>Cleaned_Data!J532</f>
        <v/>
      </c>
      <c r="I532" s="2">
        <f>Cleaned_Data!E532</f>
        <v/>
      </c>
      <c r="J532" s="2">
        <f>IF(C532="Yes",1,0)</f>
        <v/>
      </c>
      <c r="K532" s="2">
        <f>MIN(MAX(1-(D532-1)/4,0),1)</f>
        <v/>
      </c>
      <c r="L532" s="2">
        <f>MIN(E532/60,1)</f>
        <v/>
      </c>
      <c r="M532" s="2">
        <f>MIN(MAX(1-G532,0),1)</f>
        <v/>
      </c>
      <c r="N532" s="2">
        <f>MIN(MAX(1-(H532-1)/4,0),1)</f>
        <v/>
      </c>
      <c r="O532" s="2">
        <f>1-MIN(I532/8,1)</f>
        <v/>
      </c>
      <c r="P532" s="10">
        <f>ROUND(100*(J532*Assumptions!$B$6+K532*Assumptions!$B$7+L532*Assumptions!$B$8+M532*Assumptions!$B$9+N532*Assumptions!$B$10+O532*Assumptions!$B$11),1)</f>
        <v/>
      </c>
      <c r="Q532" s="2">
        <f>IF(P532&gt;=Assumptions!$B$14,"High",IF(P532&gt;=Assumptions!$B$15,"Medium","Low"))</f>
        <v/>
      </c>
      <c r="R532" s="2">
        <f>Cleaned_Data!L532</f>
        <v/>
      </c>
    </row>
    <row r="533">
      <c r="A533" s="2">
        <f>Cleaned_Data!A533</f>
        <v/>
      </c>
      <c r="B533" s="2">
        <f>Cleaned_Data!B533</f>
        <v/>
      </c>
      <c r="C533" s="2">
        <f>Cleaned_Data!G533</f>
        <v/>
      </c>
      <c r="D533" s="2">
        <f>Cleaned_Data!I533</f>
        <v/>
      </c>
      <c r="E533" s="2">
        <f>Cleaned_Data!H533</f>
        <v/>
      </c>
      <c r="F533" s="2">
        <f>Cleaned_Data!F533</f>
        <v/>
      </c>
      <c r="G533" s="9">
        <f>SUMPRODUCT(($B$2:$B$1196=B533)*($F$2:$F$1196&lt;=F533))/SUMPRODUCT(($B$2:$B$1196=B533)*1)</f>
        <v/>
      </c>
      <c r="H533" s="2">
        <f>Cleaned_Data!J533</f>
        <v/>
      </c>
      <c r="I533" s="2">
        <f>Cleaned_Data!E533</f>
        <v/>
      </c>
      <c r="J533" s="2">
        <f>IF(C533="Yes",1,0)</f>
        <v/>
      </c>
      <c r="K533" s="2">
        <f>MIN(MAX(1-(D533-1)/4,0),1)</f>
        <v/>
      </c>
      <c r="L533" s="2">
        <f>MIN(E533/60,1)</f>
        <v/>
      </c>
      <c r="M533" s="2">
        <f>MIN(MAX(1-G533,0),1)</f>
        <v/>
      </c>
      <c r="N533" s="2">
        <f>MIN(MAX(1-(H533-1)/4,0),1)</f>
        <v/>
      </c>
      <c r="O533" s="2">
        <f>1-MIN(I533/8,1)</f>
        <v/>
      </c>
      <c r="P533" s="10">
        <f>ROUND(100*(J533*Assumptions!$B$6+K533*Assumptions!$B$7+L533*Assumptions!$B$8+M533*Assumptions!$B$9+N533*Assumptions!$B$10+O533*Assumptions!$B$11),1)</f>
        <v/>
      </c>
      <c r="Q533" s="2">
        <f>IF(P533&gt;=Assumptions!$B$14,"High",IF(P533&gt;=Assumptions!$B$15,"Medium","Low"))</f>
        <v/>
      </c>
      <c r="R533" s="2">
        <f>Cleaned_Data!L533</f>
        <v/>
      </c>
    </row>
    <row r="534">
      <c r="A534" s="2">
        <f>Cleaned_Data!A534</f>
        <v/>
      </c>
      <c r="B534" s="2">
        <f>Cleaned_Data!B534</f>
        <v/>
      </c>
      <c r="C534" s="2">
        <f>Cleaned_Data!G534</f>
        <v/>
      </c>
      <c r="D534" s="2">
        <f>Cleaned_Data!I534</f>
        <v/>
      </c>
      <c r="E534" s="2">
        <f>Cleaned_Data!H534</f>
        <v/>
      </c>
      <c r="F534" s="2">
        <f>Cleaned_Data!F534</f>
        <v/>
      </c>
      <c r="G534" s="9">
        <f>SUMPRODUCT(($B$2:$B$1196=B534)*($F$2:$F$1196&lt;=F534))/SUMPRODUCT(($B$2:$B$1196=B534)*1)</f>
        <v/>
      </c>
      <c r="H534" s="2">
        <f>Cleaned_Data!J534</f>
        <v/>
      </c>
      <c r="I534" s="2">
        <f>Cleaned_Data!E534</f>
        <v/>
      </c>
      <c r="J534" s="2">
        <f>IF(C534="Yes",1,0)</f>
        <v/>
      </c>
      <c r="K534" s="2">
        <f>MIN(MAX(1-(D534-1)/4,0),1)</f>
        <v/>
      </c>
      <c r="L534" s="2">
        <f>MIN(E534/60,1)</f>
        <v/>
      </c>
      <c r="M534" s="2">
        <f>MIN(MAX(1-G534,0),1)</f>
        <v/>
      </c>
      <c r="N534" s="2">
        <f>MIN(MAX(1-(H534-1)/4,0),1)</f>
        <v/>
      </c>
      <c r="O534" s="2">
        <f>1-MIN(I534/8,1)</f>
        <v/>
      </c>
      <c r="P534" s="10">
        <f>ROUND(100*(J534*Assumptions!$B$6+K534*Assumptions!$B$7+L534*Assumptions!$B$8+M534*Assumptions!$B$9+N534*Assumptions!$B$10+O534*Assumptions!$B$11),1)</f>
        <v/>
      </c>
      <c r="Q534" s="2">
        <f>IF(P534&gt;=Assumptions!$B$14,"High",IF(P534&gt;=Assumptions!$B$15,"Medium","Low"))</f>
        <v/>
      </c>
      <c r="R534" s="2">
        <f>Cleaned_Data!L534</f>
        <v/>
      </c>
    </row>
    <row r="535">
      <c r="A535" s="2">
        <f>Cleaned_Data!A535</f>
        <v/>
      </c>
      <c r="B535" s="2">
        <f>Cleaned_Data!B535</f>
        <v/>
      </c>
      <c r="C535" s="2">
        <f>Cleaned_Data!G535</f>
        <v/>
      </c>
      <c r="D535" s="2">
        <f>Cleaned_Data!I535</f>
        <v/>
      </c>
      <c r="E535" s="2">
        <f>Cleaned_Data!H535</f>
        <v/>
      </c>
      <c r="F535" s="2">
        <f>Cleaned_Data!F535</f>
        <v/>
      </c>
      <c r="G535" s="9">
        <f>SUMPRODUCT(($B$2:$B$1196=B535)*($F$2:$F$1196&lt;=F535))/SUMPRODUCT(($B$2:$B$1196=B535)*1)</f>
        <v/>
      </c>
      <c r="H535" s="2">
        <f>Cleaned_Data!J535</f>
        <v/>
      </c>
      <c r="I535" s="2">
        <f>Cleaned_Data!E535</f>
        <v/>
      </c>
      <c r="J535" s="2">
        <f>IF(C535="Yes",1,0)</f>
        <v/>
      </c>
      <c r="K535" s="2">
        <f>MIN(MAX(1-(D535-1)/4,0),1)</f>
        <v/>
      </c>
      <c r="L535" s="2">
        <f>MIN(E535/60,1)</f>
        <v/>
      </c>
      <c r="M535" s="2">
        <f>MIN(MAX(1-G535,0),1)</f>
        <v/>
      </c>
      <c r="N535" s="2">
        <f>MIN(MAX(1-(H535-1)/4,0),1)</f>
        <v/>
      </c>
      <c r="O535" s="2">
        <f>1-MIN(I535/8,1)</f>
        <v/>
      </c>
      <c r="P535" s="10">
        <f>ROUND(100*(J535*Assumptions!$B$6+K535*Assumptions!$B$7+L535*Assumptions!$B$8+M535*Assumptions!$B$9+N535*Assumptions!$B$10+O535*Assumptions!$B$11),1)</f>
        <v/>
      </c>
      <c r="Q535" s="2">
        <f>IF(P535&gt;=Assumptions!$B$14,"High",IF(P535&gt;=Assumptions!$B$15,"Medium","Low"))</f>
        <v/>
      </c>
      <c r="R535" s="2">
        <f>Cleaned_Data!L535</f>
        <v/>
      </c>
    </row>
    <row r="536">
      <c r="A536" s="2">
        <f>Cleaned_Data!A536</f>
        <v/>
      </c>
      <c r="B536" s="2">
        <f>Cleaned_Data!B536</f>
        <v/>
      </c>
      <c r="C536" s="2">
        <f>Cleaned_Data!G536</f>
        <v/>
      </c>
      <c r="D536" s="2">
        <f>Cleaned_Data!I536</f>
        <v/>
      </c>
      <c r="E536" s="2">
        <f>Cleaned_Data!H536</f>
        <v/>
      </c>
      <c r="F536" s="2">
        <f>Cleaned_Data!F536</f>
        <v/>
      </c>
      <c r="G536" s="9">
        <f>SUMPRODUCT(($B$2:$B$1196=B536)*($F$2:$F$1196&lt;=F536))/SUMPRODUCT(($B$2:$B$1196=B536)*1)</f>
        <v/>
      </c>
      <c r="H536" s="2">
        <f>Cleaned_Data!J536</f>
        <v/>
      </c>
      <c r="I536" s="2">
        <f>Cleaned_Data!E536</f>
        <v/>
      </c>
      <c r="J536" s="2">
        <f>IF(C536="Yes",1,0)</f>
        <v/>
      </c>
      <c r="K536" s="2">
        <f>MIN(MAX(1-(D536-1)/4,0),1)</f>
        <v/>
      </c>
      <c r="L536" s="2">
        <f>MIN(E536/60,1)</f>
        <v/>
      </c>
      <c r="M536" s="2">
        <f>MIN(MAX(1-G536,0),1)</f>
        <v/>
      </c>
      <c r="N536" s="2">
        <f>MIN(MAX(1-(H536-1)/4,0),1)</f>
        <v/>
      </c>
      <c r="O536" s="2">
        <f>1-MIN(I536/8,1)</f>
        <v/>
      </c>
      <c r="P536" s="10">
        <f>ROUND(100*(J536*Assumptions!$B$6+K536*Assumptions!$B$7+L536*Assumptions!$B$8+M536*Assumptions!$B$9+N536*Assumptions!$B$10+O536*Assumptions!$B$11),1)</f>
        <v/>
      </c>
      <c r="Q536" s="2">
        <f>IF(P536&gt;=Assumptions!$B$14,"High",IF(P536&gt;=Assumptions!$B$15,"Medium","Low"))</f>
        <v/>
      </c>
      <c r="R536" s="2">
        <f>Cleaned_Data!L536</f>
        <v/>
      </c>
    </row>
    <row r="537">
      <c r="A537" s="2">
        <f>Cleaned_Data!A537</f>
        <v/>
      </c>
      <c r="B537" s="2">
        <f>Cleaned_Data!B537</f>
        <v/>
      </c>
      <c r="C537" s="2">
        <f>Cleaned_Data!G537</f>
        <v/>
      </c>
      <c r="D537" s="2">
        <f>Cleaned_Data!I537</f>
        <v/>
      </c>
      <c r="E537" s="2">
        <f>Cleaned_Data!H537</f>
        <v/>
      </c>
      <c r="F537" s="2">
        <f>Cleaned_Data!F537</f>
        <v/>
      </c>
      <c r="G537" s="9">
        <f>SUMPRODUCT(($B$2:$B$1196=B537)*($F$2:$F$1196&lt;=F537))/SUMPRODUCT(($B$2:$B$1196=B537)*1)</f>
        <v/>
      </c>
      <c r="H537" s="2">
        <f>Cleaned_Data!J537</f>
        <v/>
      </c>
      <c r="I537" s="2">
        <f>Cleaned_Data!E537</f>
        <v/>
      </c>
      <c r="J537" s="2">
        <f>IF(C537="Yes",1,0)</f>
        <v/>
      </c>
      <c r="K537" s="2">
        <f>MIN(MAX(1-(D537-1)/4,0),1)</f>
        <v/>
      </c>
      <c r="L537" s="2">
        <f>MIN(E537/60,1)</f>
        <v/>
      </c>
      <c r="M537" s="2">
        <f>MIN(MAX(1-G537,0),1)</f>
        <v/>
      </c>
      <c r="N537" s="2">
        <f>MIN(MAX(1-(H537-1)/4,0),1)</f>
        <v/>
      </c>
      <c r="O537" s="2">
        <f>1-MIN(I537/8,1)</f>
        <v/>
      </c>
      <c r="P537" s="10">
        <f>ROUND(100*(J537*Assumptions!$B$6+K537*Assumptions!$B$7+L537*Assumptions!$B$8+M537*Assumptions!$B$9+N537*Assumptions!$B$10+O537*Assumptions!$B$11),1)</f>
        <v/>
      </c>
      <c r="Q537" s="2">
        <f>IF(P537&gt;=Assumptions!$B$14,"High",IF(P537&gt;=Assumptions!$B$15,"Medium","Low"))</f>
        <v/>
      </c>
      <c r="R537" s="2">
        <f>Cleaned_Data!L537</f>
        <v/>
      </c>
    </row>
    <row r="538">
      <c r="A538" s="2">
        <f>Cleaned_Data!A538</f>
        <v/>
      </c>
      <c r="B538" s="2">
        <f>Cleaned_Data!B538</f>
        <v/>
      </c>
      <c r="C538" s="2">
        <f>Cleaned_Data!G538</f>
        <v/>
      </c>
      <c r="D538" s="2">
        <f>Cleaned_Data!I538</f>
        <v/>
      </c>
      <c r="E538" s="2">
        <f>Cleaned_Data!H538</f>
        <v/>
      </c>
      <c r="F538" s="2">
        <f>Cleaned_Data!F538</f>
        <v/>
      </c>
      <c r="G538" s="9">
        <f>SUMPRODUCT(($B$2:$B$1196=B538)*($F$2:$F$1196&lt;=F538))/SUMPRODUCT(($B$2:$B$1196=B538)*1)</f>
        <v/>
      </c>
      <c r="H538" s="2">
        <f>Cleaned_Data!J538</f>
        <v/>
      </c>
      <c r="I538" s="2">
        <f>Cleaned_Data!E538</f>
        <v/>
      </c>
      <c r="J538" s="2">
        <f>IF(C538="Yes",1,0)</f>
        <v/>
      </c>
      <c r="K538" s="2">
        <f>MIN(MAX(1-(D538-1)/4,0),1)</f>
        <v/>
      </c>
      <c r="L538" s="2">
        <f>MIN(E538/60,1)</f>
        <v/>
      </c>
      <c r="M538" s="2">
        <f>MIN(MAX(1-G538,0),1)</f>
        <v/>
      </c>
      <c r="N538" s="2">
        <f>MIN(MAX(1-(H538-1)/4,0),1)</f>
        <v/>
      </c>
      <c r="O538" s="2">
        <f>1-MIN(I538/8,1)</f>
        <v/>
      </c>
      <c r="P538" s="10">
        <f>ROUND(100*(J538*Assumptions!$B$6+K538*Assumptions!$B$7+L538*Assumptions!$B$8+M538*Assumptions!$B$9+N538*Assumptions!$B$10+O538*Assumptions!$B$11),1)</f>
        <v/>
      </c>
      <c r="Q538" s="2">
        <f>IF(P538&gt;=Assumptions!$B$14,"High",IF(P538&gt;=Assumptions!$B$15,"Medium","Low"))</f>
        <v/>
      </c>
      <c r="R538" s="2">
        <f>Cleaned_Data!L538</f>
        <v/>
      </c>
    </row>
    <row r="539">
      <c r="A539" s="2">
        <f>Cleaned_Data!A539</f>
        <v/>
      </c>
      <c r="B539" s="2">
        <f>Cleaned_Data!B539</f>
        <v/>
      </c>
      <c r="C539" s="2">
        <f>Cleaned_Data!G539</f>
        <v/>
      </c>
      <c r="D539" s="2">
        <f>Cleaned_Data!I539</f>
        <v/>
      </c>
      <c r="E539" s="2">
        <f>Cleaned_Data!H539</f>
        <v/>
      </c>
      <c r="F539" s="2">
        <f>Cleaned_Data!F539</f>
        <v/>
      </c>
      <c r="G539" s="9">
        <f>SUMPRODUCT(($B$2:$B$1196=B539)*($F$2:$F$1196&lt;=F539))/SUMPRODUCT(($B$2:$B$1196=B539)*1)</f>
        <v/>
      </c>
      <c r="H539" s="2">
        <f>Cleaned_Data!J539</f>
        <v/>
      </c>
      <c r="I539" s="2">
        <f>Cleaned_Data!E539</f>
        <v/>
      </c>
      <c r="J539" s="2">
        <f>IF(C539="Yes",1,0)</f>
        <v/>
      </c>
      <c r="K539" s="2">
        <f>MIN(MAX(1-(D539-1)/4,0),1)</f>
        <v/>
      </c>
      <c r="L539" s="2">
        <f>MIN(E539/60,1)</f>
        <v/>
      </c>
      <c r="M539" s="2">
        <f>MIN(MAX(1-G539,0),1)</f>
        <v/>
      </c>
      <c r="N539" s="2">
        <f>MIN(MAX(1-(H539-1)/4,0),1)</f>
        <v/>
      </c>
      <c r="O539" s="2">
        <f>1-MIN(I539/8,1)</f>
        <v/>
      </c>
      <c r="P539" s="10">
        <f>ROUND(100*(J539*Assumptions!$B$6+K539*Assumptions!$B$7+L539*Assumptions!$B$8+M539*Assumptions!$B$9+N539*Assumptions!$B$10+O539*Assumptions!$B$11),1)</f>
        <v/>
      </c>
      <c r="Q539" s="2">
        <f>IF(P539&gt;=Assumptions!$B$14,"High",IF(P539&gt;=Assumptions!$B$15,"Medium","Low"))</f>
        <v/>
      </c>
      <c r="R539" s="2">
        <f>Cleaned_Data!L539</f>
        <v/>
      </c>
    </row>
    <row r="540">
      <c r="A540" s="2">
        <f>Cleaned_Data!A540</f>
        <v/>
      </c>
      <c r="B540" s="2">
        <f>Cleaned_Data!B540</f>
        <v/>
      </c>
      <c r="C540" s="2">
        <f>Cleaned_Data!G540</f>
        <v/>
      </c>
      <c r="D540" s="2">
        <f>Cleaned_Data!I540</f>
        <v/>
      </c>
      <c r="E540" s="2">
        <f>Cleaned_Data!H540</f>
        <v/>
      </c>
      <c r="F540" s="2">
        <f>Cleaned_Data!F540</f>
        <v/>
      </c>
      <c r="G540" s="9">
        <f>SUMPRODUCT(($B$2:$B$1196=B540)*($F$2:$F$1196&lt;=F540))/SUMPRODUCT(($B$2:$B$1196=B540)*1)</f>
        <v/>
      </c>
      <c r="H540" s="2">
        <f>Cleaned_Data!J540</f>
        <v/>
      </c>
      <c r="I540" s="2">
        <f>Cleaned_Data!E540</f>
        <v/>
      </c>
      <c r="J540" s="2">
        <f>IF(C540="Yes",1,0)</f>
        <v/>
      </c>
      <c r="K540" s="2">
        <f>MIN(MAX(1-(D540-1)/4,0),1)</f>
        <v/>
      </c>
      <c r="L540" s="2">
        <f>MIN(E540/60,1)</f>
        <v/>
      </c>
      <c r="M540" s="2">
        <f>MIN(MAX(1-G540,0),1)</f>
        <v/>
      </c>
      <c r="N540" s="2">
        <f>MIN(MAX(1-(H540-1)/4,0),1)</f>
        <v/>
      </c>
      <c r="O540" s="2">
        <f>1-MIN(I540/8,1)</f>
        <v/>
      </c>
      <c r="P540" s="10">
        <f>ROUND(100*(J540*Assumptions!$B$6+K540*Assumptions!$B$7+L540*Assumptions!$B$8+M540*Assumptions!$B$9+N540*Assumptions!$B$10+O540*Assumptions!$B$11),1)</f>
        <v/>
      </c>
      <c r="Q540" s="2">
        <f>IF(P540&gt;=Assumptions!$B$14,"High",IF(P540&gt;=Assumptions!$B$15,"Medium","Low"))</f>
        <v/>
      </c>
      <c r="R540" s="2">
        <f>Cleaned_Data!L540</f>
        <v/>
      </c>
    </row>
    <row r="541">
      <c r="A541" s="2">
        <f>Cleaned_Data!A541</f>
        <v/>
      </c>
      <c r="B541" s="2">
        <f>Cleaned_Data!B541</f>
        <v/>
      </c>
      <c r="C541" s="2">
        <f>Cleaned_Data!G541</f>
        <v/>
      </c>
      <c r="D541" s="2">
        <f>Cleaned_Data!I541</f>
        <v/>
      </c>
      <c r="E541" s="2">
        <f>Cleaned_Data!H541</f>
        <v/>
      </c>
      <c r="F541" s="2">
        <f>Cleaned_Data!F541</f>
        <v/>
      </c>
      <c r="G541" s="9">
        <f>SUMPRODUCT(($B$2:$B$1196=B541)*($F$2:$F$1196&lt;=F541))/SUMPRODUCT(($B$2:$B$1196=B541)*1)</f>
        <v/>
      </c>
      <c r="H541" s="2">
        <f>Cleaned_Data!J541</f>
        <v/>
      </c>
      <c r="I541" s="2">
        <f>Cleaned_Data!E541</f>
        <v/>
      </c>
      <c r="J541" s="2">
        <f>IF(C541="Yes",1,0)</f>
        <v/>
      </c>
      <c r="K541" s="2">
        <f>MIN(MAX(1-(D541-1)/4,0),1)</f>
        <v/>
      </c>
      <c r="L541" s="2">
        <f>MIN(E541/60,1)</f>
        <v/>
      </c>
      <c r="M541" s="2">
        <f>MIN(MAX(1-G541,0),1)</f>
        <v/>
      </c>
      <c r="N541" s="2">
        <f>MIN(MAX(1-(H541-1)/4,0),1)</f>
        <v/>
      </c>
      <c r="O541" s="2">
        <f>1-MIN(I541/8,1)</f>
        <v/>
      </c>
      <c r="P541" s="10">
        <f>ROUND(100*(J541*Assumptions!$B$6+K541*Assumptions!$B$7+L541*Assumptions!$B$8+M541*Assumptions!$B$9+N541*Assumptions!$B$10+O541*Assumptions!$B$11),1)</f>
        <v/>
      </c>
      <c r="Q541" s="2">
        <f>IF(P541&gt;=Assumptions!$B$14,"High",IF(P541&gt;=Assumptions!$B$15,"Medium","Low"))</f>
        <v/>
      </c>
      <c r="R541" s="2">
        <f>Cleaned_Data!L541</f>
        <v/>
      </c>
    </row>
    <row r="542">
      <c r="A542" s="2">
        <f>Cleaned_Data!A542</f>
        <v/>
      </c>
      <c r="B542" s="2">
        <f>Cleaned_Data!B542</f>
        <v/>
      </c>
      <c r="C542" s="2">
        <f>Cleaned_Data!G542</f>
        <v/>
      </c>
      <c r="D542" s="2">
        <f>Cleaned_Data!I542</f>
        <v/>
      </c>
      <c r="E542" s="2">
        <f>Cleaned_Data!H542</f>
        <v/>
      </c>
      <c r="F542" s="2">
        <f>Cleaned_Data!F542</f>
        <v/>
      </c>
      <c r="G542" s="9">
        <f>SUMPRODUCT(($B$2:$B$1196=B542)*($F$2:$F$1196&lt;=F542))/SUMPRODUCT(($B$2:$B$1196=B542)*1)</f>
        <v/>
      </c>
      <c r="H542" s="2">
        <f>Cleaned_Data!J542</f>
        <v/>
      </c>
      <c r="I542" s="2">
        <f>Cleaned_Data!E542</f>
        <v/>
      </c>
      <c r="J542" s="2">
        <f>IF(C542="Yes",1,0)</f>
        <v/>
      </c>
      <c r="K542" s="2">
        <f>MIN(MAX(1-(D542-1)/4,0),1)</f>
        <v/>
      </c>
      <c r="L542" s="2">
        <f>MIN(E542/60,1)</f>
        <v/>
      </c>
      <c r="M542" s="2">
        <f>MIN(MAX(1-G542,0),1)</f>
        <v/>
      </c>
      <c r="N542" s="2">
        <f>MIN(MAX(1-(H542-1)/4,0),1)</f>
        <v/>
      </c>
      <c r="O542" s="2">
        <f>1-MIN(I542/8,1)</f>
        <v/>
      </c>
      <c r="P542" s="10">
        <f>ROUND(100*(J542*Assumptions!$B$6+K542*Assumptions!$B$7+L542*Assumptions!$B$8+M542*Assumptions!$B$9+N542*Assumptions!$B$10+O542*Assumptions!$B$11),1)</f>
        <v/>
      </c>
      <c r="Q542" s="2">
        <f>IF(P542&gt;=Assumptions!$B$14,"High",IF(P542&gt;=Assumptions!$B$15,"Medium","Low"))</f>
        <v/>
      </c>
      <c r="R542" s="2">
        <f>Cleaned_Data!L542</f>
        <v/>
      </c>
    </row>
    <row r="543">
      <c r="A543" s="2">
        <f>Cleaned_Data!A543</f>
        <v/>
      </c>
      <c r="B543" s="2">
        <f>Cleaned_Data!B543</f>
        <v/>
      </c>
      <c r="C543" s="2">
        <f>Cleaned_Data!G543</f>
        <v/>
      </c>
      <c r="D543" s="2">
        <f>Cleaned_Data!I543</f>
        <v/>
      </c>
      <c r="E543" s="2">
        <f>Cleaned_Data!H543</f>
        <v/>
      </c>
      <c r="F543" s="2">
        <f>Cleaned_Data!F543</f>
        <v/>
      </c>
      <c r="G543" s="9">
        <f>SUMPRODUCT(($B$2:$B$1196=B543)*($F$2:$F$1196&lt;=F543))/SUMPRODUCT(($B$2:$B$1196=B543)*1)</f>
        <v/>
      </c>
      <c r="H543" s="2">
        <f>Cleaned_Data!J543</f>
        <v/>
      </c>
      <c r="I543" s="2">
        <f>Cleaned_Data!E543</f>
        <v/>
      </c>
      <c r="J543" s="2">
        <f>IF(C543="Yes",1,0)</f>
        <v/>
      </c>
      <c r="K543" s="2">
        <f>MIN(MAX(1-(D543-1)/4,0),1)</f>
        <v/>
      </c>
      <c r="L543" s="2">
        <f>MIN(E543/60,1)</f>
        <v/>
      </c>
      <c r="M543" s="2">
        <f>MIN(MAX(1-G543,0),1)</f>
        <v/>
      </c>
      <c r="N543" s="2">
        <f>MIN(MAX(1-(H543-1)/4,0),1)</f>
        <v/>
      </c>
      <c r="O543" s="2">
        <f>1-MIN(I543/8,1)</f>
        <v/>
      </c>
      <c r="P543" s="10">
        <f>ROUND(100*(J543*Assumptions!$B$6+K543*Assumptions!$B$7+L543*Assumptions!$B$8+M543*Assumptions!$B$9+N543*Assumptions!$B$10+O543*Assumptions!$B$11),1)</f>
        <v/>
      </c>
      <c r="Q543" s="2">
        <f>IF(P543&gt;=Assumptions!$B$14,"High",IF(P543&gt;=Assumptions!$B$15,"Medium","Low"))</f>
        <v/>
      </c>
      <c r="R543" s="2">
        <f>Cleaned_Data!L543</f>
        <v/>
      </c>
    </row>
    <row r="544">
      <c r="A544" s="2">
        <f>Cleaned_Data!A544</f>
        <v/>
      </c>
      <c r="B544" s="2">
        <f>Cleaned_Data!B544</f>
        <v/>
      </c>
      <c r="C544" s="2">
        <f>Cleaned_Data!G544</f>
        <v/>
      </c>
      <c r="D544" s="2">
        <f>Cleaned_Data!I544</f>
        <v/>
      </c>
      <c r="E544" s="2">
        <f>Cleaned_Data!H544</f>
        <v/>
      </c>
      <c r="F544" s="2">
        <f>Cleaned_Data!F544</f>
        <v/>
      </c>
      <c r="G544" s="9">
        <f>SUMPRODUCT(($B$2:$B$1196=B544)*($F$2:$F$1196&lt;=F544))/SUMPRODUCT(($B$2:$B$1196=B544)*1)</f>
        <v/>
      </c>
      <c r="H544" s="2">
        <f>Cleaned_Data!J544</f>
        <v/>
      </c>
      <c r="I544" s="2">
        <f>Cleaned_Data!E544</f>
        <v/>
      </c>
      <c r="J544" s="2">
        <f>IF(C544="Yes",1,0)</f>
        <v/>
      </c>
      <c r="K544" s="2">
        <f>MIN(MAX(1-(D544-1)/4,0),1)</f>
        <v/>
      </c>
      <c r="L544" s="2">
        <f>MIN(E544/60,1)</f>
        <v/>
      </c>
      <c r="M544" s="2">
        <f>MIN(MAX(1-G544,0),1)</f>
        <v/>
      </c>
      <c r="N544" s="2">
        <f>MIN(MAX(1-(H544-1)/4,0),1)</f>
        <v/>
      </c>
      <c r="O544" s="2">
        <f>1-MIN(I544/8,1)</f>
        <v/>
      </c>
      <c r="P544" s="10">
        <f>ROUND(100*(J544*Assumptions!$B$6+K544*Assumptions!$B$7+L544*Assumptions!$B$8+M544*Assumptions!$B$9+N544*Assumptions!$B$10+O544*Assumptions!$B$11),1)</f>
        <v/>
      </c>
      <c r="Q544" s="2">
        <f>IF(P544&gt;=Assumptions!$B$14,"High",IF(P544&gt;=Assumptions!$B$15,"Medium","Low"))</f>
        <v/>
      </c>
      <c r="R544" s="2">
        <f>Cleaned_Data!L544</f>
        <v/>
      </c>
    </row>
    <row r="545">
      <c r="A545" s="2">
        <f>Cleaned_Data!A545</f>
        <v/>
      </c>
      <c r="B545" s="2">
        <f>Cleaned_Data!B545</f>
        <v/>
      </c>
      <c r="C545" s="2">
        <f>Cleaned_Data!G545</f>
        <v/>
      </c>
      <c r="D545" s="2">
        <f>Cleaned_Data!I545</f>
        <v/>
      </c>
      <c r="E545" s="2">
        <f>Cleaned_Data!H545</f>
        <v/>
      </c>
      <c r="F545" s="2">
        <f>Cleaned_Data!F545</f>
        <v/>
      </c>
      <c r="G545" s="9">
        <f>SUMPRODUCT(($B$2:$B$1196=B545)*($F$2:$F$1196&lt;=F545))/SUMPRODUCT(($B$2:$B$1196=B545)*1)</f>
        <v/>
      </c>
      <c r="H545" s="2">
        <f>Cleaned_Data!J545</f>
        <v/>
      </c>
      <c r="I545" s="2">
        <f>Cleaned_Data!E545</f>
        <v/>
      </c>
      <c r="J545" s="2">
        <f>IF(C545="Yes",1,0)</f>
        <v/>
      </c>
      <c r="K545" s="2">
        <f>MIN(MAX(1-(D545-1)/4,0),1)</f>
        <v/>
      </c>
      <c r="L545" s="2">
        <f>MIN(E545/60,1)</f>
        <v/>
      </c>
      <c r="M545" s="2">
        <f>MIN(MAX(1-G545,0),1)</f>
        <v/>
      </c>
      <c r="N545" s="2">
        <f>MIN(MAX(1-(H545-1)/4,0),1)</f>
        <v/>
      </c>
      <c r="O545" s="2">
        <f>1-MIN(I545/8,1)</f>
        <v/>
      </c>
      <c r="P545" s="10">
        <f>ROUND(100*(J545*Assumptions!$B$6+K545*Assumptions!$B$7+L545*Assumptions!$B$8+M545*Assumptions!$B$9+N545*Assumptions!$B$10+O545*Assumptions!$B$11),1)</f>
        <v/>
      </c>
      <c r="Q545" s="2">
        <f>IF(P545&gt;=Assumptions!$B$14,"High",IF(P545&gt;=Assumptions!$B$15,"Medium","Low"))</f>
        <v/>
      </c>
      <c r="R545" s="2">
        <f>Cleaned_Data!L545</f>
        <v/>
      </c>
    </row>
    <row r="546">
      <c r="A546" s="2">
        <f>Cleaned_Data!A546</f>
        <v/>
      </c>
      <c r="B546" s="2">
        <f>Cleaned_Data!B546</f>
        <v/>
      </c>
      <c r="C546" s="2">
        <f>Cleaned_Data!G546</f>
        <v/>
      </c>
      <c r="D546" s="2">
        <f>Cleaned_Data!I546</f>
        <v/>
      </c>
      <c r="E546" s="2">
        <f>Cleaned_Data!H546</f>
        <v/>
      </c>
      <c r="F546" s="2">
        <f>Cleaned_Data!F546</f>
        <v/>
      </c>
      <c r="G546" s="9">
        <f>SUMPRODUCT(($B$2:$B$1196=B546)*($F$2:$F$1196&lt;=F546))/SUMPRODUCT(($B$2:$B$1196=B546)*1)</f>
        <v/>
      </c>
      <c r="H546" s="2">
        <f>Cleaned_Data!J546</f>
        <v/>
      </c>
      <c r="I546" s="2">
        <f>Cleaned_Data!E546</f>
        <v/>
      </c>
      <c r="J546" s="2">
        <f>IF(C546="Yes",1,0)</f>
        <v/>
      </c>
      <c r="K546" s="2">
        <f>MIN(MAX(1-(D546-1)/4,0),1)</f>
        <v/>
      </c>
      <c r="L546" s="2">
        <f>MIN(E546/60,1)</f>
        <v/>
      </c>
      <c r="M546" s="2">
        <f>MIN(MAX(1-G546,0),1)</f>
        <v/>
      </c>
      <c r="N546" s="2">
        <f>MIN(MAX(1-(H546-1)/4,0),1)</f>
        <v/>
      </c>
      <c r="O546" s="2">
        <f>1-MIN(I546/8,1)</f>
        <v/>
      </c>
      <c r="P546" s="10">
        <f>ROUND(100*(J546*Assumptions!$B$6+K546*Assumptions!$B$7+L546*Assumptions!$B$8+M546*Assumptions!$B$9+N546*Assumptions!$B$10+O546*Assumptions!$B$11),1)</f>
        <v/>
      </c>
      <c r="Q546" s="2">
        <f>IF(P546&gt;=Assumptions!$B$14,"High",IF(P546&gt;=Assumptions!$B$15,"Medium","Low"))</f>
        <v/>
      </c>
      <c r="R546" s="2">
        <f>Cleaned_Data!L546</f>
        <v/>
      </c>
    </row>
    <row r="547">
      <c r="A547" s="2">
        <f>Cleaned_Data!A547</f>
        <v/>
      </c>
      <c r="B547" s="2">
        <f>Cleaned_Data!B547</f>
        <v/>
      </c>
      <c r="C547" s="2">
        <f>Cleaned_Data!G547</f>
        <v/>
      </c>
      <c r="D547" s="2">
        <f>Cleaned_Data!I547</f>
        <v/>
      </c>
      <c r="E547" s="2">
        <f>Cleaned_Data!H547</f>
        <v/>
      </c>
      <c r="F547" s="2">
        <f>Cleaned_Data!F547</f>
        <v/>
      </c>
      <c r="G547" s="9">
        <f>SUMPRODUCT(($B$2:$B$1196=B547)*($F$2:$F$1196&lt;=F547))/SUMPRODUCT(($B$2:$B$1196=B547)*1)</f>
        <v/>
      </c>
      <c r="H547" s="2">
        <f>Cleaned_Data!J547</f>
        <v/>
      </c>
      <c r="I547" s="2">
        <f>Cleaned_Data!E547</f>
        <v/>
      </c>
      <c r="J547" s="2">
        <f>IF(C547="Yes",1,0)</f>
        <v/>
      </c>
      <c r="K547" s="2">
        <f>MIN(MAX(1-(D547-1)/4,0),1)</f>
        <v/>
      </c>
      <c r="L547" s="2">
        <f>MIN(E547/60,1)</f>
        <v/>
      </c>
      <c r="M547" s="2">
        <f>MIN(MAX(1-G547,0),1)</f>
        <v/>
      </c>
      <c r="N547" s="2">
        <f>MIN(MAX(1-(H547-1)/4,0),1)</f>
        <v/>
      </c>
      <c r="O547" s="2">
        <f>1-MIN(I547/8,1)</f>
        <v/>
      </c>
      <c r="P547" s="10">
        <f>ROUND(100*(J547*Assumptions!$B$6+K547*Assumptions!$B$7+L547*Assumptions!$B$8+M547*Assumptions!$B$9+N547*Assumptions!$B$10+O547*Assumptions!$B$11),1)</f>
        <v/>
      </c>
      <c r="Q547" s="2">
        <f>IF(P547&gt;=Assumptions!$B$14,"High",IF(P547&gt;=Assumptions!$B$15,"Medium","Low"))</f>
        <v/>
      </c>
      <c r="R547" s="2">
        <f>Cleaned_Data!L547</f>
        <v/>
      </c>
    </row>
    <row r="548">
      <c r="A548" s="2">
        <f>Cleaned_Data!A548</f>
        <v/>
      </c>
      <c r="B548" s="2">
        <f>Cleaned_Data!B548</f>
        <v/>
      </c>
      <c r="C548" s="2">
        <f>Cleaned_Data!G548</f>
        <v/>
      </c>
      <c r="D548" s="2">
        <f>Cleaned_Data!I548</f>
        <v/>
      </c>
      <c r="E548" s="2">
        <f>Cleaned_Data!H548</f>
        <v/>
      </c>
      <c r="F548" s="2">
        <f>Cleaned_Data!F548</f>
        <v/>
      </c>
      <c r="G548" s="9">
        <f>SUMPRODUCT(($B$2:$B$1196=B548)*($F$2:$F$1196&lt;=F548))/SUMPRODUCT(($B$2:$B$1196=B548)*1)</f>
        <v/>
      </c>
      <c r="H548" s="2">
        <f>Cleaned_Data!J548</f>
        <v/>
      </c>
      <c r="I548" s="2">
        <f>Cleaned_Data!E548</f>
        <v/>
      </c>
      <c r="J548" s="2">
        <f>IF(C548="Yes",1,0)</f>
        <v/>
      </c>
      <c r="K548" s="2">
        <f>MIN(MAX(1-(D548-1)/4,0),1)</f>
        <v/>
      </c>
      <c r="L548" s="2">
        <f>MIN(E548/60,1)</f>
        <v/>
      </c>
      <c r="M548" s="2">
        <f>MIN(MAX(1-G548,0),1)</f>
        <v/>
      </c>
      <c r="N548" s="2">
        <f>MIN(MAX(1-(H548-1)/4,0),1)</f>
        <v/>
      </c>
      <c r="O548" s="2">
        <f>1-MIN(I548/8,1)</f>
        <v/>
      </c>
      <c r="P548" s="10">
        <f>ROUND(100*(J548*Assumptions!$B$6+K548*Assumptions!$B$7+L548*Assumptions!$B$8+M548*Assumptions!$B$9+N548*Assumptions!$B$10+O548*Assumptions!$B$11),1)</f>
        <v/>
      </c>
      <c r="Q548" s="2">
        <f>IF(P548&gt;=Assumptions!$B$14,"High",IF(P548&gt;=Assumptions!$B$15,"Medium","Low"))</f>
        <v/>
      </c>
      <c r="R548" s="2">
        <f>Cleaned_Data!L548</f>
        <v/>
      </c>
    </row>
    <row r="549">
      <c r="A549" s="2">
        <f>Cleaned_Data!A549</f>
        <v/>
      </c>
      <c r="B549" s="2">
        <f>Cleaned_Data!B549</f>
        <v/>
      </c>
      <c r="C549" s="2">
        <f>Cleaned_Data!G549</f>
        <v/>
      </c>
      <c r="D549" s="2">
        <f>Cleaned_Data!I549</f>
        <v/>
      </c>
      <c r="E549" s="2">
        <f>Cleaned_Data!H549</f>
        <v/>
      </c>
      <c r="F549" s="2">
        <f>Cleaned_Data!F549</f>
        <v/>
      </c>
      <c r="G549" s="9">
        <f>SUMPRODUCT(($B$2:$B$1196=B549)*($F$2:$F$1196&lt;=F549))/SUMPRODUCT(($B$2:$B$1196=B549)*1)</f>
        <v/>
      </c>
      <c r="H549" s="2">
        <f>Cleaned_Data!J549</f>
        <v/>
      </c>
      <c r="I549" s="2">
        <f>Cleaned_Data!E549</f>
        <v/>
      </c>
      <c r="J549" s="2">
        <f>IF(C549="Yes",1,0)</f>
        <v/>
      </c>
      <c r="K549" s="2">
        <f>MIN(MAX(1-(D549-1)/4,0),1)</f>
        <v/>
      </c>
      <c r="L549" s="2">
        <f>MIN(E549/60,1)</f>
        <v/>
      </c>
      <c r="M549" s="2">
        <f>MIN(MAX(1-G549,0),1)</f>
        <v/>
      </c>
      <c r="N549" s="2">
        <f>MIN(MAX(1-(H549-1)/4,0),1)</f>
        <v/>
      </c>
      <c r="O549" s="2">
        <f>1-MIN(I549/8,1)</f>
        <v/>
      </c>
      <c r="P549" s="10">
        <f>ROUND(100*(J549*Assumptions!$B$6+K549*Assumptions!$B$7+L549*Assumptions!$B$8+M549*Assumptions!$B$9+N549*Assumptions!$B$10+O549*Assumptions!$B$11),1)</f>
        <v/>
      </c>
      <c r="Q549" s="2">
        <f>IF(P549&gt;=Assumptions!$B$14,"High",IF(P549&gt;=Assumptions!$B$15,"Medium","Low"))</f>
        <v/>
      </c>
      <c r="R549" s="2">
        <f>Cleaned_Data!L549</f>
        <v/>
      </c>
    </row>
    <row r="550">
      <c r="A550" s="2">
        <f>Cleaned_Data!A550</f>
        <v/>
      </c>
      <c r="B550" s="2">
        <f>Cleaned_Data!B550</f>
        <v/>
      </c>
      <c r="C550" s="2">
        <f>Cleaned_Data!G550</f>
        <v/>
      </c>
      <c r="D550" s="2">
        <f>Cleaned_Data!I550</f>
        <v/>
      </c>
      <c r="E550" s="2">
        <f>Cleaned_Data!H550</f>
        <v/>
      </c>
      <c r="F550" s="2">
        <f>Cleaned_Data!F550</f>
        <v/>
      </c>
      <c r="G550" s="9">
        <f>SUMPRODUCT(($B$2:$B$1196=B550)*($F$2:$F$1196&lt;=F550))/SUMPRODUCT(($B$2:$B$1196=B550)*1)</f>
        <v/>
      </c>
      <c r="H550" s="2">
        <f>Cleaned_Data!J550</f>
        <v/>
      </c>
      <c r="I550" s="2">
        <f>Cleaned_Data!E550</f>
        <v/>
      </c>
      <c r="J550" s="2">
        <f>IF(C550="Yes",1,0)</f>
        <v/>
      </c>
      <c r="K550" s="2">
        <f>MIN(MAX(1-(D550-1)/4,0),1)</f>
        <v/>
      </c>
      <c r="L550" s="2">
        <f>MIN(E550/60,1)</f>
        <v/>
      </c>
      <c r="M550" s="2">
        <f>MIN(MAX(1-G550,0),1)</f>
        <v/>
      </c>
      <c r="N550" s="2">
        <f>MIN(MAX(1-(H550-1)/4,0),1)</f>
        <v/>
      </c>
      <c r="O550" s="2">
        <f>1-MIN(I550/8,1)</f>
        <v/>
      </c>
      <c r="P550" s="10">
        <f>ROUND(100*(J550*Assumptions!$B$6+K550*Assumptions!$B$7+L550*Assumptions!$B$8+M550*Assumptions!$B$9+N550*Assumptions!$B$10+O550*Assumptions!$B$11),1)</f>
        <v/>
      </c>
      <c r="Q550" s="2">
        <f>IF(P550&gt;=Assumptions!$B$14,"High",IF(P550&gt;=Assumptions!$B$15,"Medium","Low"))</f>
        <v/>
      </c>
      <c r="R550" s="2">
        <f>Cleaned_Data!L550</f>
        <v/>
      </c>
    </row>
    <row r="551">
      <c r="A551" s="2">
        <f>Cleaned_Data!A551</f>
        <v/>
      </c>
      <c r="B551" s="2">
        <f>Cleaned_Data!B551</f>
        <v/>
      </c>
      <c r="C551" s="2">
        <f>Cleaned_Data!G551</f>
        <v/>
      </c>
      <c r="D551" s="2">
        <f>Cleaned_Data!I551</f>
        <v/>
      </c>
      <c r="E551" s="2">
        <f>Cleaned_Data!H551</f>
        <v/>
      </c>
      <c r="F551" s="2">
        <f>Cleaned_Data!F551</f>
        <v/>
      </c>
      <c r="G551" s="9">
        <f>SUMPRODUCT(($B$2:$B$1196=B551)*($F$2:$F$1196&lt;=F551))/SUMPRODUCT(($B$2:$B$1196=B551)*1)</f>
        <v/>
      </c>
      <c r="H551" s="2">
        <f>Cleaned_Data!J551</f>
        <v/>
      </c>
      <c r="I551" s="2">
        <f>Cleaned_Data!E551</f>
        <v/>
      </c>
      <c r="J551" s="2">
        <f>IF(C551="Yes",1,0)</f>
        <v/>
      </c>
      <c r="K551" s="2">
        <f>MIN(MAX(1-(D551-1)/4,0),1)</f>
        <v/>
      </c>
      <c r="L551" s="2">
        <f>MIN(E551/60,1)</f>
        <v/>
      </c>
      <c r="M551" s="2">
        <f>MIN(MAX(1-G551,0),1)</f>
        <v/>
      </c>
      <c r="N551" s="2">
        <f>MIN(MAX(1-(H551-1)/4,0),1)</f>
        <v/>
      </c>
      <c r="O551" s="2">
        <f>1-MIN(I551/8,1)</f>
        <v/>
      </c>
      <c r="P551" s="10">
        <f>ROUND(100*(J551*Assumptions!$B$6+K551*Assumptions!$B$7+L551*Assumptions!$B$8+M551*Assumptions!$B$9+N551*Assumptions!$B$10+O551*Assumptions!$B$11),1)</f>
        <v/>
      </c>
      <c r="Q551" s="2">
        <f>IF(P551&gt;=Assumptions!$B$14,"High",IF(P551&gt;=Assumptions!$B$15,"Medium","Low"))</f>
        <v/>
      </c>
      <c r="R551" s="2">
        <f>Cleaned_Data!L551</f>
        <v/>
      </c>
    </row>
    <row r="552">
      <c r="A552" s="2">
        <f>Cleaned_Data!A552</f>
        <v/>
      </c>
      <c r="B552" s="2">
        <f>Cleaned_Data!B552</f>
        <v/>
      </c>
      <c r="C552" s="2">
        <f>Cleaned_Data!G552</f>
        <v/>
      </c>
      <c r="D552" s="2">
        <f>Cleaned_Data!I552</f>
        <v/>
      </c>
      <c r="E552" s="2">
        <f>Cleaned_Data!H552</f>
        <v/>
      </c>
      <c r="F552" s="2">
        <f>Cleaned_Data!F552</f>
        <v/>
      </c>
      <c r="G552" s="9">
        <f>SUMPRODUCT(($B$2:$B$1196=B552)*($F$2:$F$1196&lt;=F552))/SUMPRODUCT(($B$2:$B$1196=B552)*1)</f>
        <v/>
      </c>
      <c r="H552" s="2">
        <f>Cleaned_Data!J552</f>
        <v/>
      </c>
      <c r="I552" s="2">
        <f>Cleaned_Data!E552</f>
        <v/>
      </c>
      <c r="J552" s="2">
        <f>IF(C552="Yes",1,0)</f>
        <v/>
      </c>
      <c r="K552" s="2">
        <f>MIN(MAX(1-(D552-1)/4,0),1)</f>
        <v/>
      </c>
      <c r="L552" s="2">
        <f>MIN(E552/60,1)</f>
        <v/>
      </c>
      <c r="M552" s="2">
        <f>MIN(MAX(1-G552,0),1)</f>
        <v/>
      </c>
      <c r="N552" s="2">
        <f>MIN(MAX(1-(H552-1)/4,0),1)</f>
        <v/>
      </c>
      <c r="O552" s="2">
        <f>1-MIN(I552/8,1)</f>
        <v/>
      </c>
      <c r="P552" s="10">
        <f>ROUND(100*(J552*Assumptions!$B$6+K552*Assumptions!$B$7+L552*Assumptions!$B$8+M552*Assumptions!$B$9+N552*Assumptions!$B$10+O552*Assumptions!$B$11),1)</f>
        <v/>
      </c>
      <c r="Q552" s="2">
        <f>IF(P552&gt;=Assumptions!$B$14,"High",IF(P552&gt;=Assumptions!$B$15,"Medium","Low"))</f>
        <v/>
      </c>
      <c r="R552" s="2">
        <f>Cleaned_Data!L552</f>
        <v/>
      </c>
    </row>
    <row r="553">
      <c r="A553" s="2">
        <f>Cleaned_Data!A553</f>
        <v/>
      </c>
      <c r="B553" s="2">
        <f>Cleaned_Data!B553</f>
        <v/>
      </c>
      <c r="C553" s="2">
        <f>Cleaned_Data!G553</f>
        <v/>
      </c>
      <c r="D553" s="2">
        <f>Cleaned_Data!I553</f>
        <v/>
      </c>
      <c r="E553" s="2">
        <f>Cleaned_Data!H553</f>
        <v/>
      </c>
      <c r="F553" s="2">
        <f>Cleaned_Data!F553</f>
        <v/>
      </c>
      <c r="G553" s="9">
        <f>SUMPRODUCT(($B$2:$B$1196=B553)*($F$2:$F$1196&lt;=F553))/SUMPRODUCT(($B$2:$B$1196=B553)*1)</f>
        <v/>
      </c>
      <c r="H553" s="2">
        <f>Cleaned_Data!J553</f>
        <v/>
      </c>
      <c r="I553" s="2">
        <f>Cleaned_Data!E553</f>
        <v/>
      </c>
      <c r="J553" s="2">
        <f>IF(C553="Yes",1,0)</f>
        <v/>
      </c>
      <c r="K553" s="2">
        <f>MIN(MAX(1-(D553-1)/4,0),1)</f>
        <v/>
      </c>
      <c r="L553" s="2">
        <f>MIN(E553/60,1)</f>
        <v/>
      </c>
      <c r="M553" s="2">
        <f>MIN(MAX(1-G553,0),1)</f>
        <v/>
      </c>
      <c r="N553" s="2">
        <f>MIN(MAX(1-(H553-1)/4,0),1)</f>
        <v/>
      </c>
      <c r="O553" s="2">
        <f>1-MIN(I553/8,1)</f>
        <v/>
      </c>
      <c r="P553" s="10">
        <f>ROUND(100*(J553*Assumptions!$B$6+K553*Assumptions!$B$7+L553*Assumptions!$B$8+M553*Assumptions!$B$9+N553*Assumptions!$B$10+O553*Assumptions!$B$11),1)</f>
        <v/>
      </c>
      <c r="Q553" s="2">
        <f>IF(P553&gt;=Assumptions!$B$14,"High",IF(P553&gt;=Assumptions!$B$15,"Medium","Low"))</f>
        <v/>
      </c>
      <c r="R553" s="2">
        <f>Cleaned_Data!L553</f>
        <v/>
      </c>
    </row>
    <row r="554">
      <c r="A554" s="2">
        <f>Cleaned_Data!A554</f>
        <v/>
      </c>
      <c r="B554" s="2">
        <f>Cleaned_Data!B554</f>
        <v/>
      </c>
      <c r="C554" s="2">
        <f>Cleaned_Data!G554</f>
        <v/>
      </c>
      <c r="D554" s="2">
        <f>Cleaned_Data!I554</f>
        <v/>
      </c>
      <c r="E554" s="2">
        <f>Cleaned_Data!H554</f>
        <v/>
      </c>
      <c r="F554" s="2">
        <f>Cleaned_Data!F554</f>
        <v/>
      </c>
      <c r="G554" s="9">
        <f>SUMPRODUCT(($B$2:$B$1196=B554)*($F$2:$F$1196&lt;=F554))/SUMPRODUCT(($B$2:$B$1196=B554)*1)</f>
        <v/>
      </c>
      <c r="H554" s="2">
        <f>Cleaned_Data!J554</f>
        <v/>
      </c>
      <c r="I554" s="2">
        <f>Cleaned_Data!E554</f>
        <v/>
      </c>
      <c r="J554" s="2">
        <f>IF(C554="Yes",1,0)</f>
        <v/>
      </c>
      <c r="K554" s="2">
        <f>MIN(MAX(1-(D554-1)/4,0),1)</f>
        <v/>
      </c>
      <c r="L554" s="2">
        <f>MIN(E554/60,1)</f>
        <v/>
      </c>
      <c r="M554" s="2">
        <f>MIN(MAX(1-G554,0),1)</f>
        <v/>
      </c>
      <c r="N554" s="2">
        <f>MIN(MAX(1-(H554-1)/4,0),1)</f>
        <v/>
      </c>
      <c r="O554" s="2">
        <f>1-MIN(I554/8,1)</f>
        <v/>
      </c>
      <c r="P554" s="10">
        <f>ROUND(100*(J554*Assumptions!$B$6+K554*Assumptions!$B$7+L554*Assumptions!$B$8+M554*Assumptions!$B$9+N554*Assumptions!$B$10+O554*Assumptions!$B$11),1)</f>
        <v/>
      </c>
      <c r="Q554" s="2">
        <f>IF(P554&gt;=Assumptions!$B$14,"High",IF(P554&gt;=Assumptions!$B$15,"Medium","Low"))</f>
        <v/>
      </c>
      <c r="R554" s="2">
        <f>Cleaned_Data!L554</f>
        <v/>
      </c>
    </row>
    <row r="555">
      <c r="A555" s="2">
        <f>Cleaned_Data!A555</f>
        <v/>
      </c>
      <c r="B555" s="2">
        <f>Cleaned_Data!B555</f>
        <v/>
      </c>
      <c r="C555" s="2">
        <f>Cleaned_Data!G555</f>
        <v/>
      </c>
      <c r="D555" s="2">
        <f>Cleaned_Data!I555</f>
        <v/>
      </c>
      <c r="E555" s="2">
        <f>Cleaned_Data!H555</f>
        <v/>
      </c>
      <c r="F555" s="2">
        <f>Cleaned_Data!F555</f>
        <v/>
      </c>
      <c r="G555" s="9">
        <f>SUMPRODUCT(($B$2:$B$1196=B555)*($F$2:$F$1196&lt;=F555))/SUMPRODUCT(($B$2:$B$1196=B555)*1)</f>
        <v/>
      </c>
      <c r="H555" s="2">
        <f>Cleaned_Data!J555</f>
        <v/>
      </c>
      <c r="I555" s="2">
        <f>Cleaned_Data!E555</f>
        <v/>
      </c>
      <c r="J555" s="2">
        <f>IF(C555="Yes",1,0)</f>
        <v/>
      </c>
      <c r="K555" s="2">
        <f>MIN(MAX(1-(D555-1)/4,0),1)</f>
        <v/>
      </c>
      <c r="L555" s="2">
        <f>MIN(E555/60,1)</f>
        <v/>
      </c>
      <c r="M555" s="2">
        <f>MIN(MAX(1-G555,0),1)</f>
        <v/>
      </c>
      <c r="N555" s="2">
        <f>MIN(MAX(1-(H555-1)/4,0),1)</f>
        <v/>
      </c>
      <c r="O555" s="2">
        <f>1-MIN(I555/8,1)</f>
        <v/>
      </c>
      <c r="P555" s="10">
        <f>ROUND(100*(J555*Assumptions!$B$6+K555*Assumptions!$B$7+L555*Assumptions!$B$8+M555*Assumptions!$B$9+N555*Assumptions!$B$10+O555*Assumptions!$B$11),1)</f>
        <v/>
      </c>
      <c r="Q555" s="2">
        <f>IF(P555&gt;=Assumptions!$B$14,"High",IF(P555&gt;=Assumptions!$B$15,"Medium","Low"))</f>
        <v/>
      </c>
      <c r="R555" s="2">
        <f>Cleaned_Data!L555</f>
        <v/>
      </c>
    </row>
    <row r="556">
      <c r="A556" s="2">
        <f>Cleaned_Data!A556</f>
        <v/>
      </c>
      <c r="B556" s="2">
        <f>Cleaned_Data!B556</f>
        <v/>
      </c>
      <c r="C556" s="2">
        <f>Cleaned_Data!G556</f>
        <v/>
      </c>
      <c r="D556" s="2">
        <f>Cleaned_Data!I556</f>
        <v/>
      </c>
      <c r="E556" s="2">
        <f>Cleaned_Data!H556</f>
        <v/>
      </c>
      <c r="F556" s="2">
        <f>Cleaned_Data!F556</f>
        <v/>
      </c>
      <c r="G556" s="9">
        <f>SUMPRODUCT(($B$2:$B$1196=B556)*($F$2:$F$1196&lt;=F556))/SUMPRODUCT(($B$2:$B$1196=B556)*1)</f>
        <v/>
      </c>
      <c r="H556" s="2">
        <f>Cleaned_Data!J556</f>
        <v/>
      </c>
      <c r="I556" s="2">
        <f>Cleaned_Data!E556</f>
        <v/>
      </c>
      <c r="J556" s="2">
        <f>IF(C556="Yes",1,0)</f>
        <v/>
      </c>
      <c r="K556" s="2">
        <f>MIN(MAX(1-(D556-1)/4,0),1)</f>
        <v/>
      </c>
      <c r="L556" s="2">
        <f>MIN(E556/60,1)</f>
        <v/>
      </c>
      <c r="M556" s="2">
        <f>MIN(MAX(1-G556,0),1)</f>
        <v/>
      </c>
      <c r="N556" s="2">
        <f>MIN(MAX(1-(H556-1)/4,0),1)</f>
        <v/>
      </c>
      <c r="O556" s="2">
        <f>1-MIN(I556/8,1)</f>
        <v/>
      </c>
      <c r="P556" s="10">
        <f>ROUND(100*(J556*Assumptions!$B$6+K556*Assumptions!$B$7+L556*Assumptions!$B$8+M556*Assumptions!$B$9+N556*Assumptions!$B$10+O556*Assumptions!$B$11),1)</f>
        <v/>
      </c>
      <c r="Q556" s="2">
        <f>IF(P556&gt;=Assumptions!$B$14,"High",IF(P556&gt;=Assumptions!$B$15,"Medium","Low"))</f>
        <v/>
      </c>
      <c r="R556" s="2">
        <f>Cleaned_Data!L556</f>
        <v/>
      </c>
    </row>
    <row r="557">
      <c r="A557" s="2">
        <f>Cleaned_Data!A557</f>
        <v/>
      </c>
      <c r="B557" s="2">
        <f>Cleaned_Data!B557</f>
        <v/>
      </c>
      <c r="C557" s="2">
        <f>Cleaned_Data!G557</f>
        <v/>
      </c>
      <c r="D557" s="2">
        <f>Cleaned_Data!I557</f>
        <v/>
      </c>
      <c r="E557" s="2">
        <f>Cleaned_Data!H557</f>
        <v/>
      </c>
      <c r="F557" s="2">
        <f>Cleaned_Data!F557</f>
        <v/>
      </c>
      <c r="G557" s="9">
        <f>SUMPRODUCT(($B$2:$B$1196=B557)*($F$2:$F$1196&lt;=F557))/SUMPRODUCT(($B$2:$B$1196=B557)*1)</f>
        <v/>
      </c>
      <c r="H557" s="2">
        <f>Cleaned_Data!J557</f>
        <v/>
      </c>
      <c r="I557" s="2">
        <f>Cleaned_Data!E557</f>
        <v/>
      </c>
      <c r="J557" s="2">
        <f>IF(C557="Yes",1,0)</f>
        <v/>
      </c>
      <c r="K557" s="2">
        <f>MIN(MAX(1-(D557-1)/4,0),1)</f>
        <v/>
      </c>
      <c r="L557" s="2">
        <f>MIN(E557/60,1)</f>
        <v/>
      </c>
      <c r="M557" s="2">
        <f>MIN(MAX(1-G557,0),1)</f>
        <v/>
      </c>
      <c r="N557" s="2">
        <f>MIN(MAX(1-(H557-1)/4,0),1)</f>
        <v/>
      </c>
      <c r="O557" s="2">
        <f>1-MIN(I557/8,1)</f>
        <v/>
      </c>
      <c r="P557" s="10">
        <f>ROUND(100*(J557*Assumptions!$B$6+K557*Assumptions!$B$7+L557*Assumptions!$B$8+M557*Assumptions!$B$9+N557*Assumptions!$B$10+O557*Assumptions!$B$11),1)</f>
        <v/>
      </c>
      <c r="Q557" s="2">
        <f>IF(P557&gt;=Assumptions!$B$14,"High",IF(P557&gt;=Assumptions!$B$15,"Medium","Low"))</f>
        <v/>
      </c>
      <c r="R557" s="2">
        <f>Cleaned_Data!L557</f>
        <v/>
      </c>
    </row>
    <row r="558">
      <c r="A558" s="2">
        <f>Cleaned_Data!A558</f>
        <v/>
      </c>
      <c r="B558" s="2">
        <f>Cleaned_Data!B558</f>
        <v/>
      </c>
      <c r="C558" s="2">
        <f>Cleaned_Data!G558</f>
        <v/>
      </c>
      <c r="D558" s="2">
        <f>Cleaned_Data!I558</f>
        <v/>
      </c>
      <c r="E558" s="2">
        <f>Cleaned_Data!H558</f>
        <v/>
      </c>
      <c r="F558" s="2">
        <f>Cleaned_Data!F558</f>
        <v/>
      </c>
      <c r="G558" s="9">
        <f>SUMPRODUCT(($B$2:$B$1196=B558)*($F$2:$F$1196&lt;=F558))/SUMPRODUCT(($B$2:$B$1196=B558)*1)</f>
        <v/>
      </c>
      <c r="H558" s="2">
        <f>Cleaned_Data!J558</f>
        <v/>
      </c>
      <c r="I558" s="2">
        <f>Cleaned_Data!E558</f>
        <v/>
      </c>
      <c r="J558" s="2">
        <f>IF(C558="Yes",1,0)</f>
        <v/>
      </c>
      <c r="K558" s="2">
        <f>MIN(MAX(1-(D558-1)/4,0),1)</f>
        <v/>
      </c>
      <c r="L558" s="2">
        <f>MIN(E558/60,1)</f>
        <v/>
      </c>
      <c r="M558" s="2">
        <f>MIN(MAX(1-G558,0),1)</f>
        <v/>
      </c>
      <c r="N558" s="2">
        <f>MIN(MAX(1-(H558-1)/4,0),1)</f>
        <v/>
      </c>
      <c r="O558" s="2">
        <f>1-MIN(I558/8,1)</f>
        <v/>
      </c>
      <c r="P558" s="10">
        <f>ROUND(100*(J558*Assumptions!$B$6+K558*Assumptions!$B$7+L558*Assumptions!$B$8+M558*Assumptions!$B$9+N558*Assumptions!$B$10+O558*Assumptions!$B$11),1)</f>
        <v/>
      </c>
      <c r="Q558" s="2">
        <f>IF(P558&gt;=Assumptions!$B$14,"High",IF(P558&gt;=Assumptions!$B$15,"Medium","Low"))</f>
        <v/>
      </c>
      <c r="R558" s="2">
        <f>Cleaned_Data!L558</f>
        <v/>
      </c>
    </row>
    <row r="559">
      <c r="A559" s="2">
        <f>Cleaned_Data!A559</f>
        <v/>
      </c>
      <c r="B559" s="2">
        <f>Cleaned_Data!B559</f>
        <v/>
      </c>
      <c r="C559" s="2">
        <f>Cleaned_Data!G559</f>
        <v/>
      </c>
      <c r="D559" s="2">
        <f>Cleaned_Data!I559</f>
        <v/>
      </c>
      <c r="E559" s="2">
        <f>Cleaned_Data!H559</f>
        <v/>
      </c>
      <c r="F559" s="2">
        <f>Cleaned_Data!F559</f>
        <v/>
      </c>
      <c r="G559" s="9">
        <f>SUMPRODUCT(($B$2:$B$1196=B559)*($F$2:$F$1196&lt;=F559))/SUMPRODUCT(($B$2:$B$1196=B559)*1)</f>
        <v/>
      </c>
      <c r="H559" s="2">
        <f>Cleaned_Data!J559</f>
        <v/>
      </c>
      <c r="I559" s="2">
        <f>Cleaned_Data!E559</f>
        <v/>
      </c>
      <c r="J559" s="2">
        <f>IF(C559="Yes",1,0)</f>
        <v/>
      </c>
      <c r="K559" s="2">
        <f>MIN(MAX(1-(D559-1)/4,0),1)</f>
        <v/>
      </c>
      <c r="L559" s="2">
        <f>MIN(E559/60,1)</f>
        <v/>
      </c>
      <c r="M559" s="2">
        <f>MIN(MAX(1-G559,0),1)</f>
        <v/>
      </c>
      <c r="N559" s="2">
        <f>MIN(MAX(1-(H559-1)/4,0),1)</f>
        <v/>
      </c>
      <c r="O559" s="2">
        <f>1-MIN(I559/8,1)</f>
        <v/>
      </c>
      <c r="P559" s="10">
        <f>ROUND(100*(J559*Assumptions!$B$6+K559*Assumptions!$B$7+L559*Assumptions!$B$8+M559*Assumptions!$B$9+N559*Assumptions!$B$10+O559*Assumptions!$B$11),1)</f>
        <v/>
      </c>
      <c r="Q559" s="2">
        <f>IF(P559&gt;=Assumptions!$B$14,"High",IF(P559&gt;=Assumptions!$B$15,"Medium","Low"))</f>
        <v/>
      </c>
      <c r="R559" s="2">
        <f>Cleaned_Data!L559</f>
        <v/>
      </c>
    </row>
    <row r="560">
      <c r="A560" s="2">
        <f>Cleaned_Data!A560</f>
        <v/>
      </c>
      <c r="B560" s="2">
        <f>Cleaned_Data!B560</f>
        <v/>
      </c>
      <c r="C560" s="2">
        <f>Cleaned_Data!G560</f>
        <v/>
      </c>
      <c r="D560" s="2">
        <f>Cleaned_Data!I560</f>
        <v/>
      </c>
      <c r="E560" s="2">
        <f>Cleaned_Data!H560</f>
        <v/>
      </c>
      <c r="F560" s="2">
        <f>Cleaned_Data!F560</f>
        <v/>
      </c>
      <c r="G560" s="9">
        <f>SUMPRODUCT(($B$2:$B$1196=B560)*($F$2:$F$1196&lt;=F560))/SUMPRODUCT(($B$2:$B$1196=B560)*1)</f>
        <v/>
      </c>
      <c r="H560" s="2">
        <f>Cleaned_Data!J560</f>
        <v/>
      </c>
      <c r="I560" s="2">
        <f>Cleaned_Data!E560</f>
        <v/>
      </c>
      <c r="J560" s="2">
        <f>IF(C560="Yes",1,0)</f>
        <v/>
      </c>
      <c r="K560" s="2">
        <f>MIN(MAX(1-(D560-1)/4,0),1)</f>
        <v/>
      </c>
      <c r="L560" s="2">
        <f>MIN(E560/60,1)</f>
        <v/>
      </c>
      <c r="M560" s="2">
        <f>MIN(MAX(1-G560,0),1)</f>
        <v/>
      </c>
      <c r="N560" s="2">
        <f>MIN(MAX(1-(H560-1)/4,0),1)</f>
        <v/>
      </c>
      <c r="O560" s="2">
        <f>1-MIN(I560/8,1)</f>
        <v/>
      </c>
      <c r="P560" s="10">
        <f>ROUND(100*(J560*Assumptions!$B$6+K560*Assumptions!$B$7+L560*Assumptions!$B$8+M560*Assumptions!$B$9+N560*Assumptions!$B$10+O560*Assumptions!$B$11),1)</f>
        <v/>
      </c>
      <c r="Q560" s="2">
        <f>IF(P560&gt;=Assumptions!$B$14,"High",IF(P560&gt;=Assumptions!$B$15,"Medium","Low"))</f>
        <v/>
      </c>
      <c r="R560" s="2">
        <f>Cleaned_Data!L560</f>
        <v/>
      </c>
    </row>
    <row r="561">
      <c r="A561" s="2">
        <f>Cleaned_Data!A561</f>
        <v/>
      </c>
      <c r="B561" s="2">
        <f>Cleaned_Data!B561</f>
        <v/>
      </c>
      <c r="C561" s="2">
        <f>Cleaned_Data!G561</f>
        <v/>
      </c>
      <c r="D561" s="2">
        <f>Cleaned_Data!I561</f>
        <v/>
      </c>
      <c r="E561" s="2">
        <f>Cleaned_Data!H561</f>
        <v/>
      </c>
      <c r="F561" s="2">
        <f>Cleaned_Data!F561</f>
        <v/>
      </c>
      <c r="G561" s="9">
        <f>SUMPRODUCT(($B$2:$B$1196=B561)*($F$2:$F$1196&lt;=F561))/SUMPRODUCT(($B$2:$B$1196=B561)*1)</f>
        <v/>
      </c>
      <c r="H561" s="2">
        <f>Cleaned_Data!J561</f>
        <v/>
      </c>
      <c r="I561" s="2">
        <f>Cleaned_Data!E561</f>
        <v/>
      </c>
      <c r="J561" s="2">
        <f>IF(C561="Yes",1,0)</f>
        <v/>
      </c>
      <c r="K561" s="2">
        <f>MIN(MAX(1-(D561-1)/4,0),1)</f>
        <v/>
      </c>
      <c r="L561" s="2">
        <f>MIN(E561/60,1)</f>
        <v/>
      </c>
      <c r="M561" s="2">
        <f>MIN(MAX(1-G561,0),1)</f>
        <v/>
      </c>
      <c r="N561" s="2">
        <f>MIN(MAX(1-(H561-1)/4,0),1)</f>
        <v/>
      </c>
      <c r="O561" s="2">
        <f>1-MIN(I561/8,1)</f>
        <v/>
      </c>
      <c r="P561" s="10">
        <f>ROUND(100*(J561*Assumptions!$B$6+K561*Assumptions!$B$7+L561*Assumptions!$B$8+M561*Assumptions!$B$9+N561*Assumptions!$B$10+O561*Assumptions!$B$11),1)</f>
        <v/>
      </c>
      <c r="Q561" s="2">
        <f>IF(P561&gt;=Assumptions!$B$14,"High",IF(P561&gt;=Assumptions!$B$15,"Medium","Low"))</f>
        <v/>
      </c>
      <c r="R561" s="2">
        <f>Cleaned_Data!L561</f>
        <v/>
      </c>
    </row>
    <row r="562">
      <c r="A562" s="2">
        <f>Cleaned_Data!A562</f>
        <v/>
      </c>
      <c r="B562" s="2">
        <f>Cleaned_Data!B562</f>
        <v/>
      </c>
      <c r="C562" s="2">
        <f>Cleaned_Data!G562</f>
        <v/>
      </c>
      <c r="D562" s="2">
        <f>Cleaned_Data!I562</f>
        <v/>
      </c>
      <c r="E562" s="2">
        <f>Cleaned_Data!H562</f>
        <v/>
      </c>
      <c r="F562" s="2">
        <f>Cleaned_Data!F562</f>
        <v/>
      </c>
      <c r="G562" s="9">
        <f>SUMPRODUCT(($B$2:$B$1196=B562)*($F$2:$F$1196&lt;=F562))/SUMPRODUCT(($B$2:$B$1196=B562)*1)</f>
        <v/>
      </c>
      <c r="H562" s="2">
        <f>Cleaned_Data!J562</f>
        <v/>
      </c>
      <c r="I562" s="2">
        <f>Cleaned_Data!E562</f>
        <v/>
      </c>
      <c r="J562" s="2">
        <f>IF(C562="Yes",1,0)</f>
        <v/>
      </c>
      <c r="K562" s="2">
        <f>MIN(MAX(1-(D562-1)/4,0),1)</f>
        <v/>
      </c>
      <c r="L562" s="2">
        <f>MIN(E562/60,1)</f>
        <v/>
      </c>
      <c r="M562" s="2">
        <f>MIN(MAX(1-G562,0),1)</f>
        <v/>
      </c>
      <c r="N562" s="2">
        <f>MIN(MAX(1-(H562-1)/4,0),1)</f>
        <v/>
      </c>
      <c r="O562" s="2">
        <f>1-MIN(I562/8,1)</f>
        <v/>
      </c>
      <c r="P562" s="10">
        <f>ROUND(100*(J562*Assumptions!$B$6+K562*Assumptions!$B$7+L562*Assumptions!$B$8+M562*Assumptions!$B$9+N562*Assumptions!$B$10+O562*Assumptions!$B$11),1)</f>
        <v/>
      </c>
      <c r="Q562" s="2">
        <f>IF(P562&gt;=Assumptions!$B$14,"High",IF(P562&gt;=Assumptions!$B$15,"Medium","Low"))</f>
        <v/>
      </c>
      <c r="R562" s="2">
        <f>Cleaned_Data!L562</f>
        <v/>
      </c>
    </row>
    <row r="563">
      <c r="A563" s="2">
        <f>Cleaned_Data!A563</f>
        <v/>
      </c>
      <c r="B563" s="2">
        <f>Cleaned_Data!B563</f>
        <v/>
      </c>
      <c r="C563" s="2">
        <f>Cleaned_Data!G563</f>
        <v/>
      </c>
      <c r="D563" s="2">
        <f>Cleaned_Data!I563</f>
        <v/>
      </c>
      <c r="E563" s="2">
        <f>Cleaned_Data!H563</f>
        <v/>
      </c>
      <c r="F563" s="2">
        <f>Cleaned_Data!F563</f>
        <v/>
      </c>
      <c r="G563" s="9">
        <f>SUMPRODUCT(($B$2:$B$1196=B563)*($F$2:$F$1196&lt;=F563))/SUMPRODUCT(($B$2:$B$1196=B563)*1)</f>
        <v/>
      </c>
      <c r="H563" s="2">
        <f>Cleaned_Data!J563</f>
        <v/>
      </c>
      <c r="I563" s="2">
        <f>Cleaned_Data!E563</f>
        <v/>
      </c>
      <c r="J563" s="2">
        <f>IF(C563="Yes",1,0)</f>
        <v/>
      </c>
      <c r="K563" s="2">
        <f>MIN(MAX(1-(D563-1)/4,0),1)</f>
        <v/>
      </c>
      <c r="L563" s="2">
        <f>MIN(E563/60,1)</f>
        <v/>
      </c>
      <c r="M563" s="2">
        <f>MIN(MAX(1-G563,0),1)</f>
        <v/>
      </c>
      <c r="N563" s="2">
        <f>MIN(MAX(1-(H563-1)/4,0),1)</f>
        <v/>
      </c>
      <c r="O563" s="2">
        <f>1-MIN(I563/8,1)</f>
        <v/>
      </c>
      <c r="P563" s="10">
        <f>ROUND(100*(J563*Assumptions!$B$6+K563*Assumptions!$B$7+L563*Assumptions!$B$8+M563*Assumptions!$B$9+N563*Assumptions!$B$10+O563*Assumptions!$B$11),1)</f>
        <v/>
      </c>
      <c r="Q563" s="2">
        <f>IF(P563&gt;=Assumptions!$B$14,"High",IF(P563&gt;=Assumptions!$B$15,"Medium","Low"))</f>
        <v/>
      </c>
      <c r="R563" s="2">
        <f>Cleaned_Data!L563</f>
        <v/>
      </c>
    </row>
    <row r="564">
      <c r="A564" s="2">
        <f>Cleaned_Data!A564</f>
        <v/>
      </c>
      <c r="B564" s="2">
        <f>Cleaned_Data!B564</f>
        <v/>
      </c>
      <c r="C564" s="2">
        <f>Cleaned_Data!G564</f>
        <v/>
      </c>
      <c r="D564" s="2">
        <f>Cleaned_Data!I564</f>
        <v/>
      </c>
      <c r="E564" s="2">
        <f>Cleaned_Data!H564</f>
        <v/>
      </c>
      <c r="F564" s="2">
        <f>Cleaned_Data!F564</f>
        <v/>
      </c>
      <c r="G564" s="9">
        <f>SUMPRODUCT(($B$2:$B$1196=B564)*($F$2:$F$1196&lt;=F564))/SUMPRODUCT(($B$2:$B$1196=B564)*1)</f>
        <v/>
      </c>
      <c r="H564" s="2">
        <f>Cleaned_Data!J564</f>
        <v/>
      </c>
      <c r="I564" s="2">
        <f>Cleaned_Data!E564</f>
        <v/>
      </c>
      <c r="J564" s="2">
        <f>IF(C564="Yes",1,0)</f>
        <v/>
      </c>
      <c r="K564" s="2">
        <f>MIN(MAX(1-(D564-1)/4,0),1)</f>
        <v/>
      </c>
      <c r="L564" s="2">
        <f>MIN(E564/60,1)</f>
        <v/>
      </c>
      <c r="M564" s="2">
        <f>MIN(MAX(1-G564,0),1)</f>
        <v/>
      </c>
      <c r="N564" s="2">
        <f>MIN(MAX(1-(H564-1)/4,0),1)</f>
        <v/>
      </c>
      <c r="O564" s="2">
        <f>1-MIN(I564/8,1)</f>
        <v/>
      </c>
      <c r="P564" s="10">
        <f>ROUND(100*(J564*Assumptions!$B$6+K564*Assumptions!$B$7+L564*Assumptions!$B$8+M564*Assumptions!$B$9+N564*Assumptions!$B$10+O564*Assumptions!$B$11),1)</f>
        <v/>
      </c>
      <c r="Q564" s="2">
        <f>IF(P564&gt;=Assumptions!$B$14,"High",IF(P564&gt;=Assumptions!$B$15,"Medium","Low"))</f>
        <v/>
      </c>
      <c r="R564" s="2">
        <f>Cleaned_Data!L564</f>
        <v/>
      </c>
    </row>
    <row r="565">
      <c r="A565" s="2">
        <f>Cleaned_Data!A565</f>
        <v/>
      </c>
      <c r="B565" s="2">
        <f>Cleaned_Data!B565</f>
        <v/>
      </c>
      <c r="C565" s="2">
        <f>Cleaned_Data!G565</f>
        <v/>
      </c>
      <c r="D565" s="2">
        <f>Cleaned_Data!I565</f>
        <v/>
      </c>
      <c r="E565" s="2">
        <f>Cleaned_Data!H565</f>
        <v/>
      </c>
      <c r="F565" s="2">
        <f>Cleaned_Data!F565</f>
        <v/>
      </c>
      <c r="G565" s="9">
        <f>SUMPRODUCT(($B$2:$B$1196=B565)*($F$2:$F$1196&lt;=F565))/SUMPRODUCT(($B$2:$B$1196=B565)*1)</f>
        <v/>
      </c>
      <c r="H565" s="2">
        <f>Cleaned_Data!J565</f>
        <v/>
      </c>
      <c r="I565" s="2">
        <f>Cleaned_Data!E565</f>
        <v/>
      </c>
      <c r="J565" s="2">
        <f>IF(C565="Yes",1,0)</f>
        <v/>
      </c>
      <c r="K565" s="2">
        <f>MIN(MAX(1-(D565-1)/4,0),1)</f>
        <v/>
      </c>
      <c r="L565" s="2">
        <f>MIN(E565/60,1)</f>
        <v/>
      </c>
      <c r="M565" s="2">
        <f>MIN(MAX(1-G565,0),1)</f>
        <v/>
      </c>
      <c r="N565" s="2">
        <f>MIN(MAX(1-(H565-1)/4,0),1)</f>
        <v/>
      </c>
      <c r="O565" s="2">
        <f>1-MIN(I565/8,1)</f>
        <v/>
      </c>
      <c r="P565" s="10">
        <f>ROUND(100*(J565*Assumptions!$B$6+K565*Assumptions!$B$7+L565*Assumptions!$B$8+M565*Assumptions!$B$9+N565*Assumptions!$B$10+O565*Assumptions!$B$11),1)</f>
        <v/>
      </c>
      <c r="Q565" s="2">
        <f>IF(P565&gt;=Assumptions!$B$14,"High",IF(P565&gt;=Assumptions!$B$15,"Medium","Low"))</f>
        <v/>
      </c>
      <c r="R565" s="2">
        <f>Cleaned_Data!L565</f>
        <v/>
      </c>
    </row>
    <row r="566">
      <c r="A566" s="2">
        <f>Cleaned_Data!A566</f>
        <v/>
      </c>
      <c r="B566" s="2">
        <f>Cleaned_Data!B566</f>
        <v/>
      </c>
      <c r="C566" s="2">
        <f>Cleaned_Data!G566</f>
        <v/>
      </c>
      <c r="D566" s="2">
        <f>Cleaned_Data!I566</f>
        <v/>
      </c>
      <c r="E566" s="2">
        <f>Cleaned_Data!H566</f>
        <v/>
      </c>
      <c r="F566" s="2">
        <f>Cleaned_Data!F566</f>
        <v/>
      </c>
      <c r="G566" s="9">
        <f>SUMPRODUCT(($B$2:$B$1196=B566)*($F$2:$F$1196&lt;=F566))/SUMPRODUCT(($B$2:$B$1196=B566)*1)</f>
        <v/>
      </c>
      <c r="H566" s="2">
        <f>Cleaned_Data!J566</f>
        <v/>
      </c>
      <c r="I566" s="2">
        <f>Cleaned_Data!E566</f>
        <v/>
      </c>
      <c r="J566" s="2">
        <f>IF(C566="Yes",1,0)</f>
        <v/>
      </c>
      <c r="K566" s="2">
        <f>MIN(MAX(1-(D566-1)/4,0),1)</f>
        <v/>
      </c>
      <c r="L566" s="2">
        <f>MIN(E566/60,1)</f>
        <v/>
      </c>
      <c r="M566" s="2">
        <f>MIN(MAX(1-G566,0),1)</f>
        <v/>
      </c>
      <c r="N566" s="2">
        <f>MIN(MAX(1-(H566-1)/4,0),1)</f>
        <v/>
      </c>
      <c r="O566" s="2">
        <f>1-MIN(I566/8,1)</f>
        <v/>
      </c>
      <c r="P566" s="10">
        <f>ROUND(100*(J566*Assumptions!$B$6+K566*Assumptions!$B$7+L566*Assumptions!$B$8+M566*Assumptions!$B$9+N566*Assumptions!$B$10+O566*Assumptions!$B$11),1)</f>
        <v/>
      </c>
      <c r="Q566" s="2">
        <f>IF(P566&gt;=Assumptions!$B$14,"High",IF(P566&gt;=Assumptions!$B$15,"Medium","Low"))</f>
        <v/>
      </c>
      <c r="R566" s="2">
        <f>Cleaned_Data!L566</f>
        <v/>
      </c>
    </row>
    <row r="567">
      <c r="A567" s="2">
        <f>Cleaned_Data!A567</f>
        <v/>
      </c>
      <c r="B567" s="2">
        <f>Cleaned_Data!B567</f>
        <v/>
      </c>
      <c r="C567" s="2">
        <f>Cleaned_Data!G567</f>
        <v/>
      </c>
      <c r="D567" s="2">
        <f>Cleaned_Data!I567</f>
        <v/>
      </c>
      <c r="E567" s="2">
        <f>Cleaned_Data!H567</f>
        <v/>
      </c>
      <c r="F567" s="2">
        <f>Cleaned_Data!F567</f>
        <v/>
      </c>
      <c r="G567" s="9">
        <f>SUMPRODUCT(($B$2:$B$1196=B567)*($F$2:$F$1196&lt;=F567))/SUMPRODUCT(($B$2:$B$1196=B567)*1)</f>
        <v/>
      </c>
      <c r="H567" s="2">
        <f>Cleaned_Data!J567</f>
        <v/>
      </c>
      <c r="I567" s="2">
        <f>Cleaned_Data!E567</f>
        <v/>
      </c>
      <c r="J567" s="2">
        <f>IF(C567="Yes",1,0)</f>
        <v/>
      </c>
      <c r="K567" s="2">
        <f>MIN(MAX(1-(D567-1)/4,0),1)</f>
        <v/>
      </c>
      <c r="L567" s="2">
        <f>MIN(E567/60,1)</f>
        <v/>
      </c>
      <c r="M567" s="2">
        <f>MIN(MAX(1-G567,0),1)</f>
        <v/>
      </c>
      <c r="N567" s="2">
        <f>MIN(MAX(1-(H567-1)/4,0),1)</f>
        <v/>
      </c>
      <c r="O567" s="2">
        <f>1-MIN(I567/8,1)</f>
        <v/>
      </c>
      <c r="P567" s="10">
        <f>ROUND(100*(J567*Assumptions!$B$6+K567*Assumptions!$B$7+L567*Assumptions!$B$8+M567*Assumptions!$B$9+N567*Assumptions!$B$10+O567*Assumptions!$B$11),1)</f>
        <v/>
      </c>
      <c r="Q567" s="2">
        <f>IF(P567&gt;=Assumptions!$B$14,"High",IF(P567&gt;=Assumptions!$B$15,"Medium","Low"))</f>
        <v/>
      </c>
      <c r="R567" s="2">
        <f>Cleaned_Data!L567</f>
        <v/>
      </c>
    </row>
    <row r="568">
      <c r="A568" s="2">
        <f>Cleaned_Data!A568</f>
        <v/>
      </c>
      <c r="B568" s="2">
        <f>Cleaned_Data!B568</f>
        <v/>
      </c>
      <c r="C568" s="2">
        <f>Cleaned_Data!G568</f>
        <v/>
      </c>
      <c r="D568" s="2">
        <f>Cleaned_Data!I568</f>
        <v/>
      </c>
      <c r="E568" s="2">
        <f>Cleaned_Data!H568</f>
        <v/>
      </c>
      <c r="F568" s="2">
        <f>Cleaned_Data!F568</f>
        <v/>
      </c>
      <c r="G568" s="9">
        <f>SUMPRODUCT(($B$2:$B$1196=B568)*($F$2:$F$1196&lt;=F568))/SUMPRODUCT(($B$2:$B$1196=B568)*1)</f>
        <v/>
      </c>
      <c r="H568" s="2">
        <f>Cleaned_Data!J568</f>
        <v/>
      </c>
      <c r="I568" s="2">
        <f>Cleaned_Data!E568</f>
        <v/>
      </c>
      <c r="J568" s="2">
        <f>IF(C568="Yes",1,0)</f>
        <v/>
      </c>
      <c r="K568" s="2">
        <f>MIN(MAX(1-(D568-1)/4,0),1)</f>
        <v/>
      </c>
      <c r="L568" s="2">
        <f>MIN(E568/60,1)</f>
        <v/>
      </c>
      <c r="M568" s="2">
        <f>MIN(MAX(1-G568,0),1)</f>
        <v/>
      </c>
      <c r="N568" s="2">
        <f>MIN(MAX(1-(H568-1)/4,0),1)</f>
        <v/>
      </c>
      <c r="O568" s="2">
        <f>1-MIN(I568/8,1)</f>
        <v/>
      </c>
      <c r="P568" s="10">
        <f>ROUND(100*(J568*Assumptions!$B$6+K568*Assumptions!$B$7+L568*Assumptions!$B$8+M568*Assumptions!$B$9+N568*Assumptions!$B$10+O568*Assumptions!$B$11),1)</f>
        <v/>
      </c>
      <c r="Q568" s="2">
        <f>IF(P568&gt;=Assumptions!$B$14,"High",IF(P568&gt;=Assumptions!$B$15,"Medium","Low"))</f>
        <v/>
      </c>
      <c r="R568" s="2">
        <f>Cleaned_Data!L568</f>
        <v/>
      </c>
    </row>
    <row r="569">
      <c r="A569" s="2">
        <f>Cleaned_Data!A569</f>
        <v/>
      </c>
      <c r="B569" s="2">
        <f>Cleaned_Data!B569</f>
        <v/>
      </c>
      <c r="C569" s="2">
        <f>Cleaned_Data!G569</f>
        <v/>
      </c>
      <c r="D569" s="2">
        <f>Cleaned_Data!I569</f>
        <v/>
      </c>
      <c r="E569" s="2">
        <f>Cleaned_Data!H569</f>
        <v/>
      </c>
      <c r="F569" s="2">
        <f>Cleaned_Data!F569</f>
        <v/>
      </c>
      <c r="G569" s="9">
        <f>SUMPRODUCT(($B$2:$B$1196=B569)*($F$2:$F$1196&lt;=F569))/SUMPRODUCT(($B$2:$B$1196=B569)*1)</f>
        <v/>
      </c>
      <c r="H569" s="2">
        <f>Cleaned_Data!J569</f>
        <v/>
      </c>
      <c r="I569" s="2">
        <f>Cleaned_Data!E569</f>
        <v/>
      </c>
      <c r="J569" s="2">
        <f>IF(C569="Yes",1,0)</f>
        <v/>
      </c>
      <c r="K569" s="2">
        <f>MIN(MAX(1-(D569-1)/4,0),1)</f>
        <v/>
      </c>
      <c r="L569" s="2">
        <f>MIN(E569/60,1)</f>
        <v/>
      </c>
      <c r="M569" s="2">
        <f>MIN(MAX(1-G569,0),1)</f>
        <v/>
      </c>
      <c r="N569" s="2">
        <f>MIN(MAX(1-(H569-1)/4,0),1)</f>
        <v/>
      </c>
      <c r="O569" s="2">
        <f>1-MIN(I569/8,1)</f>
        <v/>
      </c>
      <c r="P569" s="10">
        <f>ROUND(100*(J569*Assumptions!$B$6+K569*Assumptions!$B$7+L569*Assumptions!$B$8+M569*Assumptions!$B$9+N569*Assumptions!$B$10+O569*Assumptions!$B$11),1)</f>
        <v/>
      </c>
      <c r="Q569" s="2">
        <f>IF(P569&gt;=Assumptions!$B$14,"High",IF(P569&gt;=Assumptions!$B$15,"Medium","Low"))</f>
        <v/>
      </c>
      <c r="R569" s="2">
        <f>Cleaned_Data!L569</f>
        <v/>
      </c>
    </row>
    <row r="570">
      <c r="A570" s="2">
        <f>Cleaned_Data!A570</f>
        <v/>
      </c>
      <c r="B570" s="2">
        <f>Cleaned_Data!B570</f>
        <v/>
      </c>
      <c r="C570" s="2">
        <f>Cleaned_Data!G570</f>
        <v/>
      </c>
      <c r="D570" s="2">
        <f>Cleaned_Data!I570</f>
        <v/>
      </c>
      <c r="E570" s="2">
        <f>Cleaned_Data!H570</f>
        <v/>
      </c>
      <c r="F570" s="2">
        <f>Cleaned_Data!F570</f>
        <v/>
      </c>
      <c r="G570" s="9">
        <f>SUMPRODUCT(($B$2:$B$1196=B570)*($F$2:$F$1196&lt;=F570))/SUMPRODUCT(($B$2:$B$1196=B570)*1)</f>
        <v/>
      </c>
      <c r="H570" s="2">
        <f>Cleaned_Data!J570</f>
        <v/>
      </c>
      <c r="I570" s="2">
        <f>Cleaned_Data!E570</f>
        <v/>
      </c>
      <c r="J570" s="2">
        <f>IF(C570="Yes",1,0)</f>
        <v/>
      </c>
      <c r="K570" s="2">
        <f>MIN(MAX(1-(D570-1)/4,0),1)</f>
        <v/>
      </c>
      <c r="L570" s="2">
        <f>MIN(E570/60,1)</f>
        <v/>
      </c>
      <c r="M570" s="2">
        <f>MIN(MAX(1-G570,0),1)</f>
        <v/>
      </c>
      <c r="N570" s="2">
        <f>MIN(MAX(1-(H570-1)/4,0),1)</f>
        <v/>
      </c>
      <c r="O570" s="2">
        <f>1-MIN(I570/8,1)</f>
        <v/>
      </c>
      <c r="P570" s="10">
        <f>ROUND(100*(J570*Assumptions!$B$6+K570*Assumptions!$B$7+L570*Assumptions!$B$8+M570*Assumptions!$B$9+N570*Assumptions!$B$10+O570*Assumptions!$B$11),1)</f>
        <v/>
      </c>
      <c r="Q570" s="2">
        <f>IF(P570&gt;=Assumptions!$B$14,"High",IF(P570&gt;=Assumptions!$B$15,"Medium","Low"))</f>
        <v/>
      </c>
      <c r="R570" s="2">
        <f>Cleaned_Data!L570</f>
        <v/>
      </c>
    </row>
    <row r="571">
      <c r="A571" s="2">
        <f>Cleaned_Data!A571</f>
        <v/>
      </c>
      <c r="B571" s="2">
        <f>Cleaned_Data!B571</f>
        <v/>
      </c>
      <c r="C571" s="2">
        <f>Cleaned_Data!G571</f>
        <v/>
      </c>
      <c r="D571" s="2">
        <f>Cleaned_Data!I571</f>
        <v/>
      </c>
      <c r="E571" s="2">
        <f>Cleaned_Data!H571</f>
        <v/>
      </c>
      <c r="F571" s="2">
        <f>Cleaned_Data!F571</f>
        <v/>
      </c>
      <c r="G571" s="9">
        <f>SUMPRODUCT(($B$2:$B$1196=B571)*($F$2:$F$1196&lt;=F571))/SUMPRODUCT(($B$2:$B$1196=B571)*1)</f>
        <v/>
      </c>
      <c r="H571" s="2">
        <f>Cleaned_Data!J571</f>
        <v/>
      </c>
      <c r="I571" s="2">
        <f>Cleaned_Data!E571</f>
        <v/>
      </c>
      <c r="J571" s="2">
        <f>IF(C571="Yes",1,0)</f>
        <v/>
      </c>
      <c r="K571" s="2">
        <f>MIN(MAX(1-(D571-1)/4,0),1)</f>
        <v/>
      </c>
      <c r="L571" s="2">
        <f>MIN(E571/60,1)</f>
        <v/>
      </c>
      <c r="M571" s="2">
        <f>MIN(MAX(1-G571,0),1)</f>
        <v/>
      </c>
      <c r="N571" s="2">
        <f>MIN(MAX(1-(H571-1)/4,0),1)</f>
        <v/>
      </c>
      <c r="O571" s="2">
        <f>1-MIN(I571/8,1)</f>
        <v/>
      </c>
      <c r="P571" s="10">
        <f>ROUND(100*(J571*Assumptions!$B$6+K571*Assumptions!$B$7+L571*Assumptions!$B$8+M571*Assumptions!$B$9+N571*Assumptions!$B$10+O571*Assumptions!$B$11),1)</f>
        <v/>
      </c>
      <c r="Q571" s="2">
        <f>IF(P571&gt;=Assumptions!$B$14,"High",IF(P571&gt;=Assumptions!$B$15,"Medium","Low"))</f>
        <v/>
      </c>
      <c r="R571" s="2">
        <f>Cleaned_Data!L571</f>
        <v/>
      </c>
    </row>
    <row r="572">
      <c r="A572" s="2">
        <f>Cleaned_Data!A572</f>
        <v/>
      </c>
      <c r="B572" s="2">
        <f>Cleaned_Data!B572</f>
        <v/>
      </c>
      <c r="C572" s="2">
        <f>Cleaned_Data!G572</f>
        <v/>
      </c>
      <c r="D572" s="2">
        <f>Cleaned_Data!I572</f>
        <v/>
      </c>
      <c r="E572" s="2">
        <f>Cleaned_Data!H572</f>
        <v/>
      </c>
      <c r="F572" s="2">
        <f>Cleaned_Data!F572</f>
        <v/>
      </c>
      <c r="G572" s="9">
        <f>SUMPRODUCT(($B$2:$B$1196=B572)*($F$2:$F$1196&lt;=F572))/SUMPRODUCT(($B$2:$B$1196=B572)*1)</f>
        <v/>
      </c>
      <c r="H572" s="2">
        <f>Cleaned_Data!J572</f>
        <v/>
      </c>
      <c r="I572" s="2">
        <f>Cleaned_Data!E572</f>
        <v/>
      </c>
      <c r="J572" s="2">
        <f>IF(C572="Yes",1,0)</f>
        <v/>
      </c>
      <c r="K572" s="2">
        <f>MIN(MAX(1-(D572-1)/4,0),1)</f>
        <v/>
      </c>
      <c r="L572" s="2">
        <f>MIN(E572/60,1)</f>
        <v/>
      </c>
      <c r="M572" s="2">
        <f>MIN(MAX(1-G572,0),1)</f>
        <v/>
      </c>
      <c r="N572" s="2">
        <f>MIN(MAX(1-(H572-1)/4,0),1)</f>
        <v/>
      </c>
      <c r="O572" s="2">
        <f>1-MIN(I572/8,1)</f>
        <v/>
      </c>
      <c r="P572" s="10">
        <f>ROUND(100*(J572*Assumptions!$B$6+K572*Assumptions!$B$7+L572*Assumptions!$B$8+M572*Assumptions!$B$9+N572*Assumptions!$B$10+O572*Assumptions!$B$11),1)</f>
        <v/>
      </c>
      <c r="Q572" s="2">
        <f>IF(P572&gt;=Assumptions!$B$14,"High",IF(P572&gt;=Assumptions!$B$15,"Medium","Low"))</f>
        <v/>
      </c>
      <c r="R572" s="2">
        <f>Cleaned_Data!L572</f>
        <v/>
      </c>
    </row>
    <row r="573">
      <c r="A573" s="2">
        <f>Cleaned_Data!A573</f>
        <v/>
      </c>
      <c r="B573" s="2">
        <f>Cleaned_Data!B573</f>
        <v/>
      </c>
      <c r="C573" s="2">
        <f>Cleaned_Data!G573</f>
        <v/>
      </c>
      <c r="D573" s="2">
        <f>Cleaned_Data!I573</f>
        <v/>
      </c>
      <c r="E573" s="2">
        <f>Cleaned_Data!H573</f>
        <v/>
      </c>
      <c r="F573" s="2">
        <f>Cleaned_Data!F573</f>
        <v/>
      </c>
      <c r="G573" s="9">
        <f>SUMPRODUCT(($B$2:$B$1196=B573)*($F$2:$F$1196&lt;=F573))/SUMPRODUCT(($B$2:$B$1196=B573)*1)</f>
        <v/>
      </c>
      <c r="H573" s="2">
        <f>Cleaned_Data!J573</f>
        <v/>
      </c>
      <c r="I573" s="2">
        <f>Cleaned_Data!E573</f>
        <v/>
      </c>
      <c r="J573" s="2">
        <f>IF(C573="Yes",1,0)</f>
        <v/>
      </c>
      <c r="K573" s="2">
        <f>MIN(MAX(1-(D573-1)/4,0),1)</f>
        <v/>
      </c>
      <c r="L573" s="2">
        <f>MIN(E573/60,1)</f>
        <v/>
      </c>
      <c r="M573" s="2">
        <f>MIN(MAX(1-G573,0),1)</f>
        <v/>
      </c>
      <c r="N573" s="2">
        <f>MIN(MAX(1-(H573-1)/4,0),1)</f>
        <v/>
      </c>
      <c r="O573" s="2">
        <f>1-MIN(I573/8,1)</f>
        <v/>
      </c>
      <c r="P573" s="10">
        <f>ROUND(100*(J573*Assumptions!$B$6+K573*Assumptions!$B$7+L573*Assumptions!$B$8+M573*Assumptions!$B$9+N573*Assumptions!$B$10+O573*Assumptions!$B$11),1)</f>
        <v/>
      </c>
      <c r="Q573" s="2">
        <f>IF(P573&gt;=Assumptions!$B$14,"High",IF(P573&gt;=Assumptions!$B$15,"Medium","Low"))</f>
        <v/>
      </c>
      <c r="R573" s="2">
        <f>Cleaned_Data!L573</f>
        <v/>
      </c>
    </row>
    <row r="574">
      <c r="A574" s="2">
        <f>Cleaned_Data!A574</f>
        <v/>
      </c>
      <c r="B574" s="2">
        <f>Cleaned_Data!B574</f>
        <v/>
      </c>
      <c r="C574" s="2">
        <f>Cleaned_Data!G574</f>
        <v/>
      </c>
      <c r="D574" s="2">
        <f>Cleaned_Data!I574</f>
        <v/>
      </c>
      <c r="E574" s="2">
        <f>Cleaned_Data!H574</f>
        <v/>
      </c>
      <c r="F574" s="2">
        <f>Cleaned_Data!F574</f>
        <v/>
      </c>
      <c r="G574" s="9">
        <f>SUMPRODUCT(($B$2:$B$1196=B574)*($F$2:$F$1196&lt;=F574))/SUMPRODUCT(($B$2:$B$1196=B574)*1)</f>
        <v/>
      </c>
      <c r="H574" s="2">
        <f>Cleaned_Data!J574</f>
        <v/>
      </c>
      <c r="I574" s="2">
        <f>Cleaned_Data!E574</f>
        <v/>
      </c>
      <c r="J574" s="2">
        <f>IF(C574="Yes",1,0)</f>
        <v/>
      </c>
      <c r="K574" s="2">
        <f>MIN(MAX(1-(D574-1)/4,0),1)</f>
        <v/>
      </c>
      <c r="L574" s="2">
        <f>MIN(E574/60,1)</f>
        <v/>
      </c>
      <c r="M574" s="2">
        <f>MIN(MAX(1-G574,0),1)</f>
        <v/>
      </c>
      <c r="N574" s="2">
        <f>MIN(MAX(1-(H574-1)/4,0),1)</f>
        <v/>
      </c>
      <c r="O574" s="2">
        <f>1-MIN(I574/8,1)</f>
        <v/>
      </c>
      <c r="P574" s="10">
        <f>ROUND(100*(J574*Assumptions!$B$6+K574*Assumptions!$B$7+L574*Assumptions!$B$8+M574*Assumptions!$B$9+N574*Assumptions!$B$10+O574*Assumptions!$B$11),1)</f>
        <v/>
      </c>
      <c r="Q574" s="2">
        <f>IF(P574&gt;=Assumptions!$B$14,"High",IF(P574&gt;=Assumptions!$B$15,"Medium","Low"))</f>
        <v/>
      </c>
      <c r="R574" s="2">
        <f>Cleaned_Data!L574</f>
        <v/>
      </c>
    </row>
    <row r="575">
      <c r="A575" s="2">
        <f>Cleaned_Data!A575</f>
        <v/>
      </c>
      <c r="B575" s="2">
        <f>Cleaned_Data!B575</f>
        <v/>
      </c>
      <c r="C575" s="2">
        <f>Cleaned_Data!G575</f>
        <v/>
      </c>
      <c r="D575" s="2">
        <f>Cleaned_Data!I575</f>
        <v/>
      </c>
      <c r="E575" s="2">
        <f>Cleaned_Data!H575</f>
        <v/>
      </c>
      <c r="F575" s="2">
        <f>Cleaned_Data!F575</f>
        <v/>
      </c>
      <c r="G575" s="9">
        <f>SUMPRODUCT(($B$2:$B$1196=B575)*($F$2:$F$1196&lt;=F575))/SUMPRODUCT(($B$2:$B$1196=B575)*1)</f>
        <v/>
      </c>
      <c r="H575" s="2">
        <f>Cleaned_Data!J575</f>
        <v/>
      </c>
      <c r="I575" s="2">
        <f>Cleaned_Data!E575</f>
        <v/>
      </c>
      <c r="J575" s="2">
        <f>IF(C575="Yes",1,0)</f>
        <v/>
      </c>
      <c r="K575" s="2">
        <f>MIN(MAX(1-(D575-1)/4,0),1)</f>
        <v/>
      </c>
      <c r="L575" s="2">
        <f>MIN(E575/60,1)</f>
        <v/>
      </c>
      <c r="M575" s="2">
        <f>MIN(MAX(1-G575,0),1)</f>
        <v/>
      </c>
      <c r="N575" s="2">
        <f>MIN(MAX(1-(H575-1)/4,0),1)</f>
        <v/>
      </c>
      <c r="O575" s="2">
        <f>1-MIN(I575/8,1)</f>
        <v/>
      </c>
      <c r="P575" s="10">
        <f>ROUND(100*(J575*Assumptions!$B$6+K575*Assumptions!$B$7+L575*Assumptions!$B$8+M575*Assumptions!$B$9+N575*Assumptions!$B$10+O575*Assumptions!$B$11),1)</f>
        <v/>
      </c>
      <c r="Q575" s="2">
        <f>IF(P575&gt;=Assumptions!$B$14,"High",IF(P575&gt;=Assumptions!$B$15,"Medium","Low"))</f>
        <v/>
      </c>
      <c r="R575" s="2">
        <f>Cleaned_Data!L575</f>
        <v/>
      </c>
    </row>
    <row r="576">
      <c r="A576" s="2">
        <f>Cleaned_Data!A576</f>
        <v/>
      </c>
      <c r="B576" s="2">
        <f>Cleaned_Data!B576</f>
        <v/>
      </c>
      <c r="C576" s="2">
        <f>Cleaned_Data!G576</f>
        <v/>
      </c>
      <c r="D576" s="2">
        <f>Cleaned_Data!I576</f>
        <v/>
      </c>
      <c r="E576" s="2">
        <f>Cleaned_Data!H576</f>
        <v/>
      </c>
      <c r="F576" s="2">
        <f>Cleaned_Data!F576</f>
        <v/>
      </c>
      <c r="G576" s="9">
        <f>SUMPRODUCT(($B$2:$B$1196=B576)*($F$2:$F$1196&lt;=F576))/SUMPRODUCT(($B$2:$B$1196=B576)*1)</f>
        <v/>
      </c>
      <c r="H576" s="2">
        <f>Cleaned_Data!J576</f>
        <v/>
      </c>
      <c r="I576" s="2">
        <f>Cleaned_Data!E576</f>
        <v/>
      </c>
      <c r="J576" s="2">
        <f>IF(C576="Yes",1,0)</f>
        <v/>
      </c>
      <c r="K576" s="2">
        <f>MIN(MAX(1-(D576-1)/4,0),1)</f>
        <v/>
      </c>
      <c r="L576" s="2">
        <f>MIN(E576/60,1)</f>
        <v/>
      </c>
      <c r="M576" s="2">
        <f>MIN(MAX(1-G576,0),1)</f>
        <v/>
      </c>
      <c r="N576" s="2">
        <f>MIN(MAX(1-(H576-1)/4,0),1)</f>
        <v/>
      </c>
      <c r="O576" s="2">
        <f>1-MIN(I576/8,1)</f>
        <v/>
      </c>
      <c r="P576" s="10">
        <f>ROUND(100*(J576*Assumptions!$B$6+K576*Assumptions!$B$7+L576*Assumptions!$B$8+M576*Assumptions!$B$9+N576*Assumptions!$B$10+O576*Assumptions!$B$11),1)</f>
        <v/>
      </c>
      <c r="Q576" s="2">
        <f>IF(P576&gt;=Assumptions!$B$14,"High",IF(P576&gt;=Assumptions!$B$15,"Medium","Low"))</f>
        <v/>
      </c>
      <c r="R576" s="2">
        <f>Cleaned_Data!L576</f>
        <v/>
      </c>
    </row>
    <row r="577">
      <c r="A577" s="2">
        <f>Cleaned_Data!A577</f>
        <v/>
      </c>
      <c r="B577" s="2">
        <f>Cleaned_Data!B577</f>
        <v/>
      </c>
      <c r="C577" s="2">
        <f>Cleaned_Data!G577</f>
        <v/>
      </c>
      <c r="D577" s="2">
        <f>Cleaned_Data!I577</f>
        <v/>
      </c>
      <c r="E577" s="2">
        <f>Cleaned_Data!H577</f>
        <v/>
      </c>
      <c r="F577" s="2">
        <f>Cleaned_Data!F577</f>
        <v/>
      </c>
      <c r="G577" s="9">
        <f>SUMPRODUCT(($B$2:$B$1196=B577)*($F$2:$F$1196&lt;=F577))/SUMPRODUCT(($B$2:$B$1196=B577)*1)</f>
        <v/>
      </c>
      <c r="H577" s="2">
        <f>Cleaned_Data!J577</f>
        <v/>
      </c>
      <c r="I577" s="2">
        <f>Cleaned_Data!E577</f>
        <v/>
      </c>
      <c r="J577" s="2">
        <f>IF(C577="Yes",1,0)</f>
        <v/>
      </c>
      <c r="K577" s="2">
        <f>MIN(MAX(1-(D577-1)/4,0),1)</f>
        <v/>
      </c>
      <c r="L577" s="2">
        <f>MIN(E577/60,1)</f>
        <v/>
      </c>
      <c r="M577" s="2">
        <f>MIN(MAX(1-G577,0),1)</f>
        <v/>
      </c>
      <c r="N577" s="2">
        <f>MIN(MAX(1-(H577-1)/4,0),1)</f>
        <v/>
      </c>
      <c r="O577" s="2">
        <f>1-MIN(I577/8,1)</f>
        <v/>
      </c>
      <c r="P577" s="10">
        <f>ROUND(100*(J577*Assumptions!$B$6+K577*Assumptions!$B$7+L577*Assumptions!$B$8+M577*Assumptions!$B$9+N577*Assumptions!$B$10+O577*Assumptions!$B$11),1)</f>
        <v/>
      </c>
      <c r="Q577" s="2">
        <f>IF(P577&gt;=Assumptions!$B$14,"High",IF(P577&gt;=Assumptions!$B$15,"Medium","Low"))</f>
        <v/>
      </c>
      <c r="R577" s="2">
        <f>Cleaned_Data!L577</f>
        <v/>
      </c>
    </row>
    <row r="578">
      <c r="A578" s="2">
        <f>Cleaned_Data!A578</f>
        <v/>
      </c>
      <c r="B578" s="2">
        <f>Cleaned_Data!B578</f>
        <v/>
      </c>
      <c r="C578" s="2">
        <f>Cleaned_Data!G578</f>
        <v/>
      </c>
      <c r="D578" s="2">
        <f>Cleaned_Data!I578</f>
        <v/>
      </c>
      <c r="E578" s="2">
        <f>Cleaned_Data!H578</f>
        <v/>
      </c>
      <c r="F578" s="2">
        <f>Cleaned_Data!F578</f>
        <v/>
      </c>
      <c r="G578" s="9">
        <f>SUMPRODUCT(($B$2:$B$1196=B578)*($F$2:$F$1196&lt;=F578))/SUMPRODUCT(($B$2:$B$1196=B578)*1)</f>
        <v/>
      </c>
      <c r="H578" s="2">
        <f>Cleaned_Data!J578</f>
        <v/>
      </c>
      <c r="I578" s="2">
        <f>Cleaned_Data!E578</f>
        <v/>
      </c>
      <c r="J578" s="2">
        <f>IF(C578="Yes",1,0)</f>
        <v/>
      </c>
      <c r="K578" s="2">
        <f>MIN(MAX(1-(D578-1)/4,0),1)</f>
        <v/>
      </c>
      <c r="L578" s="2">
        <f>MIN(E578/60,1)</f>
        <v/>
      </c>
      <c r="M578" s="2">
        <f>MIN(MAX(1-G578,0),1)</f>
        <v/>
      </c>
      <c r="N578" s="2">
        <f>MIN(MAX(1-(H578-1)/4,0),1)</f>
        <v/>
      </c>
      <c r="O578" s="2">
        <f>1-MIN(I578/8,1)</f>
        <v/>
      </c>
      <c r="P578" s="10">
        <f>ROUND(100*(J578*Assumptions!$B$6+K578*Assumptions!$B$7+L578*Assumptions!$B$8+M578*Assumptions!$B$9+N578*Assumptions!$B$10+O578*Assumptions!$B$11),1)</f>
        <v/>
      </c>
      <c r="Q578" s="2">
        <f>IF(P578&gt;=Assumptions!$B$14,"High",IF(P578&gt;=Assumptions!$B$15,"Medium","Low"))</f>
        <v/>
      </c>
      <c r="R578" s="2">
        <f>Cleaned_Data!L578</f>
        <v/>
      </c>
    </row>
    <row r="579">
      <c r="A579" s="2">
        <f>Cleaned_Data!A579</f>
        <v/>
      </c>
      <c r="B579" s="2">
        <f>Cleaned_Data!B579</f>
        <v/>
      </c>
      <c r="C579" s="2">
        <f>Cleaned_Data!G579</f>
        <v/>
      </c>
      <c r="D579" s="2">
        <f>Cleaned_Data!I579</f>
        <v/>
      </c>
      <c r="E579" s="2">
        <f>Cleaned_Data!H579</f>
        <v/>
      </c>
      <c r="F579" s="2">
        <f>Cleaned_Data!F579</f>
        <v/>
      </c>
      <c r="G579" s="9">
        <f>SUMPRODUCT(($B$2:$B$1196=B579)*($F$2:$F$1196&lt;=F579))/SUMPRODUCT(($B$2:$B$1196=B579)*1)</f>
        <v/>
      </c>
      <c r="H579" s="2">
        <f>Cleaned_Data!J579</f>
        <v/>
      </c>
      <c r="I579" s="2">
        <f>Cleaned_Data!E579</f>
        <v/>
      </c>
      <c r="J579" s="2">
        <f>IF(C579="Yes",1,0)</f>
        <v/>
      </c>
      <c r="K579" s="2">
        <f>MIN(MAX(1-(D579-1)/4,0),1)</f>
        <v/>
      </c>
      <c r="L579" s="2">
        <f>MIN(E579/60,1)</f>
        <v/>
      </c>
      <c r="M579" s="2">
        <f>MIN(MAX(1-G579,0),1)</f>
        <v/>
      </c>
      <c r="N579" s="2">
        <f>MIN(MAX(1-(H579-1)/4,0),1)</f>
        <v/>
      </c>
      <c r="O579" s="2">
        <f>1-MIN(I579/8,1)</f>
        <v/>
      </c>
      <c r="P579" s="10">
        <f>ROUND(100*(J579*Assumptions!$B$6+K579*Assumptions!$B$7+L579*Assumptions!$B$8+M579*Assumptions!$B$9+N579*Assumptions!$B$10+O579*Assumptions!$B$11),1)</f>
        <v/>
      </c>
      <c r="Q579" s="2">
        <f>IF(P579&gt;=Assumptions!$B$14,"High",IF(P579&gt;=Assumptions!$B$15,"Medium","Low"))</f>
        <v/>
      </c>
      <c r="R579" s="2">
        <f>Cleaned_Data!L579</f>
        <v/>
      </c>
    </row>
    <row r="580">
      <c r="A580" s="2">
        <f>Cleaned_Data!A580</f>
        <v/>
      </c>
      <c r="B580" s="2">
        <f>Cleaned_Data!B580</f>
        <v/>
      </c>
      <c r="C580" s="2">
        <f>Cleaned_Data!G580</f>
        <v/>
      </c>
      <c r="D580" s="2">
        <f>Cleaned_Data!I580</f>
        <v/>
      </c>
      <c r="E580" s="2">
        <f>Cleaned_Data!H580</f>
        <v/>
      </c>
      <c r="F580" s="2">
        <f>Cleaned_Data!F580</f>
        <v/>
      </c>
      <c r="G580" s="9">
        <f>SUMPRODUCT(($B$2:$B$1196=B580)*($F$2:$F$1196&lt;=F580))/SUMPRODUCT(($B$2:$B$1196=B580)*1)</f>
        <v/>
      </c>
      <c r="H580" s="2">
        <f>Cleaned_Data!J580</f>
        <v/>
      </c>
      <c r="I580" s="2">
        <f>Cleaned_Data!E580</f>
        <v/>
      </c>
      <c r="J580" s="2">
        <f>IF(C580="Yes",1,0)</f>
        <v/>
      </c>
      <c r="K580" s="2">
        <f>MIN(MAX(1-(D580-1)/4,0),1)</f>
        <v/>
      </c>
      <c r="L580" s="2">
        <f>MIN(E580/60,1)</f>
        <v/>
      </c>
      <c r="M580" s="2">
        <f>MIN(MAX(1-G580,0),1)</f>
        <v/>
      </c>
      <c r="N580" s="2">
        <f>MIN(MAX(1-(H580-1)/4,0),1)</f>
        <v/>
      </c>
      <c r="O580" s="2">
        <f>1-MIN(I580/8,1)</f>
        <v/>
      </c>
      <c r="P580" s="10">
        <f>ROUND(100*(J580*Assumptions!$B$6+K580*Assumptions!$B$7+L580*Assumptions!$B$8+M580*Assumptions!$B$9+N580*Assumptions!$B$10+O580*Assumptions!$B$11),1)</f>
        <v/>
      </c>
      <c r="Q580" s="2">
        <f>IF(P580&gt;=Assumptions!$B$14,"High",IF(P580&gt;=Assumptions!$B$15,"Medium","Low"))</f>
        <v/>
      </c>
      <c r="R580" s="2">
        <f>Cleaned_Data!L580</f>
        <v/>
      </c>
    </row>
    <row r="581">
      <c r="A581" s="2">
        <f>Cleaned_Data!A581</f>
        <v/>
      </c>
      <c r="B581" s="2">
        <f>Cleaned_Data!B581</f>
        <v/>
      </c>
      <c r="C581" s="2">
        <f>Cleaned_Data!G581</f>
        <v/>
      </c>
      <c r="D581" s="2">
        <f>Cleaned_Data!I581</f>
        <v/>
      </c>
      <c r="E581" s="2">
        <f>Cleaned_Data!H581</f>
        <v/>
      </c>
      <c r="F581" s="2">
        <f>Cleaned_Data!F581</f>
        <v/>
      </c>
      <c r="G581" s="9">
        <f>SUMPRODUCT(($B$2:$B$1196=B581)*($F$2:$F$1196&lt;=F581))/SUMPRODUCT(($B$2:$B$1196=B581)*1)</f>
        <v/>
      </c>
      <c r="H581" s="2">
        <f>Cleaned_Data!J581</f>
        <v/>
      </c>
      <c r="I581" s="2">
        <f>Cleaned_Data!E581</f>
        <v/>
      </c>
      <c r="J581" s="2">
        <f>IF(C581="Yes",1,0)</f>
        <v/>
      </c>
      <c r="K581" s="2">
        <f>MIN(MAX(1-(D581-1)/4,0),1)</f>
        <v/>
      </c>
      <c r="L581" s="2">
        <f>MIN(E581/60,1)</f>
        <v/>
      </c>
      <c r="M581" s="2">
        <f>MIN(MAX(1-G581,0),1)</f>
        <v/>
      </c>
      <c r="N581" s="2">
        <f>MIN(MAX(1-(H581-1)/4,0),1)</f>
        <v/>
      </c>
      <c r="O581" s="2">
        <f>1-MIN(I581/8,1)</f>
        <v/>
      </c>
      <c r="P581" s="10">
        <f>ROUND(100*(J581*Assumptions!$B$6+K581*Assumptions!$B$7+L581*Assumptions!$B$8+M581*Assumptions!$B$9+N581*Assumptions!$B$10+O581*Assumptions!$B$11),1)</f>
        <v/>
      </c>
      <c r="Q581" s="2">
        <f>IF(P581&gt;=Assumptions!$B$14,"High",IF(P581&gt;=Assumptions!$B$15,"Medium","Low"))</f>
        <v/>
      </c>
      <c r="R581" s="2">
        <f>Cleaned_Data!L581</f>
        <v/>
      </c>
    </row>
    <row r="582">
      <c r="A582" s="2">
        <f>Cleaned_Data!A582</f>
        <v/>
      </c>
      <c r="B582" s="2">
        <f>Cleaned_Data!B582</f>
        <v/>
      </c>
      <c r="C582" s="2">
        <f>Cleaned_Data!G582</f>
        <v/>
      </c>
      <c r="D582" s="2">
        <f>Cleaned_Data!I582</f>
        <v/>
      </c>
      <c r="E582" s="2">
        <f>Cleaned_Data!H582</f>
        <v/>
      </c>
      <c r="F582" s="2">
        <f>Cleaned_Data!F582</f>
        <v/>
      </c>
      <c r="G582" s="9">
        <f>SUMPRODUCT(($B$2:$B$1196=B582)*($F$2:$F$1196&lt;=F582))/SUMPRODUCT(($B$2:$B$1196=B582)*1)</f>
        <v/>
      </c>
      <c r="H582" s="2">
        <f>Cleaned_Data!J582</f>
        <v/>
      </c>
      <c r="I582" s="2">
        <f>Cleaned_Data!E582</f>
        <v/>
      </c>
      <c r="J582" s="2">
        <f>IF(C582="Yes",1,0)</f>
        <v/>
      </c>
      <c r="K582" s="2">
        <f>MIN(MAX(1-(D582-1)/4,0),1)</f>
        <v/>
      </c>
      <c r="L582" s="2">
        <f>MIN(E582/60,1)</f>
        <v/>
      </c>
      <c r="M582" s="2">
        <f>MIN(MAX(1-G582,0),1)</f>
        <v/>
      </c>
      <c r="N582" s="2">
        <f>MIN(MAX(1-(H582-1)/4,0),1)</f>
        <v/>
      </c>
      <c r="O582" s="2">
        <f>1-MIN(I582/8,1)</f>
        <v/>
      </c>
      <c r="P582" s="10">
        <f>ROUND(100*(J582*Assumptions!$B$6+K582*Assumptions!$B$7+L582*Assumptions!$B$8+M582*Assumptions!$B$9+N582*Assumptions!$B$10+O582*Assumptions!$B$11),1)</f>
        <v/>
      </c>
      <c r="Q582" s="2">
        <f>IF(P582&gt;=Assumptions!$B$14,"High",IF(P582&gt;=Assumptions!$B$15,"Medium","Low"))</f>
        <v/>
      </c>
      <c r="R582" s="2">
        <f>Cleaned_Data!L582</f>
        <v/>
      </c>
    </row>
    <row r="583">
      <c r="A583" s="2">
        <f>Cleaned_Data!A583</f>
        <v/>
      </c>
      <c r="B583" s="2">
        <f>Cleaned_Data!B583</f>
        <v/>
      </c>
      <c r="C583" s="2">
        <f>Cleaned_Data!G583</f>
        <v/>
      </c>
      <c r="D583" s="2">
        <f>Cleaned_Data!I583</f>
        <v/>
      </c>
      <c r="E583" s="2">
        <f>Cleaned_Data!H583</f>
        <v/>
      </c>
      <c r="F583" s="2">
        <f>Cleaned_Data!F583</f>
        <v/>
      </c>
      <c r="G583" s="9">
        <f>SUMPRODUCT(($B$2:$B$1196=B583)*($F$2:$F$1196&lt;=F583))/SUMPRODUCT(($B$2:$B$1196=B583)*1)</f>
        <v/>
      </c>
      <c r="H583" s="2">
        <f>Cleaned_Data!J583</f>
        <v/>
      </c>
      <c r="I583" s="2">
        <f>Cleaned_Data!E583</f>
        <v/>
      </c>
      <c r="J583" s="2">
        <f>IF(C583="Yes",1,0)</f>
        <v/>
      </c>
      <c r="K583" s="2">
        <f>MIN(MAX(1-(D583-1)/4,0),1)</f>
        <v/>
      </c>
      <c r="L583" s="2">
        <f>MIN(E583/60,1)</f>
        <v/>
      </c>
      <c r="M583" s="2">
        <f>MIN(MAX(1-G583,0),1)</f>
        <v/>
      </c>
      <c r="N583" s="2">
        <f>MIN(MAX(1-(H583-1)/4,0),1)</f>
        <v/>
      </c>
      <c r="O583" s="2">
        <f>1-MIN(I583/8,1)</f>
        <v/>
      </c>
      <c r="P583" s="10">
        <f>ROUND(100*(J583*Assumptions!$B$6+K583*Assumptions!$B$7+L583*Assumptions!$B$8+M583*Assumptions!$B$9+N583*Assumptions!$B$10+O583*Assumptions!$B$11),1)</f>
        <v/>
      </c>
      <c r="Q583" s="2">
        <f>IF(P583&gt;=Assumptions!$B$14,"High",IF(P583&gt;=Assumptions!$B$15,"Medium","Low"))</f>
        <v/>
      </c>
      <c r="R583" s="2">
        <f>Cleaned_Data!L583</f>
        <v/>
      </c>
    </row>
    <row r="584">
      <c r="A584" s="2">
        <f>Cleaned_Data!A584</f>
        <v/>
      </c>
      <c r="B584" s="2">
        <f>Cleaned_Data!B584</f>
        <v/>
      </c>
      <c r="C584" s="2">
        <f>Cleaned_Data!G584</f>
        <v/>
      </c>
      <c r="D584" s="2">
        <f>Cleaned_Data!I584</f>
        <v/>
      </c>
      <c r="E584" s="2">
        <f>Cleaned_Data!H584</f>
        <v/>
      </c>
      <c r="F584" s="2">
        <f>Cleaned_Data!F584</f>
        <v/>
      </c>
      <c r="G584" s="9">
        <f>SUMPRODUCT(($B$2:$B$1196=B584)*($F$2:$F$1196&lt;=F584))/SUMPRODUCT(($B$2:$B$1196=B584)*1)</f>
        <v/>
      </c>
      <c r="H584" s="2">
        <f>Cleaned_Data!J584</f>
        <v/>
      </c>
      <c r="I584" s="2">
        <f>Cleaned_Data!E584</f>
        <v/>
      </c>
      <c r="J584" s="2">
        <f>IF(C584="Yes",1,0)</f>
        <v/>
      </c>
      <c r="K584" s="2">
        <f>MIN(MAX(1-(D584-1)/4,0),1)</f>
        <v/>
      </c>
      <c r="L584" s="2">
        <f>MIN(E584/60,1)</f>
        <v/>
      </c>
      <c r="M584" s="2">
        <f>MIN(MAX(1-G584,0),1)</f>
        <v/>
      </c>
      <c r="N584" s="2">
        <f>MIN(MAX(1-(H584-1)/4,0),1)</f>
        <v/>
      </c>
      <c r="O584" s="2">
        <f>1-MIN(I584/8,1)</f>
        <v/>
      </c>
      <c r="P584" s="10">
        <f>ROUND(100*(J584*Assumptions!$B$6+K584*Assumptions!$B$7+L584*Assumptions!$B$8+M584*Assumptions!$B$9+N584*Assumptions!$B$10+O584*Assumptions!$B$11),1)</f>
        <v/>
      </c>
      <c r="Q584" s="2">
        <f>IF(P584&gt;=Assumptions!$B$14,"High",IF(P584&gt;=Assumptions!$B$15,"Medium","Low"))</f>
        <v/>
      </c>
      <c r="R584" s="2">
        <f>Cleaned_Data!L584</f>
        <v/>
      </c>
    </row>
    <row r="585">
      <c r="A585" s="2">
        <f>Cleaned_Data!A585</f>
        <v/>
      </c>
      <c r="B585" s="2">
        <f>Cleaned_Data!B585</f>
        <v/>
      </c>
      <c r="C585" s="2">
        <f>Cleaned_Data!G585</f>
        <v/>
      </c>
      <c r="D585" s="2">
        <f>Cleaned_Data!I585</f>
        <v/>
      </c>
      <c r="E585" s="2">
        <f>Cleaned_Data!H585</f>
        <v/>
      </c>
      <c r="F585" s="2">
        <f>Cleaned_Data!F585</f>
        <v/>
      </c>
      <c r="G585" s="9">
        <f>SUMPRODUCT(($B$2:$B$1196=B585)*($F$2:$F$1196&lt;=F585))/SUMPRODUCT(($B$2:$B$1196=B585)*1)</f>
        <v/>
      </c>
      <c r="H585" s="2">
        <f>Cleaned_Data!J585</f>
        <v/>
      </c>
      <c r="I585" s="2">
        <f>Cleaned_Data!E585</f>
        <v/>
      </c>
      <c r="J585" s="2">
        <f>IF(C585="Yes",1,0)</f>
        <v/>
      </c>
      <c r="K585" s="2">
        <f>MIN(MAX(1-(D585-1)/4,0),1)</f>
        <v/>
      </c>
      <c r="L585" s="2">
        <f>MIN(E585/60,1)</f>
        <v/>
      </c>
      <c r="M585" s="2">
        <f>MIN(MAX(1-G585,0),1)</f>
        <v/>
      </c>
      <c r="N585" s="2">
        <f>MIN(MAX(1-(H585-1)/4,0),1)</f>
        <v/>
      </c>
      <c r="O585" s="2">
        <f>1-MIN(I585/8,1)</f>
        <v/>
      </c>
      <c r="P585" s="10">
        <f>ROUND(100*(J585*Assumptions!$B$6+K585*Assumptions!$B$7+L585*Assumptions!$B$8+M585*Assumptions!$B$9+N585*Assumptions!$B$10+O585*Assumptions!$B$11),1)</f>
        <v/>
      </c>
      <c r="Q585" s="2">
        <f>IF(P585&gt;=Assumptions!$B$14,"High",IF(P585&gt;=Assumptions!$B$15,"Medium","Low"))</f>
        <v/>
      </c>
      <c r="R585" s="2">
        <f>Cleaned_Data!L585</f>
        <v/>
      </c>
    </row>
    <row r="586">
      <c r="A586" s="2">
        <f>Cleaned_Data!A586</f>
        <v/>
      </c>
      <c r="B586" s="2">
        <f>Cleaned_Data!B586</f>
        <v/>
      </c>
      <c r="C586" s="2">
        <f>Cleaned_Data!G586</f>
        <v/>
      </c>
      <c r="D586" s="2">
        <f>Cleaned_Data!I586</f>
        <v/>
      </c>
      <c r="E586" s="2">
        <f>Cleaned_Data!H586</f>
        <v/>
      </c>
      <c r="F586" s="2">
        <f>Cleaned_Data!F586</f>
        <v/>
      </c>
      <c r="G586" s="9">
        <f>SUMPRODUCT(($B$2:$B$1196=B586)*($F$2:$F$1196&lt;=F586))/SUMPRODUCT(($B$2:$B$1196=B586)*1)</f>
        <v/>
      </c>
      <c r="H586" s="2">
        <f>Cleaned_Data!J586</f>
        <v/>
      </c>
      <c r="I586" s="2">
        <f>Cleaned_Data!E586</f>
        <v/>
      </c>
      <c r="J586" s="2">
        <f>IF(C586="Yes",1,0)</f>
        <v/>
      </c>
      <c r="K586" s="2">
        <f>MIN(MAX(1-(D586-1)/4,0),1)</f>
        <v/>
      </c>
      <c r="L586" s="2">
        <f>MIN(E586/60,1)</f>
        <v/>
      </c>
      <c r="M586" s="2">
        <f>MIN(MAX(1-G586,0),1)</f>
        <v/>
      </c>
      <c r="N586" s="2">
        <f>MIN(MAX(1-(H586-1)/4,0),1)</f>
        <v/>
      </c>
      <c r="O586" s="2">
        <f>1-MIN(I586/8,1)</f>
        <v/>
      </c>
      <c r="P586" s="10">
        <f>ROUND(100*(J586*Assumptions!$B$6+K586*Assumptions!$B$7+L586*Assumptions!$B$8+M586*Assumptions!$B$9+N586*Assumptions!$B$10+O586*Assumptions!$B$11),1)</f>
        <v/>
      </c>
      <c r="Q586" s="2">
        <f>IF(P586&gt;=Assumptions!$B$14,"High",IF(P586&gt;=Assumptions!$B$15,"Medium","Low"))</f>
        <v/>
      </c>
      <c r="R586" s="2">
        <f>Cleaned_Data!L586</f>
        <v/>
      </c>
    </row>
    <row r="587">
      <c r="A587" s="2">
        <f>Cleaned_Data!A587</f>
        <v/>
      </c>
      <c r="B587" s="2">
        <f>Cleaned_Data!B587</f>
        <v/>
      </c>
      <c r="C587" s="2">
        <f>Cleaned_Data!G587</f>
        <v/>
      </c>
      <c r="D587" s="2">
        <f>Cleaned_Data!I587</f>
        <v/>
      </c>
      <c r="E587" s="2">
        <f>Cleaned_Data!H587</f>
        <v/>
      </c>
      <c r="F587" s="2">
        <f>Cleaned_Data!F587</f>
        <v/>
      </c>
      <c r="G587" s="9">
        <f>SUMPRODUCT(($B$2:$B$1196=B587)*($F$2:$F$1196&lt;=F587))/SUMPRODUCT(($B$2:$B$1196=B587)*1)</f>
        <v/>
      </c>
      <c r="H587" s="2">
        <f>Cleaned_Data!J587</f>
        <v/>
      </c>
      <c r="I587" s="2">
        <f>Cleaned_Data!E587</f>
        <v/>
      </c>
      <c r="J587" s="2">
        <f>IF(C587="Yes",1,0)</f>
        <v/>
      </c>
      <c r="K587" s="2">
        <f>MIN(MAX(1-(D587-1)/4,0),1)</f>
        <v/>
      </c>
      <c r="L587" s="2">
        <f>MIN(E587/60,1)</f>
        <v/>
      </c>
      <c r="M587" s="2">
        <f>MIN(MAX(1-G587,0),1)</f>
        <v/>
      </c>
      <c r="N587" s="2">
        <f>MIN(MAX(1-(H587-1)/4,0),1)</f>
        <v/>
      </c>
      <c r="O587" s="2">
        <f>1-MIN(I587/8,1)</f>
        <v/>
      </c>
      <c r="P587" s="10">
        <f>ROUND(100*(J587*Assumptions!$B$6+K587*Assumptions!$B$7+L587*Assumptions!$B$8+M587*Assumptions!$B$9+N587*Assumptions!$B$10+O587*Assumptions!$B$11),1)</f>
        <v/>
      </c>
      <c r="Q587" s="2">
        <f>IF(P587&gt;=Assumptions!$B$14,"High",IF(P587&gt;=Assumptions!$B$15,"Medium","Low"))</f>
        <v/>
      </c>
      <c r="R587" s="2">
        <f>Cleaned_Data!L587</f>
        <v/>
      </c>
    </row>
    <row r="588">
      <c r="A588" s="2">
        <f>Cleaned_Data!A588</f>
        <v/>
      </c>
      <c r="B588" s="2">
        <f>Cleaned_Data!B588</f>
        <v/>
      </c>
      <c r="C588" s="2">
        <f>Cleaned_Data!G588</f>
        <v/>
      </c>
      <c r="D588" s="2">
        <f>Cleaned_Data!I588</f>
        <v/>
      </c>
      <c r="E588" s="2">
        <f>Cleaned_Data!H588</f>
        <v/>
      </c>
      <c r="F588" s="2">
        <f>Cleaned_Data!F588</f>
        <v/>
      </c>
      <c r="G588" s="9">
        <f>SUMPRODUCT(($B$2:$B$1196=B588)*($F$2:$F$1196&lt;=F588))/SUMPRODUCT(($B$2:$B$1196=B588)*1)</f>
        <v/>
      </c>
      <c r="H588" s="2">
        <f>Cleaned_Data!J588</f>
        <v/>
      </c>
      <c r="I588" s="2">
        <f>Cleaned_Data!E588</f>
        <v/>
      </c>
      <c r="J588" s="2">
        <f>IF(C588="Yes",1,0)</f>
        <v/>
      </c>
      <c r="K588" s="2">
        <f>MIN(MAX(1-(D588-1)/4,0),1)</f>
        <v/>
      </c>
      <c r="L588" s="2">
        <f>MIN(E588/60,1)</f>
        <v/>
      </c>
      <c r="M588" s="2">
        <f>MIN(MAX(1-G588,0),1)</f>
        <v/>
      </c>
      <c r="N588" s="2">
        <f>MIN(MAX(1-(H588-1)/4,0),1)</f>
        <v/>
      </c>
      <c r="O588" s="2">
        <f>1-MIN(I588/8,1)</f>
        <v/>
      </c>
      <c r="P588" s="10">
        <f>ROUND(100*(J588*Assumptions!$B$6+K588*Assumptions!$B$7+L588*Assumptions!$B$8+M588*Assumptions!$B$9+N588*Assumptions!$B$10+O588*Assumptions!$B$11),1)</f>
        <v/>
      </c>
      <c r="Q588" s="2">
        <f>IF(P588&gt;=Assumptions!$B$14,"High",IF(P588&gt;=Assumptions!$B$15,"Medium","Low"))</f>
        <v/>
      </c>
      <c r="R588" s="2">
        <f>Cleaned_Data!L588</f>
        <v/>
      </c>
    </row>
    <row r="589">
      <c r="A589" s="2">
        <f>Cleaned_Data!A589</f>
        <v/>
      </c>
      <c r="B589" s="2">
        <f>Cleaned_Data!B589</f>
        <v/>
      </c>
      <c r="C589" s="2">
        <f>Cleaned_Data!G589</f>
        <v/>
      </c>
      <c r="D589" s="2">
        <f>Cleaned_Data!I589</f>
        <v/>
      </c>
      <c r="E589" s="2">
        <f>Cleaned_Data!H589</f>
        <v/>
      </c>
      <c r="F589" s="2">
        <f>Cleaned_Data!F589</f>
        <v/>
      </c>
      <c r="G589" s="9">
        <f>SUMPRODUCT(($B$2:$B$1196=B589)*($F$2:$F$1196&lt;=F589))/SUMPRODUCT(($B$2:$B$1196=B589)*1)</f>
        <v/>
      </c>
      <c r="H589" s="2">
        <f>Cleaned_Data!J589</f>
        <v/>
      </c>
      <c r="I589" s="2">
        <f>Cleaned_Data!E589</f>
        <v/>
      </c>
      <c r="J589" s="2">
        <f>IF(C589="Yes",1,0)</f>
        <v/>
      </c>
      <c r="K589" s="2">
        <f>MIN(MAX(1-(D589-1)/4,0),1)</f>
        <v/>
      </c>
      <c r="L589" s="2">
        <f>MIN(E589/60,1)</f>
        <v/>
      </c>
      <c r="M589" s="2">
        <f>MIN(MAX(1-G589,0),1)</f>
        <v/>
      </c>
      <c r="N589" s="2">
        <f>MIN(MAX(1-(H589-1)/4,0),1)</f>
        <v/>
      </c>
      <c r="O589" s="2">
        <f>1-MIN(I589/8,1)</f>
        <v/>
      </c>
      <c r="P589" s="10">
        <f>ROUND(100*(J589*Assumptions!$B$6+K589*Assumptions!$B$7+L589*Assumptions!$B$8+M589*Assumptions!$B$9+N589*Assumptions!$B$10+O589*Assumptions!$B$11),1)</f>
        <v/>
      </c>
      <c r="Q589" s="2">
        <f>IF(P589&gt;=Assumptions!$B$14,"High",IF(P589&gt;=Assumptions!$B$15,"Medium","Low"))</f>
        <v/>
      </c>
      <c r="R589" s="2">
        <f>Cleaned_Data!L589</f>
        <v/>
      </c>
    </row>
    <row r="590">
      <c r="A590" s="2">
        <f>Cleaned_Data!A590</f>
        <v/>
      </c>
      <c r="B590" s="2">
        <f>Cleaned_Data!B590</f>
        <v/>
      </c>
      <c r="C590" s="2">
        <f>Cleaned_Data!G590</f>
        <v/>
      </c>
      <c r="D590" s="2">
        <f>Cleaned_Data!I590</f>
        <v/>
      </c>
      <c r="E590" s="2">
        <f>Cleaned_Data!H590</f>
        <v/>
      </c>
      <c r="F590" s="2">
        <f>Cleaned_Data!F590</f>
        <v/>
      </c>
      <c r="G590" s="9">
        <f>SUMPRODUCT(($B$2:$B$1196=B590)*($F$2:$F$1196&lt;=F590))/SUMPRODUCT(($B$2:$B$1196=B590)*1)</f>
        <v/>
      </c>
      <c r="H590" s="2">
        <f>Cleaned_Data!J590</f>
        <v/>
      </c>
      <c r="I590" s="2">
        <f>Cleaned_Data!E590</f>
        <v/>
      </c>
      <c r="J590" s="2">
        <f>IF(C590="Yes",1,0)</f>
        <v/>
      </c>
      <c r="K590" s="2">
        <f>MIN(MAX(1-(D590-1)/4,0),1)</f>
        <v/>
      </c>
      <c r="L590" s="2">
        <f>MIN(E590/60,1)</f>
        <v/>
      </c>
      <c r="M590" s="2">
        <f>MIN(MAX(1-G590,0),1)</f>
        <v/>
      </c>
      <c r="N590" s="2">
        <f>MIN(MAX(1-(H590-1)/4,0),1)</f>
        <v/>
      </c>
      <c r="O590" s="2">
        <f>1-MIN(I590/8,1)</f>
        <v/>
      </c>
      <c r="P590" s="10">
        <f>ROUND(100*(J590*Assumptions!$B$6+K590*Assumptions!$B$7+L590*Assumptions!$B$8+M590*Assumptions!$B$9+N590*Assumptions!$B$10+O590*Assumptions!$B$11),1)</f>
        <v/>
      </c>
      <c r="Q590" s="2">
        <f>IF(P590&gt;=Assumptions!$B$14,"High",IF(P590&gt;=Assumptions!$B$15,"Medium","Low"))</f>
        <v/>
      </c>
      <c r="R590" s="2">
        <f>Cleaned_Data!L590</f>
        <v/>
      </c>
    </row>
    <row r="591">
      <c r="A591" s="2">
        <f>Cleaned_Data!A591</f>
        <v/>
      </c>
      <c r="B591" s="2">
        <f>Cleaned_Data!B591</f>
        <v/>
      </c>
      <c r="C591" s="2">
        <f>Cleaned_Data!G591</f>
        <v/>
      </c>
      <c r="D591" s="2">
        <f>Cleaned_Data!I591</f>
        <v/>
      </c>
      <c r="E591" s="2">
        <f>Cleaned_Data!H591</f>
        <v/>
      </c>
      <c r="F591" s="2">
        <f>Cleaned_Data!F591</f>
        <v/>
      </c>
      <c r="G591" s="9">
        <f>SUMPRODUCT(($B$2:$B$1196=B591)*($F$2:$F$1196&lt;=F591))/SUMPRODUCT(($B$2:$B$1196=B591)*1)</f>
        <v/>
      </c>
      <c r="H591" s="2">
        <f>Cleaned_Data!J591</f>
        <v/>
      </c>
      <c r="I591" s="2">
        <f>Cleaned_Data!E591</f>
        <v/>
      </c>
      <c r="J591" s="2">
        <f>IF(C591="Yes",1,0)</f>
        <v/>
      </c>
      <c r="K591" s="2">
        <f>MIN(MAX(1-(D591-1)/4,0),1)</f>
        <v/>
      </c>
      <c r="L591" s="2">
        <f>MIN(E591/60,1)</f>
        <v/>
      </c>
      <c r="M591" s="2">
        <f>MIN(MAX(1-G591,0),1)</f>
        <v/>
      </c>
      <c r="N591" s="2">
        <f>MIN(MAX(1-(H591-1)/4,0),1)</f>
        <v/>
      </c>
      <c r="O591" s="2">
        <f>1-MIN(I591/8,1)</f>
        <v/>
      </c>
      <c r="P591" s="10">
        <f>ROUND(100*(J591*Assumptions!$B$6+K591*Assumptions!$B$7+L591*Assumptions!$B$8+M591*Assumptions!$B$9+N591*Assumptions!$B$10+O591*Assumptions!$B$11),1)</f>
        <v/>
      </c>
      <c r="Q591" s="2">
        <f>IF(P591&gt;=Assumptions!$B$14,"High",IF(P591&gt;=Assumptions!$B$15,"Medium","Low"))</f>
        <v/>
      </c>
      <c r="R591" s="2">
        <f>Cleaned_Data!L591</f>
        <v/>
      </c>
    </row>
    <row r="592">
      <c r="A592" s="2">
        <f>Cleaned_Data!A592</f>
        <v/>
      </c>
      <c r="B592" s="2">
        <f>Cleaned_Data!B592</f>
        <v/>
      </c>
      <c r="C592" s="2">
        <f>Cleaned_Data!G592</f>
        <v/>
      </c>
      <c r="D592" s="2">
        <f>Cleaned_Data!I592</f>
        <v/>
      </c>
      <c r="E592" s="2">
        <f>Cleaned_Data!H592</f>
        <v/>
      </c>
      <c r="F592" s="2">
        <f>Cleaned_Data!F592</f>
        <v/>
      </c>
      <c r="G592" s="9">
        <f>SUMPRODUCT(($B$2:$B$1196=B592)*($F$2:$F$1196&lt;=F592))/SUMPRODUCT(($B$2:$B$1196=B592)*1)</f>
        <v/>
      </c>
      <c r="H592" s="2">
        <f>Cleaned_Data!J592</f>
        <v/>
      </c>
      <c r="I592" s="2">
        <f>Cleaned_Data!E592</f>
        <v/>
      </c>
      <c r="J592" s="2">
        <f>IF(C592="Yes",1,0)</f>
        <v/>
      </c>
      <c r="K592" s="2">
        <f>MIN(MAX(1-(D592-1)/4,0),1)</f>
        <v/>
      </c>
      <c r="L592" s="2">
        <f>MIN(E592/60,1)</f>
        <v/>
      </c>
      <c r="M592" s="2">
        <f>MIN(MAX(1-G592,0),1)</f>
        <v/>
      </c>
      <c r="N592" s="2">
        <f>MIN(MAX(1-(H592-1)/4,0),1)</f>
        <v/>
      </c>
      <c r="O592" s="2">
        <f>1-MIN(I592/8,1)</f>
        <v/>
      </c>
      <c r="P592" s="10">
        <f>ROUND(100*(J592*Assumptions!$B$6+K592*Assumptions!$B$7+L592*Assumptions!$B$8+M592*Assumptions!$B$9+N592*Assumptions!$B$10+O592*Assumptions!$B$11),1)</f>
        <v/>
      </c>
      <c r="Q592" s="2">
        <f>IF(P592&gt;=Assumptions!$B$14,"High",IF(P592&gt;=Assumptions!$B$15,"Medium","Low"))</f>
        <v/>
      </c>
      <c r="R592" s="2">
        <f>Cleaned_Data!L592</f>
        <v/>
      </c>
    </row>
    <row r="593">
      <c r="A593" s="2">
        <f>Cleaned_Data!A593</f>
        <v/>
      </c>
      <c r="B593" s="2">
        <f>Cleaned_Data!B593</f>
        <v/>
      </c>
      <c r="C593" s="2">
        <f>Cleaned_Data!G593</f>
        <v/>
      </c>
      <c r="D593" s="2">
        <f>Cleaned_Data!I593</f>
        <v/>
      </c>
      <c r="E593" s="2">
        <f>Cleaned_Data!H593</f>
        <v/>
      </c>
      <c r="F593" s="2">
        <f>Cleaned_Data!F593</f>
        <v/>
      </c>
      <c r="G593" s="9">
        <f>SUMPRODUCT(($B$2:$B$1196=B593)*($F$2:$F$1196&lt;=F593))/SUMPRODUCT(($B$2:$B$1196=B593)*1)</f>
        <v/>
      </c>
      <c r="H593" s="2">
        <f>Cleaned_Data!J593</f>
        <v/>
      </c>
      <c r="I593" s="2">
        <f>Cleaned_Data!E593</f>
        <v/>
      </c>
      <c r="J593" s="2">
        <f>IF(C593="Yes",1,0)</f>
        <v/>
      </c>
      <c r="K593" s="2">
        <f>MIN(MAX(1-(D593-1)/4,0),1)</f>
        <v/>
      </c>
      <c r="L593" s="2">
        <f>MIN(E593/60,1)</f>
        <v/>
      </c>
      <c r="M593" s="2">
        <f>MIN(MAX(1-G593,0),1)</f>
        <v/>
      </c>
      <c r="N593" s="2">
        <f>MIN(MAX(1-(H593-1)/4,0),1)</f>
        <v/>
      </c>
      <c r="O593" s="2">
        <f>1-MIN(I593/8,1)</f>
        <v/>
      </c>
      <c r="P593" s="10">
        <f>ROUND(100*(J593*Assumptions!$B$6+K593*Assumptions!$B$7+L593*Assumptions!$B$8+M593*Assumptions!$B$9+N593*Assumptions!$B$10+O593*Assumptions!$B$11),1)</f>
        <v/>
      </c>
      <c r="Q593" s="2">
        <f>IF(P593&gt;=Assumptions!$B$14,"High",IF(P593&gt;=Assumptions!$B$15,"Medium","Low"))</f>
        <v/>
      </c>
      <c r="R593" s="2">
        <f>Cleaned_Data!L593</f>
        <v/>
      </c>
    </row>
    <row r="594">
      <c r="A594" s="2">
        <f>Cleaned_Data!A594</f>
        <v/>
      </c>
      <c r="B594" s="2">
        <f>Cleaned_Data!B594</f>
        <v/>
      </c>
      <c r="C594" s="2">
        <f>Cleaned_Data!G594</f>
        <v/>
      </c>
      <c r="D594" s="2">
        <f>Cleaned_Data!I594</f>
        <v/>
      </c>
      <c r="E594" s="2">
        <f>Cleaned_Data!H594</f>
        <v/>
      </c>
      <c r="F594" s="2">
        <f>Cleaned_Data!F594</f>
        <v/>
      </c>
      <c r="G594" s="9">
        <f>SUMPRODUCT(($B$2:$B$1196=B594)*($F$2:$F$1196&lt;=F594))/SUMPRODUCT(($B$2:$B$1196=B594)*1)</f>
        <v/>
      </c>
      <c r="H594" s="2">
        <f>Cleaned_Data!J594</f>
        <v/>
      </c>
      <c r="I594" s="2">
        <f>Cleaned_Data!E594</f>
        <v/>
      </c>
      <c r="J594" s="2">
        <f>IF(C594="Yes",1,0)</f>
        <v/>
      </c>
      <c r="K594" s="2">
        <f>MIN(MAX(1-(D594-1)/4,0),1)</f>
        <v/>
      </c>
      <c r="L594" s="2">
        <f>MIN(E594/60,1)</f>
        <v/>
      </c>
      <c r="M594" s="2">
        <f>MIN(MAX(1-G594,0),1)</f>
        <v/>
      </c>
      <c r="N594" s="2">
        <f>MIN(MAX(1-(H594-1)/4,0),1)</f>
        <v/>
      </c>
      <c r="O594" s="2">
        <f>1-MIN(I594/8,1)</f>
        <v/>
      </c>
      <c r="P594" s="10">
        <f>ROUND(100*(J594*Assumptions!$B$6+K594*Assumptions!$B$7+L594*Assumptions!$B$8+M594*Assumptions!$B$9+N594*Assumptions!$B$10+O594*Assumptions!$B$11),1)</f>
        <v/>
      </c>
      <c r="Q594" s="2">
        <f>IF(P594&gt;=Assumptions!$B$14,"High",IF(P594&gt;=Assumptions!$B$15,"Medium","Low"))</f>
        <v/>
      </c>
      <c r="R594" s="2">
        <f>Cleaned_Data!L594</f>
        <v/>
      </c>
    </row>
    <row r="595">
      <c r="A595" s="2">
        <f>Cleaned_Data!A595</f>
        <v/>
      </c>
      <c r="B595" s="2">
        <f>Cleaned_Data!B595</f>
        <v/>
      </c>
      <c r="C595" s="2">
        <f>Cleaned_Data!G595</f>
        <v/>
      </c>
      <c r="D595" s="2">
        <f>Cleaned_Data!I595</f>
        <v/>
      </c>
      <c r="E595" s="2">
        <f>Cleaned_Data!H595</f>
        <v/>
      </c>
      <c r="F595" s="2">
        <f>Cleaned_Data!F595</f>
        <v/>
      </c>
      <c r="G595" s="9">
        <f>SUMPRODUCT(($B$2:$B$1196=B595)*($F$2:$F$1196&lt;=F595))/SUMPRODUCT(($B$2:$B$1196=B595)*1)</f>
        <v/>
      </c>
      <c r="H595" s="2">
        <f>Cleaned_Data!J595</f>
        <v/>
      </c>
      <c r="I595" s="2">
        <f>Cleaned_Data!E595</f>
        <v/>
      </c>
      <c r="J595" s="2">
        <f>IF(C595="Yes",1,0)</f>
        <v/>
      </c>
      <c r="K595" s="2">
        <f>MIN(MAX(1-(D595-1)/4,0),1)</f>
        <v/>
      </c>
      <c r="L595" s="2">
        <f>MIN(E595/60,1)</f>
        <v/>
      </c>
      <c r="M595" s="2">
        <f>MIN(MAX(1-G595,0),1)</f>
        <v/>
      </c>
      <c r="N595" s="2">
        <f>MIN(MAX(1-(H595-1)/4,0),1)</f>
        <v/>
      </c>
      <c r="O595" s="2">
        <f>1-MIN(I595/8,1)</f>
        <v/>
      </c>
      <c r="P595" s="10">
        <f>ROUND(100*(J595*Assumptions!$B$6+K595*Assumptions!$B$7+L595*Assumptions!$B$8+M595*Assumptions!$B$9+N595*Assumptions!$B$10+O595*Assumptions!$B$11),1)</f>
        <v/>
      </c>
      <c r="Q595" s="2">
        <f>IF(P595&gt;=Assumptions!$B$14,"High",IF(P595&gt;=Assumptions!$B$15,"Medium","Low"))</f>
        <v/>
      </c>
      <c r="R595" s="2">
        <f>Cleaned_Data!L595</f>
        <v/>
      </c>
    </row>
    <row r="596">
      <c r="A596" s="2">
        <f>Cleaned_Data!A596</f>
        <v/>
      </c>
      <c r="B596" s="2">
        <f>Cleaned_Data!B596</f>
        <v/>
      </c>
      <c r="C596" s="2">
        <f>Cleaned_Data!G596</f>
        <v/>
      </c>
      <c r="D596" s="2">
        <f>Cleaned_Data!I596</f>
        <v/>
      </c>
      <c r="E596" s="2">
        <f>Cleaned_Data!H596</f>
        <v/>
      </c>
      <c r="F596" s="2">
        <f>Cleaned_Data!F596</f>
        <v/>
      </c>
      <c r="G596" s="9">
        <f>SUMPRODUCT(($B$2:$B$1196=B596)*($F$2:$F$1196&lt;=F596))/SUMPRODUCT(($B$2:$B$1196=B596)*1)</f>
        <v/>
      </c>
      <c r="H596" s="2">
        <f>Cleaned_Data!J596</f>
        <v/>
      </c>
      <c r="I596" s="2">
        <f>Cleaned_Data!E596</f>
        <v/>
      </c>
      <c r="J596" s="2">
        <f>IF(C596="Yes",1,0)</f>
        <v/>
      </c>
      <c r="K596" s="2">
        <f>MIN(MAX(1-(D596-1)/4,0),1)</f>
        <v/>
      </c>
      <c r="L596" s="2">
        <f>MIN(E596/60,1)</f>
        <v/>
      </c>
      <c r="M596" s="2">
        <f>MIN(MAX(1-G596,0),1)</f>
        <v/>
      </c>
      <c r="N596" s="2">
        <f>MIN(MAX(1-(H596-1)/4,0),1)</f>
        <v/>
      </c>
      <c r="O596" s="2">
        <f>1-MIN(I596/8,1)</f>
        <v/>
      </c>
      <c r="P596" s="10">
        <f>ROUND(100*(J596*Assumptions!$B$6+K596*Assumptions!$B$7+L596*Assumptions!$B$8+M596*Assumptions!$B$9+N596*Assumptions!$B$10+O596*Assumptions!$B$11),1)</f>
        <v/>
      </c>
      <c r="Q596" s="2">
        <f>IF(P596&gt;=Assumptions!$B$14,"High",IF(P596&gt;=Assumptions!$B$15,"Medium","Low"))</f>
        <v/>
      </c>
      <c r="R596" s="2">
        <f>Cleaned_Data!L596</f>
        <v/>
      </c>
    </row>
    <row r="597">
      <c r="A597" s="2">
        <f>Cleaned_Data!A597</f>
        <v/>
      </c>
      <c r="B597" s="2">
        <f>Cleaned_Data!B597</f>
        <v/>
      </c>
      <c r="C597" s="2">
        <f>Cleaned_Data!G597</f>
        <v/>
      </c>
      <c r="D597" s="2">
        <f>Cleaned_Data!I597</f>
        <v/>
      </c>
      <c r="E597" s="2">
        <f>Cleaned_Data!H597</f>
        <v/>
      </c>
      <c r="F597" s="2">
        <f>Cleaned_Data!F597</f>
        <v/>
      </c>
      <c r="G597" s="9">
        <f>SUMPRODUCT(($B$2:$B$1196=B597)*($F$2:$F$1196&lt;=F597))/SUMPRODUCT(($B$2:$B$1196=B597)*1)</f>
        <v/>
      </c>
      <c r="H597" s="2">
        <f>Cleaned_Data!J597</f>
        <v/>
      </c>
      <c r="I597" s="2">
        <f>Cleaned_Data!E597</f>
        <v/>
      </c>
      <c r="J597" s="2">
        <f>IF(C597="Yes",1,0)</f>
        <v/>
      </c>
      <c r="K597" s="2">
        <f>MIN(MAX(1-(D597-1)/4,0),1)</f>
        <v/>
      </c>
      <c r="L597" s="2">
        <f>MIN(E597/60,1)</f>
        <v/>
      </c>
      <c r="M597" s="2">
        <f>MIN(MAX(1-G597,0),1)</f>
        <v/>
      </c>
      <c r="N597" s="2">
        <f>MIN(MAX(1-(H597-1)/4,0),1)</f>
        <v/>
      </c>
      <c r="O597" s="2">
        <f>1-MIN(I597/8,1)</f>
        <v/>
      </c>
      <c r="P597" s="10">
        <f>ROUND(100*(J597*Assumptions!$B$6+K597*Assumptions!$B$7+L597*Assumptions!$B$8+M597*Assumptions!$B$9+N597*Assumptions!$B$10+O597*Assumptions!$B$11),1)</f>
        <v/>
      </c>
      <c r="Q597" s="2">
        <f>IF(P597&gt;=Assumptions!$B$14,"High",IF(P597&gt;=Assumptions!$B$15,"Medium","Low"))</f>
        <v/>
      </c>
      <c r="R597" s="2">
        <f>Cleaned_Data!L597</f>
        <v/>
      </c>
    </row>
    <row r="598">
      <c r="A598" s="2">
        <f>Cleaned_Data!A598</f>
        <v/>
      </c>
      <c r="B598" s="2">
        <f>Cleaned_Data!B598</f>
        <v/>
      </c>
      <c r="C598" s="2">
        <f>Cleaned_Data!G598</f>
        <v/>
      </c>
      <c r="D598" s="2">
        <f>Cleaned_Data!I598</f>
        <v/>
      </c>
      <c r="E598" s="2">
        <f>Cleaned_Data!H598</f>
        <v/>
      </c>
      <c r="F598" s="2">
        <f>Cleaned_Data!F598</f>
        <v/>
      </c>
      <c r="G598" s="9">
        <f>SUMPRODUCT(($B$2:$B$1196=B598)*($F$2:$F$1196&lt;=F598))/SUMPRODUCT(($B$2:$B$1196=B598)*1)</f>
        <v/>
      </c>
      <c r="H598" s="2">
        <f>Cleaned_Data!J598</f>
        <v/>
      </c>
      <c r="I598" s="2">
        <f>Cleaned_Data!E598</f>
        <v/>
      </c>
      <c r="J598" s="2">
        <f>IF(C598="Yes",1,0)</f>
        <v/>
      </c>
      <c r="K598" s="2">
        <f>MIN(MAX(1-(D598-1)/4,0),1)</f>
        <v/>
      </c>
      <c r="L598" s="2">
        <f>MIN(E598/60,1)</f>
        <v/>
      </c>
      <c r="M598" s="2">
        <f>MIN(MAX(1-G598,0),1)</f>
        <v/>
      </c>
      <c r="N598" s="2">
        <f>MIN(MAX(1-(H598-1)/4,0),1)</f>
        <v/>
      </c>
      <c r="O598" s="2">
        <f>1-MIN(I598/8,1)</f>
        <v/>
      </c>
      <c r="P598" s="10">
        <f>ROUND(100*(J598*Assumptions!$B$6+K598*Assumptions!$B$7+L598*Assumptions!$B$8+M598*Assumptions!$B$9+N598*Assumptions!$B$10+O598*Assumptions!$B$11),1)</f>
        <v/>
      </c>
      <c r="Q598" s="2">
        <f>IF(P598&gt;=Assumptions!$B$14,"High",IF(P598&gt;=Assumptions!$B$15,"Medium","Low"))</f>
        <v/>
      </c>
      <c r="R598" s="2">
        <f>Cleaned_Data!L598</f>
        <v/>
      </c>
    </row>
    <row r="599">
      <c r="A599" s="2">
        <f>Cleaned_Data!A599</f>
        <v/>
      </c>
      <c r="B599" s="2">
        <f>Cleaned_Data!B599</f>
        <v/>
      </c>
      <c r="C599" s="2">
        <f>Cleaned_Data!G599</f>
        <v/>
      </c>
      <c r="D599" s="2">
        <f>Cleaned_Data!I599</f>
        <v/>
      </c>
      <c r="E599" s="2">
        <f>Cleaned_Data!H599</f>
        <v/>
      </c>
      <c r="F599" s="2">
        <f>Cleaned_Data!F599</f>
        <v/>
      </c>
      <c r="G599" s="9">
        <f>SUMPRODUCT(($B$2:$B$1196=B599)*($F$2:$F$1196&lt;=F599))/SUMPRODUCT(($B$2:$B$1196=B599)*1)</f>
        <v/>
      </c>
      <c r="H599" s="2">
        <f>Cleaned_Data!J599</f>
        <v/>
      </c>
      <c r="I599" s="2">
        <f>Cleaned_Data!E599</f>
        <v/>
      </c>
      <c r="J599" s="2">
        <f>IF(C599="Yes",1,0)</f>
        <v/>
      </c>
      <c r="K599" s="2">
        <f>MIN(MAX(1-(D599-1)/4,0),1)</f>
        <v/>
      </c>
      <c r="L599" s="2">
        <f>MIN(E599/60,1)</f>
        <v/>
      </c>
      <c r="M599" s="2">
        <f>MIN(MAX(1-G599,0),1)</f>
        <v/>
      </c>
      <c r="N599" s="2">
        <f>MIN(MAX(1-(H599-1)/4,0),1)</f>
        <v/>
      </c>
      <c r="O599" s="2">
        <f>1-MIN(I599/8,1)</f>
        <v/>
      </c>
      <c r="P599" s="10">
        <f>ROUND(100*(J599*Assumptions!$B$6+K599*Assumptions!$B$7+L599*Assumptions!$B$8+M599*Assumptions!$B$9+N599*Assumptions!$B$10+O599*Assumptions!$B$11),1)</f>
        <v/>
      </c>
      <c r="Q599" s="2">
        <f>IF(P599&gt;=Assumptions!$B$14,"High",IF(P599&gt;=Assumptions!$B$15,"Medium","Low"))</f>
        <v/>
      </c>
      <c r="R599" s="2">
        <f>Cleaned_Data!L599</f>
        <v/>
      </c>
    </row>
    <row r="600">
      <c r="A600" s="2">
        <f>Cleaned_Data!A600</f>
        <v/>
      </c>
      <c r="B600" s="2">
        <f>Cleaned_Data!B600</f>
        <v/>
      </c>
      <c r="C600" s="2">
        <f>Cleaned_Data!G600</f>
        <v/>
      </c>
      <c r="D600" s="2">
        <f>Cleaned_Data!I600</f>
        <v/>
      </c>
      <c r="E600" s="2">
        <f>Cleaned_Data!H600</f>
        <v/>
      </c>
      <c r="F600" s="2">
        <f>Cleaned_Data!F600</f>
        <v/>
      </c>
      <c r="G600" s="9">
        <f>SUMPRODUCT(($B$2:$B$1196=B600)*($F$2:$F$1196&lt;=F600))/SUMPRODUCT(($B$2:$B$1196=B600)*1)</f>
        <v/>
      </c>
      <c r="H600" s="2">
        <f>Cleaned_Data!J600</f>
        <v/>
      </c>
      <c r="I600" s="2">
        <f>Cleaned_Data!E600</f>
        <v/>
      </c>
      <c r="J600" s="2">
        <f>IF(C600="Yes",1,0)</f>
        <v/>
      </c>
      <c r="K600" s="2">
        <f>MIN(MAX(1-(D600-1)/4,0),1)</f>
        <v/>
      </c>
      <c r="L600" s="2">
        <f>MIN(E600/60,1)</f>
        <v/>
      </c>
      <c r="M600" s="2">
        <f>MIN(MAX(1-G600,0),1)</f>
        <v/>
      </c>
      <c r="N600" s="2">
        <f>MIN(MAX(1-(H600-1)/4,0),1)</f>
        <v/>
      </c>
      <c r="O600" s="2">
        <f>1-MIN(I600/8,1)</f>
        <v/>
      </c>
      <c r="P600" s="10">
        <f>ROUND(100*(J600*Assumptions!$B$6+K600*Assumptions!$B$7+L600*Assumptions!$B$8+M600*Assumptions!$B$9+N600*Assumptions!$B$10+O600*Assumptions!$B$11),1)</f>
        <v/>
      </c>
      <c r="Q600" s="2">
        <f>IF(P600&gt;=Assumptions!$B$14,"High",IF(P600&gt;=Assumptions!$B$15,"Medium","Low"))</f>
        <v/>
      </c>
      <c r="R600" s="2">
        <f>Cleaned_Data!L600</f>
        <v/>
      </c>
    </row>
    <row r="601">
      <c r="A601" s="2">
        <f>Cleaned_Data!A601</f>
        <v/>
      </c>
      <c r="B601" s="2">
        <f>Cleaned_Data!B601</f>
        <v/>
      </c>
      <c r="C601" s="2">
        <f>Cleaned_Data!G601</f>
        <v/>
      </c>
      <c r="D601" s="2">
        <f>Cleaned_Data!I601</f>
        <v/>
      </c>
      <c r="E601" s="2">
        <f>Cleaned_Data!H601</f>
        <v/>
      </c>
      <c r="F601" s="2">
        <f>Cleaned_Data!F601</f>
        <v/>
      </c>
      <c r="G601" s="9">
        <f>SUMPRODUCT(($B$2:$B$1196=B601)*($F$2:$F$1196&lt;=F601))/SUMPRODUCT(($B$2:$B$1196=B601)*1)</f>
        <v/>
      </c>
      <c r="H601" s="2">
        <f>Cleaned_Data!J601</f>
        <v/>
      </c>
      <c r="I601" s="2">
        <f>Cleaned_Data!E601</f>
        <v/>
      </c>
      <c r="J601" s="2">
        <f>IF(C601="Yes",1,0)</f>
        <v/>
      </c>
      <c r="K601" s="2">
        <f>MIN(MAX(1-(D601-1)/4,0),1)</f>
        <v/>
      </c>
      <c r="L601" s="2">
        <f>MIN(E601/60,1)</f>
        <v/>
      </c>
      <c r="M601" s="2">
        <f>MIN(MAX(1-G601,0),1)</f>
        <v/>
      </c>
      <c r="N601" s="2">
        <f>MIN(MAX(1-(H601-1)/4,0),1)</f>
        <v/>
      </c>
      <c r="O601" s="2">
        <f>1-MIN(I601/8,1)</f>
        <v/>
      </c>
      <c r="P601" s="10">
        <f>ROUND(100*(J601*Assumptions!$B$6+K601*Assumptions!$B$7+L601*Assumptions!$B$8+M601*Assumptions!$B$9+N601*Assumptions!$B$10+O601*Assumptions!$B$11),1)</f>
        <v/>
      </c>
      <c r="Q601" s="2">
        <f>IF(P601&gt;=Assumptions!$B$14,"High",IF(P601&gt;=Assumptions!$B$15,"Medium","Low"))</f>
        <v/>
      </c>
      <c r="R601" s="2">
        <f>Cleaned_Data!L601</f>
        <v/>
      </c>
    </row>
    <row r="602">
      <c r="A602" s="2">
        <f>Cleaned_Data!A602</f>
        <v/>
      </c>
      <c r="B602" s="2">
        <f>Cleaned_Data!B602</f>
        <v/>
      </c>
      <c r="C602" s="2">
        <f>Cleaned_Data!G602</f>
        <v/>
      </c>
      <c r="D602" s="2">
        <f>Cleaned_Data!I602</f>
        <v/>
      </c>
      <c r="E602" s="2">
        <f>Cleaned_Data!H602</f>
        <v/>
      </c>
      <c r="F602" s="2">
        <f>Cleaned_Data!F602</f>
        <v/>
      </c>
      <c r="G602" s="9">
        <f>SUMPRODUCT(($B$2:$B$1196=B602)*($F$2:$F$1196&lt;=F602))/SUMPRODUCT(($B$2:$B$1196=B602)*1)</f>
        <v/>
      </c>
      <c r="H602" s="2">
        <f>Cleaned_Data!J602</f>
        <v/>
      </c>
      <c r="I602" s="2">
        <f>Cleaned_Data!E602</f>
        <v/>
      </c>
      <c r="J602" s="2">
        <f>IF(C602="Yes",1,0)</f>
        <v/>
      </c>
      <c r="K602" s="2">
        <f>MIN(MAX(1-(D602-1)/4,0),1)</f>
        <v/>
      </c>
      <c r="L602" s="2">
        <f>MIN(E602/60,1)</f>
        <v/>
      </c>
      <c r="M602" s="2">
        <f>MIN(MAX(1-G602,0),1)</f>
        <v/>
      </c>
      <c r="N602" s="2">
        <f>MIN(MAX(1-(H602-1)/4,0),1)</f>
        <v/>
      </c>
      <c r="O602" s="2">
        <f>1-MIN(I602/8,1)</f>
        <v/>
      </c>
      <c r="P602" s="10">
        <f>ROUND(100*(J602*Assumptions!$B$6+K602*Assumptions!$B$7+L602*Assumptions!$B$8+M602*Assumptions!$B$9+N602*Assumptions!$B$10+O602*Assumptions!$B$11),1)</f>
        <v/>
      </c>
      <c r="Q602" s="2">
        <f>IF(P602&gt;=Assumptions!$B$14,"High",IF(P602&gt;=Assumptions!$B$15,"Medium","Low"))</f>
        <v/>
      </c>
      <c r="R602" s="2">
        <f>Cleaned_Data!L602</f>
        <v/>
      </c>
    </row>
    <row r="603">
      <c r="A603" s="2">
        <f>Cleaned_Data!A603</f>
        <v/>
      </c>
      <c r="B603" s="2">
        <f>Cleaned_Data!B603</f>
        <v/>
      </c>
      <c r="C603" s="2">
        <f>Cleaned_Data!G603</f>
        <v/>
      </c>
      <c r="D603" s="2">
        <f>Cleaned_Data!I603</f>
        <v/>
      </c>
      <c r="E603" s="2">
        <f>Cleaned_Data!H603</f>
        <v/>
      </c>
      <c r="F603" s="2">
        <f>Cleaned_Data!F603</f>
        <v/>
      </c>
      <c r="G603" s="9">
        <f>SUMPRODUCT(($B$2:$B$1196=B603)*($F$2:$F$1196&lt;=F603))/SUMPRODUCT(($B$2:$B$1196=B603)*1)</f>
        <v/>
      </c>
      <c r="H603" s="2">
        <f>Cleaned_Data!J603</f>
        <v/>
      </c>
      <c r="I603" s="2">
        <f>Cleaned_Data!E603</f>
        <v/>
      </c>
      <c r="J603" s="2">
        <f>IF(C603="Yes",1,0)</f>
        <v/>
      </c>
      <c r="K603" s="2">
        <f>MIN(MAX(1-(D603-1)/4,0),1)</f>
        <v/>
      </c>
      <c r="L603" s="2">
        <f>MIN(E603/60,1)</f>
        <v/>
      </c>
      <c r="M603" s="2">
        <f>MIN(MAX(1-G603,0),1)</f>
        <v/>
      </c>
      <c r="N603" s="2">
        <f>MIN(MAX(1-(H603-1)/4,0),1)</f>
        <v/>
      </c>
      <c r="O603" s="2">
        <f>1-MIN(I603/8,1)</f>
        <v/>
      </c>
      <c r="P603" s="10">
        <f>ROUND(100*(J603*Assumptions!$B$6+K603*Assumptions!$B$7+L603*Assumptions!$B$8+M603*Assumptions!$B$9+N603*Assumptions!$B$10+O603*Assumptions!$B$11),1)</f>
        <v/>
      </c>
      <c r="Q603" s="2">
        <f>IF(P603&gt;=Assumptions!$B$14,"High",IF(P603&gt;=Assumptions!$B$15,"Medium","Low"))</f>
        <v/>
      </c>
      <c r="R603" s="2">
        <f>Cleaned_Data!L603</f>
        <v/>
      </c>
    </row>
    <row r="604">
      <c r="A604" s="2">
        <f>Cleaned_Data!A604</f>
        <v/>
      </c>
      <c r="B604" s="2">
        <f>Cleaned_Data!B604</f>
        <v/>
      </c>
      <c r="C604" s="2">
        <f>Cleaned_Data!G604</f>
        <v/>
      </c>
      <c r="D604" s="2">
        <f>Cleaned_Data!I604</f>
        <v/>
      </c>
      <c r="E604" s="2">
        <f>Cleaned_Data!H604</f>
        <v/>
      </c>
      <c r="F604" s="2">
        <f>Cleaned_Data!F604</f>
        <v/>
      </c>
      <c r="G604" s="9">
        <f>SUMPRODUCT(($B$2:$B$1196=B604)*($F$2:$F$1196&lt;=F604))/SUMPRODUCT(($B$2:$B$1196=B604)*1)</f>
        <v/>
      </c>
      <c r="H604" s="2">
        <f>Cleaned_Data!J604</f>
        <v/>
      </c>
      <c r="I604" s="2">
        <f>Cleaned_Data!E604</f>
        <v/>
      </c>
      <c r="J604" s="2">
        <f>IF(C604="Yes",1,0)</f>
        <v/>
      </c>
      <c r="K604" s="2">
        <f>MIN(MAX(1-(D604-1)/4,0),1)</f>
        <v/>
      </c>
      <c r="L604" s="2">
        <f>MIN(E604/60,1)</f>
        <v/>
      </c>
      <c r="M604" s="2">
        <f>MIN(MAX(1-G604,0),1)</f>
        <v/>
      </c>
      <c r="N604" s="2">
        <f>MIN(MAX(1-(H604-1)/4,0),1)</f>
        <v/>
      </c>
      <c r="O604" s="2">
        <f>1-MIN(I604/8,1)</f>
        <v/>
      </c>
      <c r="P604" s="10">
        <f>ROUND(100*(J604*Assumptions!$B$6+K604*Assumptions!$B$7+L604*Assumptions!$B$8+M604*Assumptions!$B$9+N604*Assumptions!$B$10+O604*Assumptions!$B$11),1)</f>
        <v/>
      </c>
      <c r="Q604" s="2">
        <f>IF(P604&gt;=Assumptions!$B$14,"High",IF(P604&gt;=Assumptions!$B$15,"Medium","Low"))</f>
        <v/>
      </c>
      <c r="R604" s="2">
        <f>Cleaned_Data!L604</f>
        <v/>
      </c>
    </row>
    <row r="605">
      <c r="A605" s="2">
        <f>Cleaned_Data!A605</f>
        <v/>
      </c>
      <c r="B605" s="2">
        <f>Cleaned_Data!B605</f>
        <v/>
      </c>
      <c r="C605" s="2">
        <f>Cleaned_Data!G605</f>
        <v/>
      </c>
      <c r="D605" s="2">
        <f>Cleaned_Data!I605</f>
        <v/>
      </c>
      <c r="E605" s="2">
        <f>Cleaned_Data!H605</f>
        <v/>
      </c>
      <c r="F605" s="2">
        <f>Cleaned_Data!F605</f>
        <v/>
      </c>
      <c r="G605" s="9">
        <f>SUMPRODUCT(($B$2:$B$1196=B605)*($F$2:$F$1196&lt;=F605))/SUMPRODUCT(($B$2:$B$1196=B605)*1)</f>
        <v/>
      </c>
      <c r="H605" s="2">
        <f>Cleaned_Data!J605</f>
        <v/>
      </c>
      <c r="I605" s="2">
        <f>Cleaned_Data!E605</f>
        <v/>
      </c>
      <c r="J605" s="2">
        <f>IF(C605="Yes",1,0)</f>
        <v/>
      </c>
      <c r="K605" s="2">
        <f>MIN(MAX(1-(D605-1)/4,0),1)</f>
        <v/>
      </c>
      <c r="L605" s="2">
        <f>MIN(E605/60,1)</f>
        <v/>
      </c>
      <c r="M605" s="2">
        <f>MIN(MAX(1-G605,0),1)</f>
        <v/>
      </c>
      <c r="N605" s="2">
        <f>MIN(MAX(1-(H605-1)/4,0),1)</f>
        <v/>
      </c>
      <c r="O605" s="2">
        <f>1-MIN(I605/8,1)</f>
        <v/>
      </c>
      <c r="P605" s="10">
        <f>ROUND(100*(J605*Assumptions!$B$6+K605*Assumptions!$B$7+L605*Assumptions!$B$8+M605*Assumptions!$B$9+N605*Assumptions!$B$10+O605*Assumptions!$B$11),1)</f>
        <v/>
      </c>
      <c r="Q605" s="2">
        <f>IF(P605&gt;=Assumptions!$B$14,"High",IF(P605&gt;=Assumptions!$B$15,"Medium","Low"))</f>
        <v/>
      </c>
      <c r="R605" s="2">
        <f>Cleaned_Data!L605</f>
        <v/>
      </c>
    </row>
    <row r="606">
      <c r="A606" s="2">
        <f>Cleaned_Data!A606</f>
        <v/>
      </c>
      <c r="B606" s="2">
        <f>Cleaned_Data!B606</f>
        <v/>
      </c>
      <c r="C606" s="2">
        <f>Cleaned_Data!G606</f>
        <v/>
      </c>
      <c r="D606" s="2">
        <f>Cleaned_Data!I606</f>
        <v/>
      </c>
      <c r="E606" s="2">
        <f>Cleaned_Data!H606</f>
        <v/>
      </c>
      <c r="F606" s="2">
        <f>Cleaned_Data!F606</f>
        <v/>
      </c>
      <c r="G606" s="9">
        <f>SUMPRODUCT(($B$2:$B$1196=B606)*($F$2:$F$1196&lt;=F606))/SUMPRODUCT(($B$2:$B$1196=B606)*1)</f>
        <v/>
      </c>
      <c r="H606" s="2">
        <f>Cleaned_Data!J606</f>
        <v/>
      </c>
      <c r="I606" s="2">
        <f>Cleaned_Data!E606</f>
        <v/>
      </c>
      <c r="J606" s="2">
        <f>IF(C606="Yes",1,0)</f>
        <v/>
      </c>
      <c r="K606" s="2">
        <f>MIN(MAX(1-(D606-1)/4,0),1)</f>
        <v/>
      </c>
      <c r="L606" s="2">
        <f>MIN(E606/60,1)</f>
        <v/>
      </c>
      <c r="M606" s="2">
        <f>MIN(MAX(1-G606,0),1)</f>
        <v/>
      </c>
      <c r="N606" s="2">
        <f>MIN(MAX(1-(H606-1)/4,0),1)</f>
        <v/>
      </c>
      <c r="O606" s="2">
        <f>1-MIN(I606/8,1)</f>
        <v/>
      </c>
      <c r="P606" s="10">
        <f>ROUND(100*(J606*Assumptions!$B$6+K606*Assumptions!$B$7+L606*Assumptions!$B$8+M606*Assumptions!$B$9+N606*Assumptions!$B$10+O606*Assumptions!$B$11),1)</f>
        <v/>
      </c>
      <c r="Q606" s="2">
        <f>IF(P606&gt;=Assumptions!$B$14,"High",IF(P606&gt;=Assumptions!$B$15,"Medium","Low"))</f>
        <v/>
      </c>
      <c r="R606" s="2">
        <f>Cleaned_Data!L606</f>
        <v/>
      </c>
    </row>
    <row r="607">
      <c r="A607" s="2">
        <f>Cleaned_Data!A607</f>
        <v/>
      </c>
      <c r="B607" s="2">
        <f>Cleaned_Data!B607</f>
        <v/>
      </c>
      <c r="C607" s="2">
        <f>Cleaned_Data!G607</f>
        <v/>
      </c>
      <c r="D607" s="2">
        <f>Cleaned_Data!I607</f>
        <v/>
      </c>
      <c r="E607" s="2">
        <f>Cleaned_Data!H607</f>
        <v/>
      </c>
      <c r="F607" s="2">
        <f>Cleaned_Data!F607</f>
        <v/>
      </c>
      <c r="G607" s="9">
        <f>SUMPRODUCT(($B$2:$B$1196=B607)*($F$2:$F$1196&lt;=F607))/SUMPRODUCT(($B$2:$B$1196=B607)*1)</f>
        <v/>
      </c>
      <c r="H607" s="2">
        <f>Cleaned_Data!J607</f>
        <v/>
      </c>
      <c r="I607" s="2">
        <f>Cleaned_Data!E607</f>
        <v/>
      </c>
      <c r="J607" s="2">
        <f>IF(C607="Yes",1,0)</f>
        <v/>
      </c>
      <c r="K607" s="2">
        <f>MIN(MAX(1-(D607-1)/4,0),1)</f>
        <v/>
      </c>
      <c r="L607" s="2">
        <f>MIN(E607/60,1)</f>
        <v/>
      </c>
      <c r="M607" s="2">
        <f>MIN(MAX(1-G607,0),1)</f>
        <v/>
      </c>
      <c r="N607" s="2">
        <f>MIN(MAX(1-(H607-1)/4,0),1)</f>
        <v/>
      </c>
      <c r="O607" s="2">
        <f>1-MIN(I607/8,1)</f>
        <v/>
      </c>
      <c r="P607" s="10">
        <f>ROUND(100*(J607*Assumptions!$B$6+K607*Assumptions!$B$7+L607*Assumptions!$B$8+M607*Assumptions!$B$9+N607*Assumptions!$B$10+O607*Assumptions!$B$11),1)</f>
        <v/>
      </c>
      <c r="Q607" s="2">
        <f>IF(P607&gt;=Assumptions!$B$14,"High",IF(P607&gt;=Assumptions!$B$15,"Medium","Low"))</f>
        <v/>
      </c>
      <c r="R607" s="2">
        <f>Cleaned_Data!L607</f>
        <v/>
      </c>
    </row>
    <row r="608">
      <c r="A608" s="2">
        <f>Cleaned_Data!A608</f>
        <v/>
      </c>
      <c r="B608" s="2">
        <f>Cleaned_Data!B608</f>
        <v/>
      </c>
      <c r="C608" s="2">
        <f>Cleaned_Data!G608</f>
        <v/>
      </c>
      <c r="D608" s="2">
        <f>Cleaned_Data!I608</f>
        <v/>
      </c>
      <c r="E608" s="2">
        <f>Cleaned_Data!H608</f>
        <v/>
      </c>
      <c r="F608" s="2">
        <f>Cleaned_Data!F608</f>
        <v/>
      </c>
      <c r="G608" s="9">
        <f>SUMPRODUCT(($B$2:$B$1196=B608)*($F$2:$F$1196&lt;=F608))/SUMPRODUCT(($B$2:$B$1196=B608)*1)</f>
        <v/>
      </c>
      <c r="H608" s="2">
        <f>Cleaned_Data!J608</f>
        <v/>
      </c>
      <c r="I608" s="2">
        <f>Cleaned_Data!E608</f>
        <v/>
      </c>
      <c r="J608" s="2">
        <f>IF(C608="Yes",1,0)</f>
        <v/>
      </c>
      <c r="K608" s="2">
        <f>MIN(MAX(1-(D608-1)/4,0),1)</f>
        <v/>
      </c>
      <c r="L608" s="2">
        <f>MIN(E608/60,1)</f>
        <v/>
      </c>
      <c r="M608" s="2">
        <f>MIN(MAX(1-G608,0),1)</f>
        <v/>
      </c>
      <c r="N608" s="2">
        <f>MIN(MAX(1-(H608-1)/4,0),1)</f>
        <v/>
      </c>
      <c r="O608" s="2">
        <f>1-MIN(I608/8,1)</f>
        <v/>
      </c>
      <c r="P608" s="10">
        <f>ROUND(100*(J608*Assumptions!$B$6+K608*Assumptions!$B$7+L608*Assumptions!$B$8+M608*Assumptions!$B$9+N608*Assumptions!$B$10+O608*Assumptions!$B$11),1)</f>
        <v/>
      </c>
      <c r="Q608" s="2">
        <f>IF(P608&gt;=Assumptions!$B$14,"High",IF(P608&gt;=Assumptions!$B$15,"Medium","Low"))</f>
        <v/>
      </c>
      <c r="R608" s="2">
        <f>Cleaned_Data!L608</f>
        <v/>
      </c>
    </row>
    <row r="609">
      <c r="A609" s="2">
        <f>Cleaned_Data!A609</f>
        <v/>
      </c>
      <c r="B609" s="2">
        <f>Cleaned_Data!B609</f>
        <v/>
      </c>
      <c r="C609" s="2">
        <f>Cleaned_Data!G609</f>
        <v/>
      </c>
      <c r="D609" s="2">
        <f>Cleaned_Data!I609</f>
        <v/>
      </c>
      <c r="E609" s="2">
        <f>Cleaned_Data!H609</f>
        <v/>
      </c>
      <c r="F609" s="2">
        <f>Cleaned_Data!F609</f>
        <v/>
      </c>
      <c r="G609" s="9">
        <f>SUMPRODUCT(($B$2:$B$1196=B609)*($F$2:$F$1196&lt;=F609))/SUMPRODUCT(($B$2:$B$1196=B609)*1)</f>
        <v/>
      </c>
      <c r="H609" s="2">
        <f>Cleaned_Data!J609</f>
        <v/>
      </c>
      <c r="I609" s="2">
        <f>Cleaned_Data!E609</f>
        <v/>
      </c>
      <c r="J609" s="2">
        <f>IF(C609="Yes",1,0)</f>
        <v/>
      </c>
      <c r="K609" s="2">
        <f>MIN(MAX(1-(D609-1)/4,0),1)</f>
        <v/>
      </c>
      <c r="L609" s="2">
        <f>MIN(E609/60,1)</f>
        <v/>
      </c>
      <c r="M609" s="2">
        <f>MIN(MAX(1-G609,0),1)</f>
        <v/>
      </c>
      <c r="N609" s="2">
        <f>MIN(MAX(1-(H609-1)/4,0),1)</f>
        <v/>
      </c>
      <c r="O609" s="2">
        <f>1-MIN(I609/8,1)</f>
        <v/>
      </c>
      <c r="P609" s="10">
        <f>ROUND(100*(J609*Assumptions!$B$6+K609*Assumptions!$B$7+L609*Assumptions!$B$8+M609*Assumptions!$B$9+N609*Assumptions!$B$10+O609*Assumptions!$B$11),1)</f>
        <v/>
      </c>
      <c r="Q609" s="2">
        <f>IF(P609&gt;=Assumptions!$B$14,"High",IF(P609&gt;=Assumptions!$B$15,"Medium","Low"))</f>
        <v/>
      </c>
      <c r="R609" s="2">
        <f>Cleaned_Data!L609</f>
        <v/>
      </c>
    </row>
    <row r="610">
      <c r="A610" s="2">
        <f>Cleaned_Data!A610</f>
        <v/>
      </c>
      <c r="B610" s="2">
        <f>Cleaned_Data!B610</f>
        <v/>
      </c>
      <c r="C610" s="2">
        <f>Cleaned_Data!G610</f>
        <v/>
      </c>
      <c r="D610" s="2">
        <f>Cleaned_Data!I610</f>
        <v/>
      </c>
      <c r="E610" s="2">
        <f>Cleaned_Data!H610</f>
        <v/>
      </c>
      <c r="F610" s="2">
        <f>Cleaned_Data!F610</f>
        <v/>
      </c>
      <c r="G610" s="9">
        <f>SUMPRODUCT(($B$2:$B$1196=B610)*($F$2:$F$1196&lt;=F610))/SUMPRODUCT(($B$2:$B$1196=B610)*1)</f>
        <v/>
      </c>
      <c r="H610" s="2">
        <f>Cleaned_Data!J610</f>
        <v/>
      </c>
      <c r="I610" s="2">
        <f>Cleaned_Data!E610</f>
        <v/>
      </c>
      <c r="J610" s="2">
        <f>IF(C610="Yes",1,0)</f>
        <v/>
      </c>
      <c r="K610" s="2">
        <f>MIN(MAX(1-(D610-1)/4,0),1)</f>
        <v/>
      </c>
      <c r="L610" s="2">
        <f>MIN(E610/60,1)</f>
        <v/>
      </c>
      <c r="M610" s="2">
        <f>MIN(MAX(1-G610,0),1)</f>
        <v/>
      </c>
      <c r="N610" s="2">
        <f>MIN(MAX(1-(H610-1)/4,0),1)</f>
        <v/>
      </c>
      <c r="O610" s="2">
        <f>1-MIN(I610/8,1)</f>
        <v/>
      </c>
      <c r="P610" s="10">
        <f>ROUND(100*(J610*Assumptions!$B$6+K610*Assumptions!$B$7+L610*Assumptions!$B$8+M610*Assumptions!$B$9+N610*Assumptions!$B$10+O610*Assumptions!$B$11),1)</f>
        <v/>
      </c>
      <c r="Q610" s="2">
        <f>IF(P610&gt;=Assumptions!$B$14,"High",IF(P610&gt;=Assumptions!$B$15,"Medium","Low"))</f>
        <v/>
      </c>
      <c r="R610" s="2">
        <f>Cleaned_Data!L610</f>
        <v/>
      </c>
    </row>
    <row r="611">
      <c r="A611" s="2">
        <f>Cleaned_Data!A611</f>
        <v/>
      </c>
      <c r="B611" s="2">
        <f>Cleaned_Data!B611</f>
        <v/>
      </c>
      <c r="C611" s="2">
        <f>Cleaned_Data!G611</f>
        <v/>
      </c>
      <c r="D611" s="2">
        <f>Cleaned_Data!I611</f>
        <v/>
      </c>
      <c r="E611" s="2">
        <f>Cleaned_Data!H611</f>
        <v/>
      </c>
      <c r="F611" s="2">
        <f>Cleaned_Data!F611</f>
        <v/>
      </c>
      <c r="G611" s="9">
        <f>SUMPRODUCT(($B$2:$B$1196=B611)*($F$2:$F$1196&lt;=F611))/SUMPRODUCT(($B$2:$B$1196=B611)*1)</f>
        <v/>
      </c>
      <c r="H611" s="2">
        <f>Cleaned_Data!J611</f>
        <v/>
      </c>
      <c r="I611" s="2">
        <f>Cleaned_Data!E611</f>
        <v/>
      </c>
      <c r="J611" s="2">
        <f>IF(C611="Yes",1,0)</f>
        <v/>
      </c>
      <c r="K611" s="2">
        <f>MIN(MAX(1-(D611-1)/4,0),1)</f>
        <v/>
      </c>
      <c r="L611" s="2">
        <f>MIN(E611/60,1)</f>
        <v/>
      </c>
      <c r="M611" s="2">
        <f>MIN(MAX(1-G611,0),1)</f>
        <v/>
      </c>
      <c r="N611" s="2">
        <f>MIN(MAX(1-(H611-1)/4,0),1)</f>
        <v/>
      </c>
      <c r="O611" s="2">
        <f>1-MIN(I611/8,1)</f>
        <v/>
      </c>
      <c r="P611" s="10">
        <f>ROUND(100*(J611*Assumptions!$B$6+K611*Assumptions!$B$7+L611*Assumptions!$B$8+M611*Assumptions!$B$9+N611*Assumptions!$B$10+O611*Assumptions!$B$11),1)</f>
        <v/>
      </c>
      <c r="Q611" s="2">
        <f>IF(P611&gt;=Assumptions!$B$14,"High",IF(P611&gt;=Assumptions!$B$15,"Medium","Low"))</f>
        <v/>
      </c>
      <c r="R611" s="2">
        <f>Cleaned_Data!L611</f>
        <v/>
      </c>
    </row>
    <row r="612">
      <c r="A612" s="2">
        <f>Cleaned_Data!A612</f>
        <v/>
      </c>
      <c r="B612" s="2">
        <f>Cleaned_Data!B612</f>
        <v/>
      </c>
      <c r="C612" s="2">
        <f>Cleaned_Data!G612</f>
        <v/>
      </c>
      <c r="D612" s="2">
        <f>Cleaned_Data!I612</f>
        <v/>
      </c>
      <c r="E612" s="2">
        <f>Cleaned_Data!H612</f>
        <v/>
      </c>
      <c r="F612" s="2">
        <f>Cleaned_Data!F612</f>
        <v/>
      </c>
      <c r="G612" s="9">
        <f>SUMPRODUCT(($B$2:$B$1196=B612)*($F$2:$F$1196&lt;=F612))/SUMPRODUCT(($B$2:$B$1196=B612)*1)</f>
        <v/>
      </c>
      <c r="H612" s="2">
        <f>Cleaned_Data!J612</f>
        <v/>
      </c>
      <c r="I612" s="2">
        <f>Cleaned_Data!E612</f>
        <v/>
      </c>
      <c r="J612" s="2">
        <f>IF(C612="Yes",1,0)</f>
        <v/>
      </c>
      <c r="K612" s="2">
        <f>MIN(MAX(1-(D612-1)/4,0),1)</f>
        <v/>
      </c>
      <c r="L612" s="2">
        <f>MIN(E612/60,1)</f>
        <v/>
      </c>
      <c r="M612" s="2">
        <f>MIN(MAX(1-G612,0),1)</f>
        <v/>
      </c>
      <c r="N612" s="2">
        <f>MIN(MAX(1-(H612-1)/4,0),1)</f>
        <v/>
      </c>
      <c r="O612" s="2">
        <f>1-MIN(I612/8,1)</f>
        <v/>
      </c>
      <c r="P612" s="10">
        <f>ROUND(100*(J612*Assumptions!$B$6+K612*Assumptions!$B$7+L612*Assumptions!$B$8+M612*Assumptions!$B$9+N612*Assumptions!$B$10+O612*Assumptions!$B$11),1)</f>
        <v/>
      </c>
      <c r="Q612" s="2">
        <f>IF(P612&gt;=Assumptions!$B$14,"High",IF(P612&gt;=Assumptions!$B$15,"Medium","Low"))</f>
        <v/>
      </c>
      <c r="R612" s="2">
        <f>Cleaned_Data!L612</f>
        <v/>
      </c>
    </row>
    <row r="613">
      <c r="A613" s="2">
        <f>Cleaned_Data!A613</f>
        <v/>
      </c>
      <c r="B613" s="2">
        <f>Cleaned_Data!B613</f>
        <v/>
      </c>
      <c r="C613" s="2">
        <f>Cleaned_Data!G613</f>
        <v/>
      </c>
      <c r="D613" s="2">
        <f>Cleaned_Data!I613</f>
        <v/>
      </c>
      <c r="E613" s="2">
        <f>Cleaned_Data!H613</f>
        <v/>
      </c>
      <c r="F613" s="2">
        <f>Cleaned_Data!F613</f>
        <v/>
      </c>
      <c r="G613" s="9">
        <f>SUMPRODUCT(($B$2:$B$1196=B613)*($F$2:$F$1196&lt;=F613))/SUMPRODUCT(($B$2:$B$1196=B613)*1)</f>
        <v/>
      </c>
      <c r="H613" s="2">
        <f>Cleaned_Data!J613</f>
        <v/>
      </c>
      <c r="I613" s="2">
        <f>Cleaned_Data!E613</f>
        <v/>
      </c>
      <c r="J613" s="2">
        <f>IF(C613="Yes",1,0)</f>
        <v/>
      </c>
      <c r="K613" s="2">
        <f>MIN(MAX(1-(D613-1)/4,0),1)</f>
        <v/>
      </c>
      <c r="L613" s="2">
        <f>MIN(E613/60,1)</f>
        <v/>
      </c>
      <c r="M613" s="2">
        <f>MIN(MAX(1-G613,0),1)</f>
        <v/>
      </c>
      <c r="N613" s="2">
        <f>MIN(MAX(1-(H613-1)/4,0),1)</f>
        <v/>
      </c>
      <c r="O613" s="2">
        <f>1-MIN(I613/8,1)</f>
        <v/>
      </c>
      <c r="P613" s="10">
        <f>ROUND(100*(J613*Assumptions!$B$6+K613*Assumptions!$B$7+L613*Assumptions!$B$8+M613*Assumptions!$B$9+N613*Assumptions!$B$10+O613*Assumptions!$B$11),1)</f>
        <v/>
      </c>
      <c r="Q613" s="2">
        <f>IF(P613&gt;=Assumptions!$B$14,"High",IF(P613&gt;=Assumptions!$B$15,"Medium","Low"))</f>
        <v/>
      </c>
      <c r="R613" s="2">
        <f>Cleaned_Data!L613</f>
        <v/>
      </c>
    </row>
    <row r="614">
      <c r="A614" s="2">
        <f>Cleaned_Data!A614</f>
        <v/>
      </c>
      <c r="B614" s="2">
        <f>Cleaned_Data!B614</f>
        <v/>
      </c>
      <c r="C614" s="2">
        <f>Cleaned_Data!G614</f>
        <v/>
      </c>
      <c r="D614" s="2">
        <f>Cleaned_Data!I614</f>
        <v/>
      </c>
      <c r="E614" s="2">
        <f>Cleaned_Data!H614</f>
        <v/>
      </c>
      <c r="F614" s="2">
        <f>Cleaned_Data!F614</f>
        <v/>
      </c>
      <c r="G614" s="9">
        <f>SUMPRODUCT(($B$2:$B$1196=B614)*($F$2:$F$1196&lt;=F614))/SUMPRODUCT(($B$2:$B$1196=B614)*1)</f>
        <v/>
      </c>
      <c r="H614" s="2">
        <f>Cleaned_Data!J614</f>
        <v/>
      </c>
      <c r="I614" s="2">
        <f>Cleaned_Data!E614</f>
        <v/>
      </c>
      <c r="J614" s="2">
        <f>IF(C614="Yes",1,0)</f>
        <v/>
      </c>
      <c r="K614" s="2">
        <f>MIN(MAX(1-(D614-1)/4,0),1)</f>
        <v/>
      </c>
      <c r="L614" s="2">
        <f>MIN(E614/60,1)</f>
        <v/>
      </c>
      <c r="M614" s="2">
        <f>MIN(MAX(1-G614,0),1)</f>
        <v/>
      </c>
      <c r="N614" s="2">
        <f>MIN(MAX(1-(H614-1)/4,0),1)</f>
        <v/>
      </c>
      <c r="O614" s="2">
        <f>1-MIN(I614/8,1)</f>
        <v/>
      </c>
      <c r="P614" s="10">
        <f>ROUND(100*(J614*Assumptions!$B$6+K614*Assumptions!$B$7+L614*Assumptions!$B$8+M614*Assumptions!$B$9+N614*Assumptions!$B$10+O614*Assumptions!$B$11),1)</f>
        <v/>
      </c>
      <c r="Q614" s="2">
        <f>IF(P614&gt;=Assumptions!$B$14,"High",IF(P614&gt;=Assumptions!$B$15,"Medium","Low"))</f>
        <v/>
      </c>
      <c r="R614" s="2">
        <f>Cleaned_Data!L614</f>
        <v/>
      </c>
    </row>
    <row r="615">
      <c r="A615" s="2">
        <f>Cleaned_Data!A615</f>
        <v/>
      </c>
      <c r="B615" s="2">
        <f>Cleaned_Data!B615</f>
        <v/>
      </c>
      <c r="C615" s="2">
        <f>Cleaned_Data!G615</f>
        <v/>
      </c>
      <c r="D615" s="2">
        <f>Cleaned_Data!I615</f>
        <v/>
      </c>
      <c r="E615" s="2">
        <f>Cleaned_Data!H615</f>
        <v/>
      </c>
      <c r="F615" s="2">
        <f>Cleaned_Data!F615</f>
        <v/>
      </c>
      <c r="G615" s="9">
        <f>SUMPRODUCT(($B$2:$B$1196=B615)*($F$2:$F$1196&lt;=F615))/SUMPRODUCT(($B$2:$B$1196=B615)*1)</f>
        <v/>
      </c>
      <c r="H615" s="2">
        <f>Cleaned_Data!J615</f>
        <v/>
      </c>
      <c r="I615" s="2">
        <f>Cleaned_Data!E615</f>
        <v/>
      </c>
      <c r="J615" s="2">
        <f>IF(C615="Yes",1,0)</f>
        <v/>
      </c>
      <c r="K615" s="2">
        <f>MIN(MAX(1-(D615-1)/4,0),1)</f>
        <v/>
      </c>
      <c r="L615" s="2">
        <f>MIN(E615/60,1)</f>
        <v/>
      </c>
      <c r="M615" s="2">
        <f>MIN(MAX(1-G615,0),1)</f>
        <v/>
      </c>
      <c r="N615" s="2">
        <f>MIN(MAX(1-(H615-1)/4,0),1)</f>
        <v/>
      </c>
      <c r="O615" s="2">
        <f>1-MIN(I615/8,1)</f>
        <v/>
      </c>
      <c r="P615" s="10">
        <f>ROUND(100*(J615*Assumptions!$B$6+K615*Assumptions!$B$7+L615*Assumptions!$B$8+M615*Assumptions!$B$9+N615*Assumptions!$B$10+O615*Assumptions!$B$11),1)</f>
        <v/>
      </c>
      <c r="Q615" s="2">
        <f>IF(P615&gt;=Assumptions!$B$14,"High",IF(P615&gt;=Assumptions!$B$15,"Medium","Low"))</f>
        <v/>
      </c>
      <c r="R615" s="2">
        <f>Cleaned_Data!L615</f>
        <v/>
      </c>
    </row>
    <row r="616">
      <c r="A616" s="2">
        <f>Cleaned_Data!A616</f>
        <v/>
      </c>
      <c r="B616" s="2">
        <f>Cleaned_Data!B616</f>
        <v/>
      </c>
      <c r="C616" s="2">
        <f>Cleaned_Data!G616</f>
        <v/>
      </c>
      <c r="D616" s="2">
        <f>Cleaned_Data!I616</f>
        <v/>
      </c>
      <c r="E616" s="2">
        <f>Cleaned_Data!H616</f>
        <v/>
      </c>
      <c r="F616" s="2">
        <f>Cleaned_Data!F616</f>
        <v/>
      </c>
      <c r="G616" s="9">
        <f>SUMPRODUCT(($B$2:$B$1196=B616)*($F$2:$F$1196&lt;=F616))/SUMPRODUCT(($B$2:$B$1196=B616)*1)</f>
        <v/>
      </c>
      <c r="H616" s="2">
        <f>Cleaned_Data!J616</f>
        <v/>
      </c>
      <c r="I616" s="2">
        <f>Cleaned_Data!E616</f>
        <v/>
      </c>
      <c r="J616" s="2">
        <f>IF(C616="Yes",1,0)</f>
        <v/>
      </c>
      <c r="K616" s="2">
        <f>MIN(MAX(1-(D616-1)/4,0),1)</f>
        <v/>
      </c>
      <c r="L616" s="2">
        <f>MIN(E616/60,1)</f>
        <v/>
      </c>
      <c r="M616" s="2">
        <f>MIN(MAX(1-G616,0),1)</f>
        <v/>
      </c>
      <c r="N616" s="2">
        <f>MIN(MAX(1-(H616-1)/4,0),1)</f>
        <v/>
      </c>
      <c r="O616" s="2">
        <f>1-MIN(I616/8,1)</f>
        <v/>
      </c>
      <c r="P616" s="10">
        <f>ROUND(100*(J616*Assumptions!$B$6+K616*Assumptions!$B$7+L616*Assumptions!$B$8+M616*Assumptions!$B$9+N616*Assumptions!$B$10+O616*Assumptions!$B$11),1)</f>
        <v/>
      </c>
      <c r="Q616" s="2">
        <f>IF(P616&gt;=Assumptions!$B$14,"High",IF(P616&gt;=Assumptions!$B$15,"Medium","Low"))</f>
        <v/>
      </c>
      <c r="R616" s="2">
        <f>Cleaned_Data!L616</f>
        <v/>
      </c>
    </row>
    <row r="617">
      <c r="A617" s="2">
        <f>Cleaned_Data!A617</f>
        <v/>
      </c>
      <c r="B617" s="2">
        <f>Cleaned_Data!B617</f>
        <v/>
      </c>
      <c r="C617" s="2">
        <f>Cleaned_Data!G617</f>
        <v/>
      </c>
      <c r="D617" s="2">
        <f>Cleaned_Data!I617</f>
        <v/>
      </c>
      <c r="E617" s="2">
        <f>Cleaned_Data!H617</f>
        <v/>
      </c>
      <c r="F617" s="2">
        <f>Cleaned_Data!F617</f>
        <v/>
      </c>
      <c r="G617" s="9">
        <f>SUMPRODUCT(($B$2:$B$1196=B617)*($F$2:$F$1196&lt;=F617))/SUMPRODUCT(($B$2:$B$1196=B617)*1)</f>
        <v/>
      </c>
      <c r="H617" s="2">
        <f>Cleaned_Data!J617</f>
        <v/>
      </c>
      <c r="I617" s="2">
        <f>Cleaned_Data!E617</f>
        <v/>
      </c>
      <c r="J617" s="2">
        <f>IF(C617="Yes",1,0)</f>
        <v/>
      </c>
      <c r="K617" s="2">
        <f>MIN(MAX(1-(D617-1)/4,0),1)</f>
        <v/>
      </c>
      <c r="L617" s="2">
        <f>MIN(E617/60,1)</f>
        <v/>
      </c>
      <c r="M617" s="2">
        <f>MIN(MAX(1-G617,0),1)</f>
        <v/>
      </c>
      <c r="N617" s="2">
        <f>MIN(MAX(1-(H617-1)/4,0),1)</f>
        <v/>
      </c>
      <c r="O617" s="2">
        <f>1-MIN(I617/8,1)</f>
        <v/>
      </c>
      <c r="P617" s="10">
        <f>ROUND(100*(J617*Assumptions!$B$6+K617*Assumptions!$B$7+L617*Assumptions!$B$8+M617*Assumptions!$B$9+N617*Assumptions!$B$10+O617*Assumptions!$B$11),1)</f>
        <v/>
      </c>
      <c r="Q617" s="2">
        <f>IF(P617&gt;=Assumptions!$B$14,"High",IF(P617&gt;=Assumptions!$B$15,"Medium","Low"))</f>
        <v/>
      </c>
      <c r="R617" s="2">
        <f>Cleaned_Data!L617</f>
        <v/>
      </c>
    </row>
    <row r="618">
      <c r="A618" s="2">
        <f>Cleaned_Data!A618</f>
        <v/>
      </c>
      <c r="B618" s="2">
        <f>Cleaned_Data!B618</f>
        <v/>
      </c>
      <c r="C618" s="2">
        <f>Cleaned_Data!G618</f>
        <v/>
      </c>
      <c r="D618" s="2">
        <f>Cleaned_Data!I618</f>
        <v/>
      </c>
      <c r="E618" s="2">
        <f>Cleaned_Data!H618</f>
        <v/>
      </c>
      <c r="F618" s="2">
        <f>Cleaned_Data!F618</f>
        <v/>
      </c>
      <c r="G618" s="9">
        <f>SUMPRODUCT(($B$2:$B$1196=B618)*($F$2:$F$1196&lt;=F618))/SUMPRODUCT(($B$2:$B$1196=B618)*1)</f>
        <v/>
      </c>
      <c r="H618" s="2">
        <f>Cleaned_Data!J618</f>
        <v/>
      </c>
      <c r="I618" s="2">
        <f>Cleaned_Data!E618</f>
        <v/>
      </c>
      <c r="J618" s="2">
        <f>IF(C618="Yes",1,0)</f>
        <v/>
      </c>
      <c r="K618" s="2">
        <f>MIN(MAX(1-(D618-1)/4,0),1)</f>
        <v/>
      </c>
      <c r="L618" s="2">
        <f>MIN(E618/60,1)</f>
        <v/>
      </c>
      <c r="M618" s="2">
        <f>MIN(MAX(1-G618,0),1)</f>
        <v/>
      </c>
      <c r="N618" s="2">
        <f>MIN(MAX(1-(H618-1)/4,0),1)</f>
        <v/>
      </c>
      <c r="O618" s="2">
        <f>1-MIN(I618/8,1)</f>
        <v/>
      </c>
      <c r="P618" s="10">
        <f>ROUND(100*(J618*Assumptions!$B$6+K618*Assumptions!$B$7+L618*Assumptions!$B$8+M618*Assumptions!$B$9+N618*Assumptions!$B$10+O618*Assumptions!$B$11),1)</f>
        <v/>
      </c>
      <c r="Q618" s="2">
        <f>IF(P618&gt;=Assumptions!$B$14,"High",IF(P618&gt;=Assumptions!$B$15,"Medium","Low"))</f>
        <v/>
      </c>
      <c r="R618" s="2">
        <f>Cleaned_Data!L618</f>
        <v/>
      </c>
    </row>
    <row r="619">
      <c r="A619" s="2">
        <f>Cleaned_Data!A619</f>
        <v/>
      </c>
      <c r="B619" s="2">
        <f>Cleaned_Data!B619</f>
        <v/>
      </c>
      <c r="C619" s="2">
        <f>Cleaned_Data!G619</f>
        <v/>
      </c>
      <c r="D619" s="2">
        <f>Cleaned_Data!I619</f>
        <v/>
      </c>
      <c r="E619" s="2">
        <f>Cleaned_Data!H619</f>
        <v/>
      </c>
      <c r="F619" s="2">
        <f>Cleaned_Data!F619</f>
        <v/>
      </c>
      <c r="G619" s="9">
        <f>SUMPRODUCT(($B$2:$B$1196=B619)*($F$2:$F$1196&lt;=F619))/SUMPRODUCT(($B$2:$B$1196=B619)*1)</f>
        <v/>
      </c>
      <c r="H619" s="2">
        <f>Cleaned_Data!J619</f>
        <v/>
      </c>
      <c r="I619" s="2">
        <f>Cleaned_Data!E619</f>
        <v/>
      </c>
      <c r="J619" s="2">
        <f>IF(C619="Yes",1,0)</f>
        <v/>
      </c>
      <c r="K619" s="2">
        <f>MIN(MAX(1-(D619-1)/4,0),1)</f>
        <v/>
      </c>
      <c r="L619" s="2">
        <f>MIN(E619/60,1)</f>
        <v/>
      </c>
      <c r="M619" s="2">
        <f>MIN(MAX(1-G619,0),1)</f>
        <v/>
      </c>
      <c r="N619" s="2">
        <f>MIN(MAX(1-(H619-1)/4,0),1)</f>
        <v/>
      </c>
      <c r="O619" s="2">
        <f>1-MIN(I619/8,1)</f>
        <v/>
      </c>
      <c r="P619" s="10">
        <f>ROUND(100*(J619*Assumptions!$B$6+K619*Assumptions!$B$7+L619*Assumptions!$B$8+M619*Assumptions!$B$9+N619*Assumptions!$B$10+O619*Assumptions!$B$11),1)</f>
        <v/>
      </c>
      <c r="Q619" s="2">
        <f>IF(P619&gt;=Assumptions!$B$14,"High",IF(P619&gt;=Assumptions!$B$15,"Medium","Low"))</f>
        <v/>
      </c>
      <c r="R619" s="2">
        <f>Cleaned_Data!L619</f>
        <v/>
      </c>
    </row>
    <row r="620">
      <c r="A620" s="2">
        <f>Cleaned_Data!A620</f>
        <v/>
      </c>
      <c r="B620" s="2">
        <f>Cleaned_Data!B620</f>
        <v/>
      </c>
      <c r="C620" s="2">
        <f>Cleaned_Data!G620</f>
        <v/>
      </c>
      <c r="D620" s="2">
        <f>Cleaned_Data!I620</f>
        <v/>
      </c>
      <c r="E620" s="2">
        <f>Cleaned_Data!H620</f>
        <v/>
      </c>
      <c r="F620" s="2">
        <f>Cleaned_Data!F620</f>
        <v/>
      </c>
      <c r="G620" s="9">
        <f>SUMPRODUCT(($B$2:$B$1196=B620)*($F$2:$F$1196&lt;=F620))/SUMPRODUCT(($B$2:$B$1196=B620)*1)</f>
        <v/>
      </c>
      <c r="H620" s="2">
        <f>Cleaned_Data!J620</f>
        <v/>
      </c>
      <c r="I620" s="2">
        <f>Cleaned_Data!E620</f>
        <v/>
      </c>
      <c r="J620" s="2">
        <f>IF(C620="Yes",1,0)</f>
        <v/>
      </c>
      <c r="K620" s="2">
        <f>MIN(MAX(1-(D620-1)/4,0),1)</f>
        <v/>
      </c>
      <c r="L620" s="2">
        <f>MIN(E620/60,1)</f>
        <v/>
      </c>
      <c r="M620" s="2">
        <f>MIN(MAX(1-G620,0),1)</f>
        <v/>
      </c>
      <c r="N620" s="2">
        <f>MIN(MAX(1-(H620-1)/4,0),1)</f>
        <v/>
      </c>
      <c r="O620" s="2">
        <f>1-MIN(I620/8,1)</f>
        <v/>
      </c>
      <c r="P620" s="10">
        <f>ROUND(100*(J620*Assumptions!$B$6+K620*Assumptions!$B$7+L620*Assumptions!$B$8+M620*Assumptions!$B$9+N620*Assumptions!$B$10+O620*Assumptions!$B$11),1)</f>
        <v/>
      </c>
      <c r="Q620" s="2">
        <f>IF(P620&gt;=Assumptions!$B$14,"High",IF(P620&gt;=Assumptions!$B$15,"Medium","Low"))</f>
        <v/>
      </c>
      <c r="R620" s="2">
        <f>Cleaned_Data!L620</f>
        <v/>
      </c>
    </row>
    <row r="621">
      <c r="A621" s="2">
        <f>Cleaned_Data!A621</f>
        <v/>
      </c>
      <c r="B621" s="2">
        <f>Cleaned_Data!B621</f>
        <v/>
      </c>
      <c r="C621" s="2">
        <f>Cleaned_Data!G621</f>
        <v/>
      </c>
      <c r="D621" s="2">
        <f>Cleaned_Data!I621</f>
        <v/>
      </c>
      <c r="E621" s="2">
        <f>Cleaned_Data!H621</f>
        <v/>
      </c>
      <c r="F621" s="2">
        <f>Cleaned_Data!F621</f>
        <v/>
      </c>
      <c r="G621" s="9">
        <f>SUMPRODUCT(($B$2:$B$1196=B621)*($F$2:$F$1196&lt;=F621))/SUMPRODUCT(($B$2:$B$1196=B621)*1)</f>
        <v/>
      </c>
      <c r="H621" s="2">
        <f>Cleaned_Data!J621</f>
        <v/>
      </c>
      <c r="I621" s="2">
        <f>Cleaned_Data!E621</f>
        <v/>
      </c>
      <c r="J621" s="2">
        <f>IF(C621="Yes",1,0)</f>
        <v/>
      </c>
      <c r="K621" s="2">
        <f>MIN(MAX(1-(D621-1)/4,0),1)</f>
        <v/>
      </c>
      <c r="L621" s="2">
        <f>MIN(E621/60,1)</f>
        <v/>
      </c>
      <c r="M621" s="2">
        <f>MIN(MAX(1-G621,0),1)</f>
        <v/>
      </c>
      <c r="N621" s="2">
        <f>MIN(MAX(1-(H621-1)/4,0),1)</f>
        <v/>
      </c>
      <c r="O621" s="2">
        <f>1-MIN(I621/8,1)</f>
        <v/>
      </c>
      <c r="P621" s="10">
        <f>ROUND(100*(J621*Assumptions!$B$6+K621*Assumptions!$B$7+L621*Assumptions!$B$8+M621*Assumptions!$B$9+N621*Assumptions!$B$10+O621*Assumptions!$B$11),1)</f>
        <v/>
      </c>
      <c r="Q621" s="2">
        <f>IF(P621&gt;=Assumptions!$B$14,"High",IF(P621&gt;=Assumptions!$B$15,"Medium","Low"))</f>
        <v/>
      </c>
      <c r="R621" s="2">
        <f>Cleaned_Data!L621</f>
        <v/>
      </c>
    </row>
    <row r="622">
      <c r="A622" s="2">
        <f>Cleaned_Data!A622</f>
        <v/>
      </c>
      <c r="B622" s="2">
        <f>Cleaned_Data!B622</f>
        <v/>
      </c>
      <c r="C622" s="2">
        <f>Cleaned_Data!G622</f>
        <v/>
      </c>
      <c r="D622" s="2">
        <f>Cleaned_Data!I622</f>
        <v/>
      </c>
      <c r="E622" s="2">
        <f>Cleaned_Data!H622</f>
        <v/>
      </c>
      <c r="F622" s="2">
        <f>Cleaned_Data!F622</f>
        <v/>
      </c>
      <c r="G622" s="9">
        <f>SUMPRODUCT(($B$2:$B$1196=B622)*($F$2:$F$1196&lt;=F622))/SUMPRODUCT(($B$2:$B$1196=B622)*1)</f>
        <v/>
      </c>
      <c r="H622" s="2">
        <f>Cleaned_Data!J622</f>
        <v/>
      </c>
      <c r="I622" s="2">
        <f>Cleaned_Data!E622</f>
        <v/>
      </c>
      <c r="J622" s="2">
        <f>IF(C622="Yes",1,0)</f>
        <v/>
      </c>
      <c r="K622" s="2">
        <f>MIN(MAX(1-(D622-1)/4,0),1)</f>
        <v/>
      </c>
      <c r="L622" s="2">
        <f>MIN(E622/60,1)</f>
        <v/>
      </c>
      <c r="M622" s="2">
        <f>MIN(MAX(1-G622,0),1)</f>
        <v/>
      </c>
      <c r="N622" s="2">
        <f>MIN(MAX(1-(H622-1)/4,0),1)</f>
        <v/>
      </c>
      <c r="O622" s="2">
        <f>1-MIN(I622/8,1)</f>
        <v/>
      </c>
      <c r="P622" s="10">
        <f>ROUND(100*(J622*Assumptions!$B$6+K622*Assumptions!$B$7+L622*Assumptions!$B$8+M622*Assumptions!$B$9+N622*Assumptions!$B$10+O622*Assumptions!$B$11),1)</f>
        <v/>
      </c>
      <c r="Q622" s="2">
        <f>IF(P622&gt;=Assumptions!$B$14,"High",IF(P622&gt;=Assumptions!$B$15,"Medium","Low"))</f>
        <v/>
      </c>
      <c r="R622" s="2">
        <f>Cleaned_Data!L622</f>
        <v/>
      </c>
    </row>
    <row r="623">
      <c r="A623" s="2">
        <f>Cleaned_Data!A623</f>
        <v/>
      </c>
      <c r="B623" s="2">
        <f>Cleaned_Data!B623</f>
        <v/>
      </c>
      <c r="C623" s="2">
        <f>Cleaned_Data!G623</f>
        <v/>
      </c>
      <c r="D623" s="2">
        <f>Cleaned_Data!I623</f>
        <v/>
      </c>
      <c r="E623" s="2">
        <f>Cleaned_Data!H623</f>
        <v/>
      </c>
      <c r="F623" s="2">
        <f>Cleaned_Data!F623</f>
        <v/>
      </c>
      <c r="G623" s="9">
        <f>SUMPRODUCT(($B$2:$B$1196=B623)*($F$2:$F$1196&lt;=F623))/SUMPRODUCT(($B$2:$B$1196=B623)*1)</f>
        <v/>
      </c>
      <c r="H623" s="2">
        <f>Cleaned_Data!J623</f>
        <v/>
      </c>
      <c r="I623" s="2">
        <f>Cleaned_Data!E623</f>
        <v/>
      </c>
      <c r="J623" s="2">
        <f>IF(C623="Yes",1,0)</f>
        <v/>
      </c>
      <c r="K623" s="2">
        <f>MIN(MAX(1-(D623-1)/4,0),1)</f>
        <v/>
      </c>
      <c r="L623" s="2">
        <f>MIN(E623/60,1)</f>
        <v/>
      </c>
      <c r="M623" s="2">
        <f>MIN(MAX(1-G623,0),1)</f>
        <v/>
      </c>
      <c r="N623" s="2">
        <f>MIN(MAX(1-(H623-1)/4,0),1)</f>
        <v/>
      </c>
      <c r="O623" s="2">
        <f>1-MIN(I623/8,1)</f>
        <v/>
      </c>
      <c r="P623" s="10">
        <f>ROUND(100*(J623*Assumptions!$B$6+K623*Assumptions!$B$7+L623*Assumptions!$B$8+M623*Assumptions!$B$9+N623*Assumptions!$B$10+O623*Assumptions!$B$11),1)</f>
        <v/>
      </c>
      <c r="Q623" s="2">
        <f>IF(P623&gt;=Assumptions!$B$14,"High",IF(P623&gt;=Assumptions!$B$15,"Medium","Low"))</f>
        <v/>
      </c>
      <c r="R623" s="2">
        <f>Cleaned_Data!L623</f>
        <v/>
      </c>
    </row>
    <row r="624">
      <c r="A624" s="2">
        <f>Cleaned_Data!A624</f>
        <v/>
      </c>
      <c r="B624" s="2">
        <f>Cleaned_Data!B624</f>
        <v/>
      </c>
      <c r="C624" s="2">
        <f>Cleaned_Data!G624</f>
        <v/>
      </c>
      <c r="D624" s="2">
        <f>Cleaned_Data!I624</f>
        <v/>
      </c>
      <c r="E624" s="2">
        <f>Cleaned_Data!H624</f>
        <v/>
      </c>
      <c r="F624" s="2">
        <f>Cleaned_Data!F624</f>
        <v/>
      </c>
      <c r="G624" s="9">
        <f>SUMPRODUCT(($B$2:$B$1196=B624)*($F$2:$F$1196&lt;=F624))/SUMPRODUCT(($B$2:$B$1196=B624)*1)</f>
        <v/>
      </c>
      <c r="H624" s="2">
        <f>Cleaned_Data!J624</f>
        <v/>
      </c>
      <c r="I624" s="2">
        <f>Cleaned_Data!E624</f>
        <v/>
      </c>
      <c r="J624" s="2">
        <f>IF(C624="Yes",1,0)</f>
        <v/>
      </c>
      <c r="K624" s="2">
        <f>MIN(MAX(1-(D624-1)/4,0),1)</f>
        <v/>
      </c>
      <c r="L624" s="2">
        <f>MIN(E624/60,1)</f>
        <v/>
      </c>
      <c r="M624" s="2">
        <f>MIN(MAX(1-G624,0),1)</f>
        <v/>
      </c>
      <c r="N624" s="2">
        <f>MIN(MAX(1-(H624-1)/4,0),1)</f>
        <v/>
      </c>
      <c r="O624" s="2">
        <f>1-MIN(I624/8,1)</f>
        <v/>
      </c>
      <c r="P624" s="10">
        <f>ROUND(100*(J624*Assumptions!$B$6+K624*Assumptions!$B$7+L624*Assumptions!$B$8+M624*Assumptions!$B$9+N624*Assumptions!$B$10+O624*Assumptions!$B$11),1)</f>
        <v/>
      </c>
      <c r="Q624" s="2">
        <f>IF(P624&gt;=Assumptions!$B$14,"High",IF(P624&gt;=Assumptions!$B$15,"Medium","Low"))</f>
        <v/>
      </c>
      <c r="R624" s="2">
        <f>Cleaned_Data!L624</f>
        <v/>
      </c>
    </row>
    <row r="625">
      <c r="A625" s="2">
        <f>Cleaned_Data!A625</f>
        <v/>
      </c>
      <c r="B625" s="2">
        <f>Cleaned_Data!B625</f>
        <v/>
      </c>
      <c r="C625" s="2">
        <f>Cleaned_Data!G625</f>
        <v/>
      </c>
      <c r="D625" s="2">
        <f>Cleaned_Data!I625</f>
        <v/>
      </c>
      <c r="E625" s="2">
        <f>Cleaned_Data!H625</f>
        <v/>
      </c>
      <c r="F625" s="2">
        <f>Cleaned_Data!F625</f>
        <v/>
      </c>
      <c r="G625" s="9">
        <f>SUMPRODUCT(($B$2:$B$1196=B625)*($F$2:$F$1196&lt;=F625))/SUMPRODUCT(($B$2:$B$1196=B625)*1)</f>
        <v/>
      </c>
      <c r="H625" s="2">
        <f>Cleaned_Data!J625</f>
        <v/>
      </c>
      <c r="I625" s="2">
        <f>Cleaned_Data!E625</f>
        <v/>
      </c>
      <c r="J625" s="2">
        <f>IF(C625="Yes",1,0)</f>
        <v/>
      </c>
      <c r="K625" s="2">
        <f>MIN(MAX(1-(D625-1)/4,0),1)</f>
        <v/>
      </c>
      <c r="L625" s="2">
        <f>MIN(E625/60,1)</f>
        <v/>
      </c>
      <c r="M625" s="2">
        <f>MIN(MAX(1-G625,0),1)</f>
        <v/>
      </c>
      <c r="N625" s="2">
        <f>MIN(MAX(1-(H625-1)/4,0),1)</f>
        <v/>
      </c>
      <c r="O625" s="2">
        <f>1-MIN(I625/8,1)</f>
        <v/>
      </c>
      <c r="P625" s="10">
        <f>ROUND(100*(J625*Assumptions!$B$6+K625*Assumptions!$B$7+L625*Assumptions!$B$8+M625*Assumptions!$B$9+N625*Assumptions!$B$10+O625*Assumptions!$B$11),1)</f>
        <v/>
      </c>
      <c r="Q625" s="2">
        <f>IF(P625&gt;=Assumptions!$B$14,"High",IF(P625&gt;=Assumptions!$B$15,"Medium","Low"))</f>
        <v/>
      </c>
      <c r="R625" s="2">
        <f>Cleaned_Data!L625</f>
        <v/>
      </c>
    </row>
    <row r="626">
      <c r="A626" s="2">
        <f>Cleaned_Data!A626</f>
        <v/>
      </c>
      <c r="B626" s="2">
        <f>Cleaned_Data!B626</f>
        <v/>
      </c>
      <c r="C626" s="2">
        <f>Cleaned_Data!G626</f>
        <v/>
      </c>
      <c r="D626" s="2">
        <f>Cleaned_Data!I626</f>
        <v/>
      </c>
      <c r="E626" s="2">
        <f>Cleaned_Data!H626</f>
        <v/>
      </c>
      <c r="F626" s="2">
        <f>Cleaned_Data!F626</f>
        <v/>
      </c>
      <c r="G626" s="9">
        <f>SUMPRODUCT(($B$2:$B$1196=B626)*($F$2:$F$1196&lt;=F626))/SUMPRODUCT(($B$2:$B$1196=B626)*1)</f>
        <v/>
      </c>
      <c r="H626" s="2">
        <f>Cleaned_Data!J626</f>
        <v/>
      </c>
      <c r="I626" s="2">
        <f>Cleaned_Data!E626</f>
        <v/>
      </c>
      <c r="J626" s="2">
        <f>IF(C626="Yes",1,0)</f>
        <v/>
      </c>
      <c r="K626" s="2">
        <f>MIN(MAX(1-(D626-1)/4,0),1)</f>
        <v/>
      </c>
      <c r="L626" s="2">
        <f>MIN(E626/60,1)</f>
        <v/>
      </c>
      <c r="M626" s="2">
        <f>MIN(MAX(1-G626,0),1)</f>
        <v/>
      </c>
      <c r="N626" s="2">
        <f>MIN(MAX(1-(H626-1)/4,0),1)</f>
        <v/>
      </c>
      <c r="O626" s="2">
        <f>1-MIN(I626/8,1)</f>
        <v/>
      </c>
      <c r="P626" s="10">
        <f>ROUND(100*(J626*Assumptions!$B$6+K626*Assumptions!$B$7+L626*Assumptions!$B$8+M626*Assumptions!$B$9+N626*Assumptions!$B$10+O626*Assumptions!$B$11),1)</f>
        <v/>
      </c>
      <c r="Q626" s="2">
        <f>IF(P626&gt;=Assumptions!$B$14,"High",IF(P626&gt;=Assumptions!$B$15,"Medium","Low"))</f>
        <v/>
      </c>
      <c r="R626" s="2">
        <f>Cleaned_Data!L626</f>
        <v/>
      </c>
    </row>
    <row r="627">
      <c r="A627" s="2">
        <f>Cleaned_Data!A627</f>
        <v/>
      </c>
      <c r="B627" s="2">
        <f>Cleaned_Data!B627</f>
        <v/>
      </c>
      <c r="C627" s="2">
        <f>Cleaned_Data!G627</f>
        <v/>
      </c>
      <c r="D627" s="2">
        <f>Cleaned_Data!I627</f>
        <v/>
      </c>
      <c r="E627" s="2">
        <f>Cleaned_Data!H627</f>
        <v/>
      </c>
      <c r="F627" s="2">
        <f>Cleaned_Data!F627</f>
        <v/>
      </c>
      <c r="G627" s="9">
        <f>SUMPRODUCT(($B$2:$B$1196=B627)*($F$2:$F$1196&lt;=F627))/SUMPRODUCT(($B$2:$B$1196=B627)*1)</f>
        <v/>
      </c>
      <c r="H627" s="2">
        <f>Cleaned_Data!J627</f>
        <v/>
      </c>
      <c r="I627" s="2">
        <f>Cleaned_Data!E627</f>
        <v/>
      </c>
      <c r="J627" s="2">
        <f>IF(C627="Yes",1,0)</f>
        <v/>
      </c>
      <c r="K627" s="2">
        <f>MIN(MAX(1-(D627-1)/4,0),1)</f>
        <v/>
      </c>
      <c r="L627" s="2">
        <f>MIN(E627/60,1)</f>
        <v/>
      </c>
      <c r="M627" s="2">
        <f>MIN(MAX(1-G627,0),1)</f>
        <v/>
      </c>
      <c r="N627" s="2">
        <f>MIN(MAX(1-(H627-1)/4,0),1)</f>
        <v/>
      </c>
      <c r="O627" s="2">
        <f>1-MIN(I627/8,1)</f>
        <v/>
      </c>
      <c r="P627" s="10">
        <f>ROUND(100*(J627*Assumptions!$B$6+K627*Assumptions!$B$7+L627*Assumptions!$B$8+M627*Assumptions!$B$9+N627*Assumptions!$B$10+O627*Assumptions!$B$11),1)</f>
        <v/>
      </c>
      <c r="Q627" s="2">
        <f>IF(P627&gt;=Assumptions!$B$14,"High",IF(P627&gt;=Assumptions!$B$15,"Medium","Low"))</f>
        <v/>
      </c>
      <c r="R627" s="2">
        <f>Cleaned_Data!L627</f>
        <v/>
      </c>
    </row>
    <row r="628">
      <c r="A628" s="2">
        <f>Cleaned_Data!A628</f>
        <v/>
      </c>
      <c r="B628" s="2">
        <f>Cleaned_Data!B628</f>
        <v/>
      </c>
      <c r="C628" s="2">
        <f>Cleaned_Data!G628</f>
        <v/>
      </c>
      <c r="D628" s="2">
        <f>Cleaned_Data!I628</f>
        <v/>
      </c>
      <c r="E628" s="2">
        <f>Cleaned_Data!H628</f>
        <v/>
      </c>
      <c r="F628" s="2">
        <f>Cleaned_Data!F628</f>
        <v/>
      </c>
      <c r="G628" s="9">
        <f>SUMPRODUCT(($B$2:$B$1196=B628)*($F$2:$F$1196&lt;=F628))/SUMPRODUCT(($B$2:$B$1196=B628)*1)</f>
        <v/>
      </c>
      <c r="H628" s="2">
        <f>Cleaned_Data!J628</f>
        <v/>
      </c>
      <c r="I628" s="2">
        <f>Cleaned_Data!E628</f>
        <v/>
      </c>
      <c r="J628" s="2">
        <f>IF(C628="Yes",1,0)</f>
        <v/>
      </c>
      <c r="K628" s="2">
        <f>MIN(MAX(1-(D628-1)/4,0),1)</f>
        <v/>
      </c>
      <c r="L628" s="2">
        <f>MIN(E628/60,1)</f>
        <v/>
      </c>
      <c r="M628" s="2">
        <f>MIN(MAX(1-G628,0),1)</f>
        <v/>
      </c>
      <c r="N628" s="2">
        <f>MIN(MAX(1-(H628-1)/4,0),1)</f>
        <v/>
      </c>
      <c r="O628" s="2">
        <f>1-MIN(I628/8,1)</f>
        <v/>
      </c>
      <c r="P628" s="10">
        <f>ROUND(100*(J628*Assumptions!$B$6+K628*Assumptions!$B$7+L628*Assumptions!$B$8+M628*Assumptions!$B$9+N628*Assumptions!$B$10+O628*Assumptions!$B$11),1)</f>
        <v/>
      </c>
      <c r="Q628" s="2">
        <f>IF(P628&gt;=Assumptions!$B$14,"High",IF(P628&gt;=Assumptions!$B$15,"Medium","Low"))</f>
        <v/>
      </c>
      <c r="R628" s="2">
        <f>Cleaned_Data!L628</f>
        <v/>
      </c>
    </row>
    <row r="629">
      <c r="A629" s="2">
        <f>Cleaned_Data!A629</f>
        <v/>
      </c>
      <c r="B629" s="2">
        <f>Cleaned_Data!B629</f>
        <v/>
      </c>
      <c r="C629" s="2">
        <f>Cleaned_Data!G629</f>
        <v/>
      </c>
      <c r="D629" s="2">
        <f>Cleaned_Data!I629</f>
        <v/>
      </c>
      <c r="E629" s="2">
        <f>Cleaned_Data!H629</f>
        <v/>
      </c>
      <c r="F629" s="2">
        <f>Cleaned_Data!F629</f>
        <v/>
      </c>
      <c r="G629" s="9">
        <f>SUMPRODUCT(($B$2:$B$1196=B629)*($F$2:$F$1196&lt;=F629))/SUMPRODUCT(($B$2:$B$1196=B629)*1)</f>
        <v/>
      </c>
      <c r="H629" s="2">
        <f>Cleaned_Data!J629</f>
        <v/>
      </c>
      <c r="I629" s="2">
        <f>Cleaned_Data!E629</f>
        <v/>
      </c>
      <c r="J629" s="2">
        <f>IF(C629="Yes",1,0)</f>
        <v/>
      </c>
      <c r="K629" s="2">
        <f>MIN(MAX(1-(D629-1)/4,0),1)</f>
        <v/>
      </c>
      <c r="L629" s="2">
        <f>MIN(E629/60,1)</f>
        <v/>
      </c>
      <c r="M629" s="2">
        <f>MIN(MAX(1-G629,0),1)</f>
        <v/>
      </c>
      <c r="N629" s="2">
        <f>MIN(MAX(1-(H629-1)/4,0),1)</f>
        <v/>
      </c>
      <c r="O629" s="2">
        <f>1-MIN(I629/8,1)</f>
        <v/>
      </c>
      <c r="P629" s="10">
        <f>ROUND(100*(J629*Assumptions!$B$6+K629*Assumptions!$B$7+L629*Assumptions!$B$8+M629*Assumptions!$B$9+N629*Assumptions!$B$10+O629*Assumptions!$B$11),1)</f>
        <v/>
      </c>
      <c r="Q629" s="2">
        <f>IF(P629&gt;=Assumptions!$B$14,"High",IF(P629&gt;=Assumptions!$B$15,"Medium","Low"))</f>
        <v/>
      </c>
      <c r="R629" s="2">
        <f>Cleaned_Data!L629</f>
        <v/>
      </c>
    </row>
    <row r="630">
      <c r="A630" s="2">
        <f>Cleaned_Data!A630</f>
        <v/>
      </c>
      <c r="B630" s="2">
        <f>Cleaned_Data!B630</f>
        <v/>
      </c>
      <c r="C630" s="2">
        <f>Cleaned_Data!G630</f>
        <v/>
      </c>
      <c r="D630" s="2">
        <f>Cleaned_Data!I630</f>
        <v/>
      </c>
      <c r="E630" s="2">
        <f>Cleaned_Data!H630</f>
        <v/>
      </c>
      <c r="F630" s="2">
        <f>Cleaned_Data!F630</f>
        <v/>
      </c>
      <c r="G630" s="9">
        <f>SUMPRODUCT(($B$2:$B$1196=B630)*($F$2:$F$1196&lt;=F630))/SUMPRODUCT(($B$2:$B$1196=B630)*1)</f>
        <v/>
      </c>
      <c r="H630" s="2">
        <f>Cleaned_Data!J630</f>
        <v/>
      </c>
      <c r="I630" s="2">
        <f>Cleaned_Data!E630</f>
        <v/>
      </c>
      <c r="J630" s="2">
        <f>IF(C630="Yes",1,0)</f>
        <v/>
      </c>
      <c r="K630" s="2">
        <f>MIN(MAX(1-(D630-1)/4,0),1)</f>
        <v/>
      </c>
      <c r="L630" s="2">
        <f>MIN(E630/60,1)</f>
        <v/>
      </c>
      <c r="M630" s="2">
        <f>MIN(MAX(1-G630,0),1)</f>
        <v/>
      </c>
      <c r="N630" s="2">
        <f>MIN(MAX(1-(H630-1)/4,0),1)</f>
        <v/>
      </c>
      <c r="O630" s="2">
        <f>1-MIN(I630/8,1)</f>
        <v/>
      </c>
      <c r="P630" s="10">
        <f>ROUND(100*(J630*Assumptions!$B$6+K630*Assumptions!$B$7+L630*Assumptions!$B$8+M630*Assumptions!$B$9+N630*Assumptions!$B$10+O630*Assumptions!$B$11),1)</f>
        <v/>
      </c>
      <c r="Q630" s="2">
        <f>IF(P630&gt;=Assumptions!$B$14,"High",IF(P630&gt;=Assumptions!$B$15,"Medium","Low"))</f>
        <v/>
      </c>
      <c r="R630" s="2">
        <f>Cleaned_Data!L630</f>
        <v/>
      </c>
    </row>
    <row r="631">
      <c r="A631" s="2">
        <f>Cleaned_Data!A631</f>
        <v/>
      </c>
      <c r="B631" s="2">
        <f>Cleaned_Data!B631</f>
        <v/>
      </c>
      <c r="C631" s="2">
        <f>Cleaned_Data!G631</f>
        <v/>
      </c>
      <c r="D631" s="2">
        <f>Cleaned_Data!I631</f>
        <v/>
      </c>
      <c r="E631" s="2">
        <f>Cleaned_Data!H631</f>
        <v/>
      </c>
      <c r="F631" s="2">
        <f>Cleaned_Data!F631</f>
        <v/>
      </c>
      <c r="G631" s="9">
        <f>SUMPRODUCT(($B$2:$B$1196=B631)*($F$2:$F$1196&lt;=F631))/SUMPRODUCT(($B$2:$B$1196=B631)*1)</f>
        <v/>
      </c>
      <c r="H631" s="2">
        <f>Cleaned_Data!J631</f>
        <v/>
      </c>
      <c r="I631" s="2">
        <f>Cleaned_Data!E631</f>
        <v/>
      </c>
      <c r="J631" s="2">
        <f>IF(C631="Yes",1,0)</f>
        <v/>
      </c>
      <c r="K631" s="2">
        <f>MIN(MAX(1-(D631-1)/4,0),1)</f>
        <v/>
      </c>
      <c r="L631" s="2">
        <f>MIN(E631/60,1)</f>
        <v/>
      </c>
      <c r="M631" s="2">
        <f>MIN(MAX(1-G631,0),1)</f>
        <v/>
      </c>
      <c r="N631" s="2">
        <f>MIN(MAX(1-(H631-1)/4,0),1)</f>
        <v/>
      </c>
      <c r="O631" s="2">
        <f>1-MIN(I631/8,1)</f>
        <v/>
      </c>
      <c r="P631" s="10">
        <f>ROUND(100*(J631*Assumptions!$B$6+K631*Assumptions!$B$7+L631*Assumptions!$B$8+M631*Assumptions!$B$9+N631*Assumptions!$B$10+O631*Assumptions!$B$11),1)</f>
        <v/>
      </c>
      <c r="Q631" s="2">
        <f>IF(P631&gt;=Assumptions!$B$14,"High",IF(P631&gt;=Assumptions!$B$15,"Medium","Low"))</f>
        <v/>
      </c>
      <c r="R631" s="2">
        <f>Cleaned_Data!L631</f>
        <v/>
      </c>
    </row>
    <row r="632">
      <c r="A632" s="2">
        <f>Cleaned_Data!A632</f>
        <v/>
      </c>
      <c r="B632" s="2">
        <f>Cleaned_Data!B632</f>
        <v/>
      </c>
      <c r="C632" s="2">
        <f>Cleaned_Data!G632</f>
        <v/>
      </c>
      <c r="D632" s="2">
        <f>Cleaned_Data!I632</f>
        <v/>
      </c>
      <c r="E632" s="2">
        <f>Cleaned_Data!H632</f>
        <v/>
      </c>
      <c r="F632" s="2">
        <f>Cleaned_Data!F632</f>
        <v/>
      </c>
      <c r="G632" s="9">
        <f>SUMPRODUCT(($B$2:$B$1196=B632)*($F$2:$F$1196&lt;=F632))/SUMPRODUCT(($B$2:$B$1196=B632)*1)</f>
        <v/>
      </c>
      <c r="H632" s="2">
        <f>Cleaned_Data!J632</f>
        <v/>
      </c>
      <c r="I632" s="2">
        <f>Cleaned_Data!E632</f>
        <v/>
      </c>
      <c r="J632" s="2">
        <f>IF(C632="Yes",1,0)</f>
        <v/>
      </c>
      <c r="K632" s="2">
        <f>MIN(MAX(1-(D632-1)/4,0),1)</f>
        <v/>
      </c>
      <c r="L632" s="2">
        <f>MIN(E632/60,1)</f>
        <v/>
      </c>
      <c r="M632" s="2">
        <f>MIN(MAX(1-G632,0),1)</f>
        <v/>
      </c>
      <c r="N632" s="2">
        <f>MIN(MAX(1-(H632-1)/4,0),1)</f>
        <v/>
      </c>
      <c r="O632" s="2">
        <f>1-MIN(I632/8,1)</f>
        <v/>
      </c>
      <c r="P632" s="10">
        <f>ROUND(100*(J632*Assumptions!$B$6+K632*Assumptions!$B$7+L632*Assumptions!$B$8+M632*Assumptions!$B$9+N632*Assumptions!$B$10+O632*Assumptions!$B$11),1)</f>
        <v/>
      </c>
      <c r="Q632" s="2">
        <f>IF(P632&gt;=Assumptions!$B$14,"High",IF(P632&gt;=Assumptions!$B$15,"Medium","Low"))</f>
        <v/>
      </c>
      <c r="R632" s="2">
        <f>Cleaned_Data!L632</f>
        <v/>
      </c>
    </row>
    <row r="633">
      <c r="A633" s="2">
        <f>Cleaned_Data!A633</f>
        <v/>
      </c>
      <c r="B633" s="2">
        <f>Cleaned_Data!B633</f>
        <v/>
      </c>
      <c r="C633" s="2">
        <f>Cleaned_Data!G633</f>
        <v/>
      </c>
      <c r="D633" s="2">
        <f>Cleaned_Data!I633</f>
        <v/>
      </c>
      <c r="E633" s="2">
        <f>Cleaned_Data!H633</f>
        <v/>
      </c>
      <c r="F633" s="2">
        <f>Cleaned_Data!F633</f>
        <v/>
      </c>
      <c r="G633" s="9">
        <f>SUMPRODUCT(($B$2:$B$1196=B633)*($F$2:$F$1196&lt;=F633))/SUMPRODUCT(($B$2:$B$1196=B633)*1)</f>
        <v/>
      </c>
      <c r="H633" s="2">
        <f>Cleaned_Data!J633</f>
        <v/>
      </c>
      <c r="I633" s="2">
        <f>Cleaned_Data!E633</f>
        <v/>
      </c>
      <c r="J633" s="2">
        <f>IF(C633="Yes",1,0)</f>
        <v/>
      </c>
      <c r="K633" s="2">
        <f>MIN(MAX(1-(D633-1)/4,0),1)</f>
        <v/>
      </c>
      <c r="L633" s="2">
        <f>MIN(E633/60,1)</f>
        <v/>
      </c>
      <c r="M633" s="2">
        <f>MIN(MAX(1-G633,0),1)</f>
        <v/>
      </c>
      <c r="N633" s="2">
        <f>MIN(MAX(1-(H633-1)/4,0),1)</f>
        <v/>
      </c>
      <c r="O633" s="2">
        <f>1-MIN(I633/8,1)</f>
        <v/>
      </c>
      <c r="P633" s="10">
        <f>ROUND(100*(J633*Assumptions!$B$6+K633*Assumptions!$B$7+L633*Assumptions!$B$8+M633*Assumptions!$B$9+N633*Assumptions!$B$10+O633*Assumptions!$B$11),1)</f>
        <v/>
      </c>
      <c r="Q633" s="2">
        <f>IF(P633&gt;=Assumptions!$B$14,"High",IF(P633&gt;=Assumptions!$B$15,"Medium","Low"))</f>
        <v/>
      </c>
      <c r="R633" s="2">
        <f>Cleaned_Data!L633</f>
        <v/>
      </c>
    </row>
    <row r="634">
      <c r="A634" s="2">
        <f>Cleaned_Data!A634</f>
        <v/>
      </c>
      <c r="B634" s="2">
        <f>Cleaned_Data!B634</f>
        <v/>
      </c>
      <c r="C634" s="2">
        <f>Cleaned_Data!G634</f>
        <v/>
      </c>
      <c r="D634" s="2">
        <f>Cleaned_Data!I634</f>
        <v/>
      </c>
      <c r="E634" s="2">
        <f>Cleaned_Data!H634</f>
        <v/>
      </c>
      <c r="F634" s="2">
        <f>Cleaned_Data!F634</f>
        <v/>
      </c>
      <c r="G634" s="9">
        <f>SUMPRODUCT(($B$2:$B$1196=B634)*($F$2:$F$1196&lt;=F634))/SUMPRODUCT(($B$2:$B$1196=B634)*1)</f>
        <v/>
      </c>
      <c r="H634" s="2">
        <f>Cleaned_Data!J634</f>
        <v/>
      </c>
      <c r="I634" s="2">
        <f>Cleaned_Data!E634</f>
        <v/>
      </c>
      <c r="J634" s="2">
        <f>IF(C634="Yes",1,0)</f>
        <v/>
      </c>
      <c r="K634" s="2">
        <f>MIN(MAX(1-(D634-1)/4,0),1)</f>
        <v/>
      </c>
      <c r="L634" s="2">
        <f>MIN(E634/60,1)</f>
        <v/>
      </c>
      <c r="M634" s="2">
        <f>MIN(MAX(1-G634,0),1)</f>
        <v/>
      </c>
      <c r="N634" s="2">
        <f>MIN(MAX(1-(H634-1)/4,0),1)</f>
        <v/>
      </c>
      <c r="O634" s="2">
        <f>1-MIN(I634/8,1)</f>
        <v/>
      </c>
      <c r="P634" s="10">
        <f>ROUND(100*(J634*Assumptions!$B$6+K634*Assumptions!$B$7+L634*Assumptions!$B$8+M634*Assumptions!$B$9+N634*Assumptions!$B$10+O634*Assumptions!$B$11),1)</f>
        <v/>
      </c>
      <c r="Q634" s="2">
        <f>IF(P634&gt;=Assumptions!$B$14,"High",IF(P634&gt;=Assumptions!$B$15,"Medium","Low"))</f>
        <v/>
      </c>
      <c r="R634" s="2">
        <f>Cleaned_Data!L634</f>
        <v/>
      </c>
    </row>
    <row r="635">
      <c r="A635" s="2">
        <f>Cleaned_Data!A635</f>
        <v/>
      </c>
      <c r="B635" s="2">
        <f>Cleaned_Data!B635</f>
        <v/>
      </c>
      <c r="C635" s="2">
        <f>Cleaned_Data!G635</f>
        <v/>
      </c>
      <c r="D635" s="2">
        <f>Cleaned_Data!I635</f>
        <v/>
      </c>
      <c r="E635" s="2">
        <f>Cleaned_Data!H635</f>
        <v/>
      </c>
      <c r="F635" s="2">
        <f>Cleaned_Data!F635</f>
        <v/>
      </c>
      <c r="G635" s="9">
        <f>SUMPRODUCT(($B$2:$B$1196=B635)*($F$2:$F$1196&lt;=F635))/SUMPRODUCT(($B$2:$B$1196=B635)*1)</f>
        <v/>
      </c>
      <c r="H635" s="2">
        <f>Cleaned_Data!J635</f>
        <v/>
      </c>
      <c r="I635" s="2">
        <f>Cleaned_Data!E635</f>
        <v/>
      </c>
      <c r="J635" s="2">
        <f>IF(C635="Yes",1,0)</f>
        <v/>
      </c>
      <c r="K635" s="2">
        <f>MIN(MAX(1-(D635-1)/4,0),1)</f>
        <v/>
      </c>
      <c r="L635" s="2">
        <f>MIN(E635/60,1)</f>
        <v/>
      </c>
      <c r="M635" s="2">
        <f>MIN(MAX(1-G635,0),1)</f>
        <v/>
      </c>
      <c r="N635" s="2">
        <f>MIN(MAX(1-(H635-1)/4,0),1)</f>
        <v/>
      </c>
      <c r="O635" s="2">
        <f>1-MIN(I635/8,1)</f>
        <v/>
      </c>
      <c r="P635" s="10">
        <f>ROUND(100*(J635*Assumptions!$B$6+K635*Assumptions!$B$7+L635*Assumptions!$B$8+M635*Assumptions!$B$9+N635*Assumptions!$B$10+O635*Assumptions!$B$11),1)</f>
        <v/>
      </c>
      <c r="Q635" s="2">
        <f>IF(P635&gt;=Assumptions!$B$14,"High",IF(P635&gt;=Assumptions!$B$15,"Medium","Low"))</f>
        <v/>
      </c>
      <c r="R635" s="2">
        <f>Cleaned_Data!L635</f>
        <v/>
      </c>
    </row>
    <row r="636">
      <c r="A636" s="2">
        <f>Cleaned_Data!A636</f>
        <v/>
      </c>
      <c r="B636" s="2">
        <f>Cleaned_Data!B636</f>
        <v/>
      </c>
      <c r="C636" s="2">
        <f>Cleaned_Data!G636</f>
        <v/>
      </c>
      <c r="D636" s="2">
        <f>Cleaned_Data!I636</f>
        <v/>
      </c>
      <c r="E636" s="2">
        <f>Cleaned_Data!H636</f>
        <v/>
      </c>
      <c r="F636" s="2">
        <f>Cleaned_Data!F636</f>
        <v/>
      </c>
      <c r="G636" s="9">
        <f>SUMPRODUCT(($B$2:$B$1196=B636)*($F$2:$F$1196&lt;=F636))/SUMPRODUCT(($B$2:$B$1196=B636)*1)</f>
        <v/>
      </c>
      <c r="H636" s="2">
        <f>Cleaned_Data!J636</f>
        <v/>
      </c>
      <c r="I636" s="2">
        <f>Cleaned_Data!E636</f>
        <v/>
      </c>
      <c r="J636" s="2">
        <f>IF(C636="Yes",1,0)</f>
        <v/>
      </c>
      <c r="K636" s="2">
        <f>MIN(MAX(1-(D636-1)/4,0),1)</f>
        <v/>
      </c>
      <c r="L636" s="2">
        <f>MIN(E636/60,1)</f>
        <v/>
      </c>
      <c r="M636" s="2">
        <f>MIN(MAX(1-G636,0),1)</f>
        <v/>
      </c>
      <c r="N636" s="2">
        <f>MIN(MAX(1-(H636-1)/4,0),1)</f>
        <v/>
      </c>
      <c r="O636" s="2">
        <f>1-MIN(I636/8,1)</f>
        <v/>
      </c>
      <c r="P636" s="10">
        <f>ROUND(100*(J636*Assumptions!$B$6+K636*Assumptions!$B$7+L636*Assumptions!$B$8+M636*Assumptions!$B$9+N636*Assumptions!$B$10+O636*Assumptions!$B$11),1)</f>
        <v/>
      </c>
      <c r="Q636" s="2">
        <f>IF(P636&gt;=Assumptions!$B$14,"High",IF(P636&gt;=Assumptions!$B$15,"Medium","Low"))</f>
        <v/>
      </c>
      <c r="R636" s="2">
        <f>Cleaned_Data!L636</f>
        <v/>
      </c>
    </row>
    <row r="637">
      <c r="A637" s="2">
        <f>Cleaned_Data!A637</f>
        <v/>
      </c>
      <c r="B637" s="2">
        <f>Cleaned_Data!B637</f>
        <v/>
      </c>
      <c r="C637" s="2">
        <f>Cleaned_Data!G637</f>
        <v/>
      </c>
      <c r="D637" s="2">
        <f>Cleaned_Data!I637</f>
        <v/>
      </c>
      <c r="E637" s="2">
        <f>Cleaned_Data!H637</f>
        <v/>
      </c>
      <c r="F637" s="2">
        <f>Cleaned_Data!F637</f>
        <v/>
      </c>
      <c r="G637" s="9">
        <f>SUMPRODUCT(($B$2:$B$1196=B637)*($F$2:$F$1196&lt;=F637))/SUMPRODUCT(($B$2:$B$1196=B637)*1)</f>
        <v/>
      </c>
      <c r="H637" s="2">
        <f>Cleaned_Data!J637</f>
        <v/>
      </c>
      <c r="I637" s="2">
        <f>Cleaned_Data!E637</f>
        <v/>
      </c>
      <c r="J637" s="2">
        <f>IF(C637="Yes",1,0)</f>
        <v/>
      </c>
      <c r="K637" s="2">
        <f>MIN(MAX(1-(D637-1)/4,0),1)</f>
        <v/>
      </c>
      <c r="L637" s="2">
        <f>MIN(E637/60,1)</f>
        <v/>
      </c>
      <c r="M637" s="2">
        <f>MIN(MAX(1-G637,0),1)</f>
        <v/>
      </c>
      <c r="N637" s="2">
        <f>MIN(MAX(1-(H637-1)/4,0),1)</f>
        <v/>
      </c>
      <c r="O637" s="2">
        <f>1-MIN(I637/8,1)</f>
        <v/>
      </c>
      <c r="P637" s="10">
        <f>ROUND(100*(J637*Assumptions!$B$6+K637*Assumptions!$B$7+L637*Assumptions!$B$8+M637*Assumptions!$B$9+N637*Assumptions!$B$10+O637*Assumptions!$B$11),1)</f>
        <v/>
      </c>
      <c r="Q637" s="2">
        <f>IF(P637&gt;=Assumptions!$B$14,"High",IF(P637&gt;=Assumptions!$B$15,"Medium","Low"))</f>
        <v/>
      </c>
      <c r="R637" s="2">
        <f>Cleaned_Data!L637</f>
        <v/>
      </c>
    </row>
    <row r="638">
      <c r="A638" s="2">
        <f>Cleaned_Data!A638</f>
        <v/>
      </c>
      <c r="B638" s="2">
        <f>Cleaned_Data!B638</f>
        <v/>
      </c>
      <c r="C638" s="2">
        <f>Cleaned_Data!G638</f>
        <v/>
      </c>
      <c r="D638" s="2">
        <f>Cleaned_Data!I638</f>
        <v/>
      </c>
      <c r="E638" s="2">
        <f>Cleaned_Data!H638</f>
        <v/>
      </c>
      <c r="F638" s="2">
        <f>Cleaned_Data!F638</f>
        <v/>
      </c>
      <c r="G638" s="9">
        <f>SUMPRODUCT(($B$2:$B$1196=B638)*($F$2:$F$1196&lt;=F638))/SUMPRODUCT(($B$2:$B$1196=B638)*1)</f>
        <v/>
      </c>
      <c r="H638" s="2">
        <f>Cleaned_Data!J638</f>
        <v/>
      </c>
      <c r="I638" s="2">
        <f>Cleaned_Data!E638</f>
        <v/>
      </c>
      <c r="J638" s="2">
        <f>IF(C638="Yes",1,0)</f>
        <v/>
      </c>
      <c r="K638" s="2">
        <f>MIN(MAX(1-(D638-1)/4,0),1)</f>
        <v/>
      </c>
      <c r="L638" s="2">
        <f>MIN(E638/60,1)</f>
        <v/>
      </c>
      <c r="M638" s="2">
        <f>MIN(MAX(1-G638,0),1)</f>
        <v/>
      </c>
      <c r="N638" s="2">
        <f>MIN(MAX(1-(H638-1)/4,0),1)</f>
        <v/>
      </c>
      <c r="O638" s="2">
        <f>1-MIN(I638/8,1)</f>
        <v/>
      </c>
      <c r="P638" s="10">
        <f>ROUND(100*(J638*Assumptions!$B$6+K638*Assumptions!$B$7+L638*Assumptions!$B$8+M638*Assumptions!$B$9+N638*Assumptions!$B$10+O638*Assumptions!$B$11),1)</f>
        <v/>
      </c>
      <c r="Q638" s="2">
        <f>IF(P638&gt;=Assumptions!$B$14,"High",IF(P638&gt;=Assumptions!$B$15,"Medium","Low"))</f>
        <v/>
      </c>
      <c r="R638" s="2">
        <f>Cleaned_Data!L638</f>
        <v/>
      </c>
    </row>
    <row r="639">
      <c r="A639" s="2">
        <f>Cleaned_Data!A639</f>
        <v/>
      </c>
      <c r="B639" s="2">
        <f>Cleaned_Data!B639</f>
        <v/>
      </c>
      <c r="C639" s="2">
        <f>Cleaned_Data!G639</f>
        <v/>
      </c>
      <c r="D639" s="2">
        <f>Cleaned_Data!I639</f>
        <v/>
      </c>
      <c r="E639" s="2">
        <f>Cleaned_Data!H639</f>
        <v/>
      </c>
      <c r="F639" s="2">
        <f>Cleaned_Data!F639</f>
        <v/>
      </c>
      <c r="G639" s="9">
        <f>SUMPRODUCT(($B$2:$B$1196=B639)*($F$2:$F$1196&lt;=F639))/SUMPRODUCT(($B$2:$B$1196=B639)*1)</f>
        <v/>
      </c>
      <c r="H639" s="2">
        <f>Cleaned_Data!J639</f>
        <v/>
      </c>
      <c r="I639" s="2">
        <f>Cleaned_Data!E639</f>
        <v/>
      </c>
      <c r="J639" s="2">
        <f>IF(C639="Yes",1,0)</f>
        <v/>
      </c>
      <c r="K639" s="2">
        <f>MIN(MAX(1-(D639-1)/4,0),1)</f>
        <v/>
      </c>
      <c r="L639" s="2">
        <f>MIN(E639/60,1)</f>
        <v/>
      </c>
      <c r="M639" s="2">
        <f>MIN(MAX(1-G639,0),1)</f>
        <v/>
      </c>
      <c r="N639" s="2">
        <f>MIN(MAX(1-(H639-1)/4,0),1)</f>
        <v/>
      </c>
      <c r="O639" s="2">
        <f>1-MIN(I639/8,1)</f>
        <v/>
      </c>
      <c r="P639" s="10">
        <f>ROUND(100*(J639*Assumptions!$B$6+K639*Assumptions!$B$7+L639*Assumptions!$B$8+M639*Assumptions!$B$9+N639*Assumptions!$B$10+O639*Assumptions!$B$11),1)</f>
        <v/>
      </c>
      <c r="Q639" s="2">
        <f>IF(P639&gt;=Assumptions!$B$14,"High",IF(P639&gt;=Assumptions!$B$15,"Medium","Low"))</f>
        <v/>
      </c>
      <c r="R639" s="2">
        <f>Cleaned_Data!L639</f>
        <v/>
      </c>
    </row>
    <row r="640">
      <c r="A640" s="2">
        <f>Cleaned_Data!A640</f>
        <v/>
      </c>
      <c r="B640" s="2">
        <f>Cleaned_Data!B640</f>
        <v/>
      </c>
      <c r="C640" s="2">
        <f>Cleaned_Data!G640</f>
        <v/>
      </c>
      <c r="D640" s="2">
        <f>Cleaned_Data!I640</f>
        <v/>
      </c>
      <c r="E640" s="2">
        <f>Cleaned_Data!H640</f>
        <v/>
      </c>
      <c r="F640" s="2">
        <f>Cleaned_Data!F640</f>
        <v/>
      </c>
      <c r="G640" s="9">
        <f>SUMPRODUCT(($B$2:$B$1196=B640)*($F$2:$F$1196&lt;=F640))/SUMPRODUCT(($B$2:$B$1196=B640)*1)</f>
        <v/>
      </c>
      <c r="H640" s="2">
        <f>Cleaned_Data!J640</f>
        <v/>
      </c>
      <c r="I640" s="2">
        <f>Cleaned_Data!E640</f>
        <v/>
      </c>
      <c r="J640" s="2">
        <f>IF(C640="Yes",1,0)</f>
        <v/>
      </c>
      <c r="K640" s="2">
        <f>MIN(MAX(1-(D640-1)/4,0),1)</f>
        <v/>
      </c>
      <c r="L640" s="2">
        <f>MIN(E640/60,1)</f>
        <v/>
      </c>
      <c r="M640" s="2">
        <f>MIN(MAX(1-G640,0),1)</f>
        <v/>
      </c>
      <c r="N640" s="2">
        <f>MIN(MAX(1-(H640-1)/4,0),1)</f>
        <v/>
      </c>
      <c r="O640" s="2">
        <f>1-MIN(I640/8,1)</f>
        <v/>
      </c>
      <c r="P640" s="10">
        <f>ROUND(100*(J640*Assumptions!$B$6+K640*Assumptions!$B$7+L640*Assumptions!$B$8+M640*Assumptions!$B$9+N640*Assumptions!$B$10+O640*Assumptions!$B$11),1)</f>
        <v/>
      </c>
      <c r="Q640" s="2">
        <f>IF(P640&gt;=Assumptions!$B$14,"High",IF(P640&gt;=Assumptions!$B$15,"Medium","Low"))</f>
        <v/>
      </c>
      <c r="R640" s="2">
        <f>Cleaned_Data!L640</f>
        <v/>
      </c>
    </row>
    <row r="641">
      <c r="A641" s="2">
        <f>Cleaned_Data!A641</f>
        <v/>
      </c>
      <c r="B641" s="2">
        <f>Cleaned_Data!B641</f>
        <v/>
      </c>
      <c r="C641" s="2">
        <f>Cleaned_Data!G641</f>
        <v/>
      </c>
      <c r="D641" s="2">
        <f>Cleaned_Data!I641</f>
        <v/>
      </c>
      <c r="E641" s="2">
        <f>Cleaned_Data!H641</f>
        <v/>
      </c>
      <c r="F641" s="2">
        <f>Cleaned_Data!F641</f>
        <v/>
      </c>
      <c r="G641" s="9">
        <f>SUMPRODUCT(($B$2:$B$1196=B641)*($F$2:$F$1196&lt;=F641))/SUMPRODUCT(($B$2:$B$1196=B641)*1)</f>
        <v/>
      </c>
      <c r="H641" s="2">
        <f>Cleaned_Data!J641</f>
        <v/>
      </c>
      <c r="I641" s="2">
        <f>Cleaned_Data!E641</f>
        <v/>
      </c>
      <c r="J641" s="2">
        <f>IF(C641="Yes",1,0)</f>
        <v/>
      </c>
      <c r="K641" s="2">
        <f>MIN(MAX(1-(D641-1)/4,0),1)</f>
        <v/>
      </c>
      <c r="L641" s="2">
        <f>MIN(E641/60,1)</f>
        <v/>
      </c>
      <c r="M641" s="2">
        <f>MIN(MAX(1-G641,0),1)</f>
        <v/>
      </c>
      <c r="N641" s="2">
        <f>MIN(MAX(1-(H641-1)/4,0),1)</f>
        <v/>
      </c>
      <c r="O641" s="2">
        <f>1-MIN(I641/8,1)</f>
        <v/>
      </c>
      <c r="P641" s="10">
        <f>ROUND(100*(J641*Assumptions!$B$6+K641*Assumptions!$B$7+L641*Assumptions!$B$8+M641*Assumptions!$B$9+N641*Assumptions!$B$10+O641*Assumptions!$B$11),1)</f>
        <v/>
      </c>
      <c r="Q641" s="2">
        <f>IF(P641&gt;=Assumptions!$B$14,"High",IF(P641&gt;=Assumptions!$B$15,"Medium","Low"))</f>
        <v/>
      </c>
      <c r="R641" s="2">
        <f>Cleaned_Data!L641</f>
        <v/>
      </c>
    </row>
    <row r="642">
      <c r="A642" s="2">
        <f>Cleaned_Data!A642</f>
        <v/>
      </c>
      <c r="B642" s="2">
        <f>Cleaned_Data!B642</f>
        <v/>
      </c>
      <c r="C642" s="2">
        <f>Cleaned_Data!G642</f>
        <v/>
      </c>
      <c r="D642" s="2">
        <f>Cleaned_Data!I642</f>
        <v/>
      </c>
      <c r="E642" s="2">
        <f>Cleaned_Data!H642</f>
        <v/>
      </c>
      <c r="F642" s="2">
        <f>Cleaned_Data!F642</f>
        <v/>
      </c>
      <c r="G642" s="9">
        <f>SUMPRODUCT(($B$2:$B$1196=B642)*($F$2:$F$1196&lt;=F642))/SUMPRODUCT(($B$2:$B$1196=B642)*1)</f>
        <v/>
      </c>
      <c r="H642" s="2">
        <f>Cleaned_Data!J642</f>
        <v/>
      </c>
      <c r="I642" s="2">
        <f>Cleaned_Data!E642</f>
        <v/>
      </c>
      <c r="J642" s="2">
        <f>IF(C642="Yes",1,0)</f>
        <v/>
      </c>
      <c r="K642" s="2">
        <f>MIN(MAX(1-(D642-1)/4,0),1)</f>
        <v/>
      </c>
      <c r="L642" s="2">
        <f>MIN(E642/60,1)</f>
        <v/>
      </c>
      <c r="M642" s="2">
        <f>MIN(MAX(1-G642,0),1)</f>
        <v/>
      </c>
      <c r="N642" s="2">
        <f>MIN(MAX(1-(H642-1)/4,0),1)</f>
        <v/>
      </c>
      <c r="O642" s="2">
        <f>1-MIN(I642/8,1)</f>
        <v/>
      </c>
      <c r="P642" s="10">
        <f>ROUND(100*(J642*Assumptions!$B$6+K642*Assumptions!$B$7+L642*Assumptions!$B$8+M642*Assumptions!$B$9+N642*Assumptions!$B$10+O642*Assumptions!$B$11),1)</f>
        <v/>
      </c>
      <c r="Q642" s="2">
        <f>IF(P642&gt;=Assumptions!$B$14,"High",IF(P642&gt;=Assumptions!$B$15,"Medium","Low"))</f>
        <v/>
      </c>
      <c r="R642" s="2">
        <f>Cleaned_Data!L642</f>
        <v/>
      </c>
    </row>
    <row r="643">
      <c r="A643" s="2">
        <f>Cleaned_Data!A643</f>
        <v/>
      </c>
      <c r="B643" s="2">
        <f>Cleaned_Data!B643</f>
        <v/>
      </c>
      <c r="C643" s="2">
        <f>Cleaned_Data!G643</f>
        <v/>
      </c>
      <c r="D643" s="2">
        <f>Cleaned_Data!I643</f>
        <v/>
      </c>
      <c r="E643" s="2">
        <f>Cleaned_Data!H643</f>
        <v/>
      </c>
      <c r="F643" s="2">
        <f>Cleaned_Data!F643</f>
        <v/>
      </c>
      <c r="G643" s="9">
        <f>SUMPRODUCT(($B$2:$B$1196=B643)*($F$2:$F$1196&lt;=F643))/SUMPRODUCT(($B$2:$B$1196=B643)*1)</f>
        <v/>
      </c>
      <c r="H643" s="2">
        <f>Cleaned_Data!J643</f>
        <v/>
      </c>
      <c r="I643" s="2">
        <f>Cleaned_Data!E643</f>
        <v/>
      </c>
      <c r="J643" s="2">
        <f>IF(C643="Yes",1,0)</f>
        <v/>
      </c>
      <c r="K643" s="2">
        <f>MIN(MAX(1-(D643-1)/4,0),1)</f>
        <v/>
      </c>
      <c r="L643" s="2">
        <f>MIN(E643/60,1)</f>
        <v/>
      </c>
      <c r="M643" s="2">
        <f>MIN(MAX(1-G643,0),1)</f>
        <v/>
      </c>
      <c r="N643" s="2">
        <f>MIN(MAX(1-(H643-1)/4,0),1)</f>
        <v/>
      </c>
      <c r="O643" s="2">
        <f>1-MIN(I643/8,1)</f>
        <v/>
      </c>
      <c r="P643" s="10">
        <f>ROUND(100*(J643*Assumptions!$B$6+K643*Assumptions!$B$7+L643*Assumptions!$B$8+M643*Assumptions!$B$9+N643*Assumptions!$B$10+O643*Assumptions!$B$11),1)</f>
        <v/>
      </c>
      <c r="Q643" s="2">
        <f>IF(P643&gt;=Assumptions!$B$14,"High",IF(P643&gt;=Assumptions!$B$15,"Medium","Low"))</f>
        <v/>
      </c>
      <c r="R643" s="2">
        <f>Cleaned_Data!L643</f>
        <v/>
      </c>
    </row>
    <row r="644">
      <c r="A644" s="2">
        <f>Cleaned_Data!A644</f>
        <v/>
      </c>
      <c r="B644" s="2">
        <f>Cleaned_Data!B644</f>
        <v/>
      </c>
      <c r="C644" s="2">
        <f>Cleaned_Data!G644</f>
        <v/>
      </c>
      <c r="D644" s="2">
        <f>Cleaned_Data!I644</f>
        <v/>
      </c>
      <c r="E644" s="2">
        <f>Cleaned_Data!H644</f>
        <v/>
      </c>
      <c r="F644" s="2">
        <f>Cleaned_Data!F644</f>
        <v/>
      </c>
      <c r="G644" s="9">
        <f>SUMPRODUCT(($B$2:$B$1196=B644)*($F$2:$F$1196&lt;=F644))/SUMPRODUCT(($B$2:$B$1196=B644)*1)</f>
        <v/>
      </c>
      <c r="H644" s="2">
        <f>Cleaned_Data!J644</f>
        <v/>
      </c>
      <c r="I644" s="2">
        <f>Cleaned_Data!E644</f>
        <v/>
      </c>
      <c r="J644" s="2">
        <f>IF(C644="Yes",1,0)</f>
        <v/>
      </c>
      <c r="K644" s="2">
        <f>MIN(MAX(1-(D644-1)/4,0),1)</f>
        <v/>
      </c>
      <c r="L644" s="2">
        <f>MIN(E644/60,1)</f>
        <v/>
      </c>
      <c r="M644" s="2">
        <f>MIN(MAX(1-G644,0),1)</f>
        <v/>
      </c>
      <c r="N644" s="2">
        <f>MIN(MAX(1-(H644-1)/4,0),1)</f>
        <v/>
      </c>
      <c r="O644" s="2">
        <f>1-MIN(I644/8,1)</f>
        <v/>
      </c>
      <c r="P644" s="10">
        <f>ROUND(100*(J644*Assumptions!$B$6+K644*Assumptions!$B$7+L644*Assumptions!$B$8+M644*Assumptions!$B$9+N644*Assumptions!$B$10+O644*Assumptions!$B$11),1)</f>
        <v/>
      </c>
      <c r="Q644" s="2">
        <f>IF(P644&gt;=Assumptions!$B$14,"High",IF(P644&gt;=Assumptions!$B$15,"Medium","Low"))</f>
        <v/>
      </c>
      <c r="R644" s="2">
        <f>Cleaned_Data!L644</f>
        <v/>
      </c>
    </row>
    <row r="645">
      <c r="A645" s="2">
        <f>Cleaned_Data!A645</f>
        <v/>
      </c>
      <c r="B645" s="2">
        <f>Cleaned_Data!B645</f>
        <v/>
      </c>
      <c r="C645" s="2">
        <f>Cleaned_Data!G645</f>
        <v/>
      </c>
      <c r="D645" s="2">
        <f>Cleaned_Data!I645</f>
        <v/>
      </c>
      <c r="E645" s="2">
        <f>Cleaned_Data!H645</f>
        <v/>
      </c>
      <c r="F645" s="2">
        <f>Cleaned_Data!F645</f>
        <v/>
      </c>
      <c r="G645" s="9">
        <f>SUMPRODUCT(($B$2:$B$1196=B645)*($F$2:$F$1196&lt;=F645))/SUMPRODUCT(($B$2:$B$1196=B645)*1)</f>
        <v/>
      </c>
      <c r="H645" s="2">
        <f>Cleaned_Data!J645</f>
        <v/>
      </c>
      <c r="I645" s="2">
        <f>Cleaned_Data!E645</f>
        <v/>
      </c>
      <c r="J645" s="2">
        <f>IF(C645="Yes",1,0)</f>
        <v/>
      </c>
      <c r="K645" s="2">
        <f>MIN(MAX(1-(D645-1)/4,0),1)</f>
        <v/>
      </c>
      <c r="L645" s="2">
        <f>MIN(E645/60,1)</f>
        <v/>
      </c>
      <c r="M645" s="2">
        <f>MIN(MAX(1-G645,0),1)</f>
        <v/>
      </c>
      <c r="N645" s="2">
        <f>MIN(MAX(1-(H645-1)/4,0),1)</f>
        <v/>
      </c>
      <c r="O645" s="2">
        <f>1-MIN(I645/8,1)</f>
        <v/>
      </c>
      <c r="P645" s="10">
        <f>ROUND(100*(J645*Assumptions!$B$6+K645*Assumptions!$B$7+L645*Assumptions!$B$8+M645*Assumptions!$B$9+N645*Assumptions!$B$10+O645*Assumptions!$B$11),1)</f>
        <v/>
      </c>
      <c r="Q645" s="2">
        <f>IF(P645&gt;=Assumptions!$B$14,"High",IF(P645&gt;=Assumptions!$B$15,"Medium","Low"))</f>
        <v/>
      </c>
      <c r="R645" s="2">
        <f>Cleaned_Data!L645</f>
        <v/>
      </c>
    </row>
    <row r="646">
      <c r="A646" s="2">
        <f>Cleaned_Data!A646</f>
        <v/>
      </c>
      <c r="B646" s="2">
        <f>Cleaned_Data!B646</f>
        <v/>
      </c>
      <c r="C646" s="2">
        <f>Cleaned_Data!G646</f>
        <v/>
      </c>
      <c r="D646" s="2">
        <f>Cleaned_Data!I646</f>
        <v/>
      </c>
      <c r="E646" s="2">
        <f>Cleaned_Data!H646</f>
        <v/>
      </c>
      <c r="F646" s="2">
        <f>Cleaned_Data!F646</f>
        <v/>
      </c>
      <c r="G646" s="9">
        <f>SUMPRODUCT(($B$2:$B$1196=B646)*($F$2:$F$1196&lt;=F646))/SUMPRODUCT(($B$2:$B$1196=B646)*1)</f>
        <v/>
      </c>
      <c r="H646" s="2">
        <f>Cleaned_Data!J646</f>
        <v/>
      </c>
      <c r="I646" s="2">
        <f>Cleaned_Data!E646</f>
        <v/>
      </c>
      <c r="J646" s="2">
        <f>IF(C646="Yes",1,0)</f>
        <v/>
      </c>
      <c r="K646" s="2">
        <f>MIN(MAX(1-(D646-1)/4,0),1)</f>
        <v/>
      </c>
      <c r="L646" s="2">
        <f>MIN(E646/60,1)</f>
        <v/>
      </c>
      <c r="M646" s="2">
        <f>MIN(MAX(1-G646,0),1)</f>
        <v/>
      </c>
      <c r="N646" s="2">
        <f>MIN(MAX(1-(H646-1)/4,0),1)</f>
        <v/>
      </c>
      <c r="O646" s="2">
        <f>1-MIN(I646/8,1)</f>
        <v/>
      </c>
      <c r="P646" s="10">
        <f>ROUND(100*(J646*Assumptions!$B$6+K646*Assumptions!$B$7+L646*Assumptions!$B$8+M646*Assumptions!$B$9+N646*Assumptions!$B$10+O646*Assumptions!$B$11),1)</f>
        <v/>
      </c>
      <c r="Q646" s="2">
        <f>IF(P646&gt;=Assumptions!$B$14,"High",IF(P646&gt;=Assumptions!$B$15,"Medium","Low"))</f>
        <v/>
      </c>
      <c r="R646" s="2">
        <f>Cleaned_Data!L646</f>
        <v/>
      </c>
    </row>
    <row r="647">
      <c r="A647" s="2">
        <f>Cleaned_Data!A647</f>
        <v/>
      </c>
      <c r="B647" s="2">
        <f>Cleaned_Data!B647</f>
        <v/>
      </c>
      <c r="C647" s="2">
        <f>Cleaned_Data!G647</f>
        <v/>
      </c>
      <c r="D647" s="2">
        <f>Cleaned_Data!I647</f>
        <v/>
      </c>
      <c r="E647" s="2">
        <f>Cleaned_Data!H647</f>
        <v/>
      </c>
      <c r="F647" s="2">
        <f>Cleaned_Data!F647</f>
        <v/>
      </c>
      <c r="G647" s="9">
        <f>SUMPRODUCT(($B$2:$B$1196=B647)*($F$2:$F$1196&lt;=F647))/SUMPRODUCT(($B$2:$B$1196=B647)*1)</f>
        <v/>
      </c>
      <c r="H647" s="2">
        <f>Cleaned_Data!J647</f>
        <v/>
      </c>
      <c r="I647" s="2">
        <f>Cleaned_Data!E647</f>
        <v/>
      </c>
      <c r="J647" s="2">
        <f>IF(C647="Yes",1,0)</f>
        <v/>
      </c>
      <c r="K647" s="2">
        <f>MIN(MAX(1-(D647-1)/4,0),1)</f>
        <v/>
      </c>
      <c r="L647" s="2">
        <f>MIN(E647/60,1)</f>
        <v/>
      </c>
      <c r="M647" s="2">
        <f>MIN(MAX(1-G647,0),1)</f>
        <v/>
      </c>
      <c r="N647" s="2">
        <f>MIN(MAX(1-(H647-1)/4,0),1)</f>
        <v/>
      </c>
      <c r="O647" s="2">
        <f>1-MIN(I647/8,1)</f>
        <v/>
      </c>
      <c r="P647" s="10">
        <f>ROUND(100*(J647*Assumptions!$B$6+K647*Assumptions!$B$7+L647*Assumptions!$B$8+M647*Assumptions!$B$9+N647*Assumptions!$B$10+O647*Assumptions!$B$11),1)</f>
        <v/>
      </c>
      <c r="Q647" s="2">
        <f>IF(P647&gt;=Assumptions!$B$14,"High",IF(P647&gt;=Assumptions!$B$15,"Medium","Low"))</f>
        <v/>
      </c>
      <c r="R647" s="2">
        <f>Cleaned_Data!L647</f>
        <v/>
      </c>
    </row>
    <row r="648">
      <c r="A648" s="2">
        <f>Cleaned_Data!A648</f>
        <v/>
      </c>
      <c r="B648" s="2">
        <f>Cleaned_Data!B648</f>
        <v/>
      </c>
      <c r="C648" s="2">
        <f>Cleaned_Data!G648</f>
        <v/>
      </c>
      <c r="D648" s="2">
        <f>Cleaned_Data!I648</f>
        <v/>
      </c>
      <c r="E648" s="2">
        <f>Cleaned_Data!H648</f>
        <v/>
      </c>
      <c r="F648" s="2">
        <f>Cleaned_Data!F648</f>
        <v/>
      </c>
      <c r="G648" s="9">
        <f>SUMPRODUCT(($B$2:$B$1196=B648)*($F$2:$F$1196&lt;=F648))/SUMPRODUCT(($B$2:$B$1196=B648)*1)</f>
        <v/>
      </c>
      <c r="H648" s="2">
        <f>Cleaned_Data!J648</f>
        <v/>
      </c>
      <c r="I648" s="2">
        <f>Cleaned_Data!E648</f>
        <v/>
      </c>
      <c r="J648" s="2">
        <f>IF(C648="Yes",1,0)</f>
        <v/>
      </c>
      <c r="K648" s="2">
        <f>MIN(MAX(1-(D648-1)/4,0),1)</f>
        <v/>
      </c>
      <c r="L648" s="2">
        <f>MIN(E648/60,1)</f>
        <v/>
      </c>
      <c r="M648" s="2">
        <f>MIN(MAX(1-G648,0),1)</f>
        <v/>
      </c>
      <c r="N648" s="2">
        <f>MIN(MAX(1-(H648-1)/4,0),1)</f>
        <v/>
      </c>
      <c r="O648" s="2">
        <f>1-MIN(I648/8,1)</f>
        <v/>
      </c>
      <c r="P648" s="10">
        <f>ROUND(100*(J648*Assumptions!$B$6+K648*Assumptions!$B$7+L648*Assumptions!$B$8+M648*Assumptions!$B$9+N648*Assumptions!$B$10+O648*Assumptions!$B$11),1)</f>
        <v/>
      </c>
      <c r="Q648" s="2">
        <f>IF(P648&gt;=Assumptions!$B$14,"High",IF(P648&gt;=Assumptions!$B$15,"Medium","Low"))</f>
        <v/>
      </c>
      <c r="R648" s="2">
        <f>Cleaned_Data!L648</f>
        <v/>
      </c>
    </row>
    <row r="649">
      <c r="A649" s="2">
        <f>Cleaned_Data!A649</f>
        <v/>
      </c>
      <c r="B649" s="2">
        <f>Cleaned_Data!B649</f>
        <v/>
      </c>
      <c r="C649" s="2">
        <f>Cleaned_Data!G649</f>
        <v/>
      </c>
      <c r="D649" s="2">
        <f>Cleaned_Data!I649</f>
        <v/>
      </c>
      <c r="E649" s="2">
        <f>Cleaned_Data!H649</f>
        <v/>
      </c>
      <c r="F649" s="2">
        <f>Cleaned_Data!F649</f>
        <v/>
      </c>
      <c r="G649" s="9">
        <f>SUMPRODUCT(($B$2:$B$1196=B649)*($F$2:$F$1196&lt;=F649))/SUMPRODUCT(($B$2:$B$1196=B649)*1)</f>
        <v/>
      </c>
      <c r="H649" s="2">
        <f>Cleaned_Data!J649</f>
        <v/>
      </c>
      <c r="I649" s="2">
        <f>Cleaned_Data!E649</f>
        <v/>
      </c>
      <c r="J649" s="2">
        <f>IF(C649="Yes",1,0)</f>
        <v/>
      </c>
      <c r="K649" s="2">
        <f>MIN(MAX(1-(D649-1)/4,0),1)</f>
        <v/>
      </c>
      <c r="L649" s="2">
        <f>MIN(E649/60,1)</f>
        <v/>
      </c>
      <c r="M649" s="2">
        <f>MIN(MAX(1-G649,0),1)</f>
        <v/>
      </c>
      <c r="N649" s="2">
        <f>MIN(MAX(1-(H649-1)/4,0),1)</f>
        <v/>
      </c>
      <c r="O649" s="2">
        <f>1-MIN(I649/8,1)</f>
        <v/>
      </c>
      <c r="P649" s="10">
        <f>ROUND(100*(J649*Assumptions!$B$6+K649*Assumptions!$B$7+L649*Assumptions!$B$8+M649*Assumptions!$B$9+N649*Assumptions!$B$10+O649*Assumptions!$B$11),1)</f>
        <v/>
      </c>
      <c r="Q649" s="2">
        <f>IF(P649&gt;=Assumptions!$B$14,"High",IF(P649&gt;=Assumptions!$B$15,"Medium","Low"))</f>
        <v/>
      </c>
      <c r="R649" s="2">
        <f>Cleaned_Data!L649</f>
        <v/>
      </c>
    </row>
    <row r="650">
      <c r="A650" s="2">
        <f>Cleaned_Data!A650</f>
        <v/>
      </c>
      <c r="B650" s="2">
        <f>Cleaned_Data!B650</f>
        <v/>
      </c>
      <c r="C650" s="2">
        <f>Cleaned_Data!G650</f>
        <v/>
      </c>
      <c r="D650" s="2">
        <f>Cleaned_Data!I650</f>
        <v/>
      </c>
      <c r="E650" s="2">
        <f>Cleaned_Data!H650</f>
        <v/>
      </c>
      <c r="F650" s="2">
        <f>Cleaned_Data!F650</f>
        <v/>
      </c>
      <c r="G650" s="9">
        <f>SUMPRODUCT(($B$2:$B$1196=B650)*($F$2:$F$1196&lt;=F650))/SUMPRODUCT(($B$2:$B$1196=B650)*1)</f>
        <v/>
      </c>
      <c r="H650" s="2">
        <f>Cleaned_Data!J650</f>
        <v/>
      </c>
      <c r="I650" s="2">
        <f>Cleaned_Data!E650</f>
        <v/>
      </c>
      <c r="J650" s="2">
        <f>IF(C650="Yes",1,0)</f>
        <v/>
      </c>
      <c r="K650" s="2">
        <f>MIN(MAX(1-(D650-1)/4,0),1)</f>
        <v/>
      </c>
      <c r="L650" s="2">
        <f>MIN(E650/60,1)</f>
        <v/>
      </c>
      <c r="M650" s="2">
        <f>MIN(MAX(1-G650,0),1)</f>
        <v/>
      </c>
      <c r="N650" s="2">
        <f>MIN(MAX(1-(H650-1)/4,0),1)</f>
        <v/>
      </c>
      <c r="O650" s="2">
        <f>1-MIN(I650/8,1)</f>
        <v/>
      </c>
      <c r="P650" s="10">
        <f>ROUND(100*(J650*Assumptions!$B$6+K650*Assumptions!$B$7+L650*Assumptions!$B$8+M650*Assumptions!$B$9+N650*Assumptions!$B$10+O650*Assumptions!$B$11),1)</f>
        <v/>
      </c>
      <c r="Q650" s="2">
        <f>IF(P650&gt;=Assumptions!$B$14,"High",IF(P650&gt;=Assumptions!$B$15,"Medium","Low"))</f>
        <v/>
      </c>
      <c r="R650" s="2">
        <f>Cleaned_Data!L650</f>
        <v/>
      </c>
    </row>
    <row r="651">
      <c r="A651" s="2">
        <f>Cleaned_Data!A651</f>
        <v/>
      </c>
      <c r="B651" s="2">
        <f>Cleaned_Data!B651</f>
        <v/>
      </c>
      <c r="C651" s="2">
        <f>Cleaned_Data!G651</f>
        <v/>
      </c>
      <c r="D651" s="2">
        <f>Cleaned_Data!I651</f>
        <v/>
      </c>
      <c r="E651" s="2">
        <f>Cleaned_Data!H651</f>
        <v/>
      </c>
      <c r="F651" s="2">
        <f>Cleaned_Data!F651</f>
        <v/>
      </c>
      <c r="G651" s="9">
        <f>SUMPRODUCT(($B$2:$B$1196=B651)*($F$2:$F$1196&lt;=F651))/SUMPRODUCT(($B$2:$B$1196=B651)*1)</f>
        <v/>
      </c>
      <c r="H651" s="2">
        <f>Cleaned_Data!J651</f>
        <v/>
      </c>
      <c r="I651" s="2">
        <f>Cleaned_Data!E651</f>
        <v/>
      </c>
      <c r="J651" s="2">
        <f>IF(C651="Yes",1,0)</f>
        <v/>
      </c>
      <c r="K651" s="2">
        <f>MIN(MAX(1-(D651-1)/4,0),1)</f>
        <v/>
      </c>
      <c r="L651" s="2">
        <f>MIN(E651/60,1)</f>
        <v/>
      </c>
      <c r="M651" s="2">
        <f>MIN(MAX(1-G651,0),1)</f>
        <v/>
      </c>
      <c r="N651" s="2">
        <f>MIN(MAX(1-(H651-1)/4,0),1)</f>
        <v/>
      </c>
      <c r="O651" s="2">
        <f>1-MIN(I651/8,1)</f>
        <v/>
      </c>
      <c r="P651" s="10">
        <f>ROUND(100*(J651*Assumptions!$B$6+K651*Assumptions!$B$7+L651*Assumptions!$B$8+M651*Assumptions!$B$9+N651*Assumptions!$B$10+O651*Assumptions!$B$11),1)</f>
        <v/>
      </c>
      <c r="Q651" s="2">
        <f>IF(P651&gt;=Assumptions!$B$14,"High",IF(P651&gt;=Assumptions!$B$15,"Medium","Low"))</f>
        <v/>
      </c>
      <c r="R651" s="2">
        <f>Cleaned_Data!L651</f>
        <v/>
      </c>
    </row>
    <row r="652">
      <c r="A652" s="2">
        <f>Cleaned_Data!A652</f>
        <v/>
      </c>
      <c r="B652" s="2">
        <f>Cleaned_Data!B652</f>
        <v/>
      </c>
      <c r="C652" s="2">
        <f>Cleaned_Data!G652</f>
        <v/>
      </c>
      <c r="D652" s="2">
        <f>Cleaned_Data!I652</f>
        <v/>
      </c>
      <c r="E652" s="2">
        <f>Cleaned_Data!H652</f>
        <v/>
      </c>
      <c r="F652" s="2">
        <f>Cleaned_Data!F652</f>
        <v/>
      </c>
      <c r="G652" s="9">
        <f>SUMPRODUCT(($B$2:$B$1196=B652)*($F$2:$F$1196&lt;=F652))/SUMPRODUCT(($B$2:$B$1196=B652)*1)</f>
        <v/>
      </c>
      <c r="H652" s="2">
        <f>Cleaned_Data!J652</f>
        <v/>
      </c>
      <c r="I652" s="2">
        <f>Cleaned_Data!E652</f>
        <v/>
      </c>
      <c r="J652" s="2">
        <f>IF(C652="Yes",1,0)</f>
        <v/>
      </c>
      <c r="K652" s="2">
        <f>MIN(MAX(1-(D652-1)/4,0),1)</f>
        <v/>
      </c>
      <c r="L652" s="2">
        <f>MIN(E652/60,1)</f>
        <v/>
      </c>
      <c r="M652" s="2">
        <f>MIN(MAX(1-G652,0),1)</f>
        <v/>
      </c>
      <c r="N652" s="2">
        <f>MIN(MAX(1-(H652-1)/4,0),1)</f>
        <v/>
      </c>
      <c r="O652" s="2">
        <f>1-MIN(I652/8,1)</f>
        <v/>
      </c>
      <c r="P652" s="10">
        <f>ROUND(100*(J652*Assumptions!$B$6+K652*Assumptions!$B$7+L652*Assumptions!$B$8+M652*Assumptions!$B$9+N652*Assumptions!$B$10+O652*Assumptions!$B$11),1)</f>
        <v/>
      </c>
      <c r="Q652" s="2">
        <f>IF(P652&gt;=Assumptions!$B$14,"High",IF(P652&gt;=Assumptions!$B$15,"Medium","Low"))</f>
        <v/>
      </c>
      <c r="R652" s="2">
        <f>Cleaned_Data!L652</f>
        <v/>
      </c>
    </row>
    <row r="653">
      <c r="A653" s="2">
        <f>Cleaned_Data!A653</f>
        <v/>
      </c>
      <c r="B653" s="2">
        <f>Cleaned_Data!B653</f>
        <v/>
      </c>
      <c r="C653" s="2">
        <f>Cleaned_Data!G653</f>
        <v/>
      </c>
      <c r="D653" s="2">
        <f>Cleaned_Data!I653</f>
        <v/>
      </c>
      <c r="E653" s="2">
        <f>Cleaned_Data!H653</f>
        <v/>
      </c>
      <c r="F653" s="2">
        <f>Cleaned_Data!F653</f>
        <v/>
      </c>
      <c r="G653" s="9">
        <f>SUMPRODUCT(($B$2:$B$1196=B653)*($F$2:$F$1196&lt;=F653))/SUMPRODUCT(($B$2:$B$1196=B653)*1)</f>
        <v/>
      </c>
      <c r="H653" s="2">
        <f>Cleaned_Data!J653</f>
        <v/>
      </c>
      <c r="I653" s="2">
        <f>Cleaned_Data!E653</f>
        <v/>
      </c>
      <c r="J653" s="2">
        <f>IF(C653="Yes",1,0)</f>
        <v/>
      </c>
      <c r="K653" s="2">
        <f>MIN(MAX(1-(D653-1)/4,0),1)</f>
        <v/>
      </c>
      <c r="L653" s="2">
        <f>MIN(E653/60,1)</f>
        <v/>
      </c>
      <c r="M653" s="2">
        <f>MIN(MAX(1-G653,0),1)</f>
        <v/>
      </c>
      <c r="N653" s="2">
        <f>MIN(MAX(1-(H653-1)/4,0),1)</f>
        <v/>
      </c>
      <c r="O653" s="2">
        <f>1-MIN(I653/8,1)</f>
        <v/>
      </c>
      <c r="P653" s="10">
        <f>ROUND(100*(J653*Assumptions!$B$6+K653*Assumptions!$B$7+L653*Assumptions!$B$8+M653*Assumptions!$B$9+N653*Assumptions!$B$10+O653*Assumptions!$B$11),1)</f>
        <v/>
      </c>
      <c r="Q653" s="2">
        <f>IF(P653&gt;=Assumptions!$B$14,"High",IF(P653&gt;=Assumptions!$B$15,"Medium","Low"))</f>
        <v/>
      </c>
      <c r="R653" s="2">
        <f>Cleaned_Data!L653</f>
        <v/>
      </c>
    </row>
    <row r="654">
      <c r="A654" s="2">
        <f>Cleaned_Data!A654</f>
        <v/>
      </c>
      <c r="B654" s="2">
        <f>Cleaned_Data!B654</f>
        <v/>
      </c>
      <c r="C654" s="2">
        <f>Cleaned_Data!G654</f>
        <v/>
      </c>
      <c r="D654" s="2">
        <f>Cleaned_Data!I654</f>
        <v/>
      </c>
      <c r="E654" s="2">
        <f>Cleaned_Data!H654</f>
        <v/>
      </c>
      <c r="F654" s="2">
        <f>Cleaned_Data!F654</f>
        <v/>
      </c>
      <c r="G654" s="9">
        <f>SUMPRODUCT(($B$2:$B$1196=B654)*($F$2:$F$1196&lt;=F654))/SUMPRODUCT(($B$2:$B$1196=B654)*1)</f>
        <v/>
      </c>
      <c r="H654" s="2">
        <f>Cleaned_Data!J654</f>
        <v/>
      </c>
      <c r="I654" s="2">
        <f>Cleaned_Data!E654</f>
        <v/>
      </c>
      <c r="J654" s="2">
        <f>IF(C654="Yes",1,0)</f>
        <v/>
      </c>
      <c r="K654" s="2">
        <f>MIN(MAX(1-(D654-1)/4,0),1)</f>
        <v/>
      </c>
      <c r="L654" s="2">
        <f>MIN(E654/60,1)</f>
        <v/>
      </c>
      <c r="M654" s="2">
        <f>MIN(MAX(1-G654,0),1)</f>
        <v/>
      </c>
      <c r="N654" s="2">
        <f>MIN(MAX(1-(H654-1)/4,0),1)</f>
        <v/>
      </c>
      <c r="O654" s="2">
        <f>1-MIN(I654/8,1)</f>
        <v/>
      </c>
      <c r="P654" s="10">
        <f>ROUND(100*(J654*Assumptions!$B$6+K654*Assumptions!$B$7+L654*Assumptions!$B$8+M654*Assumptions!$B$9+N654*Assumptions!$B$10+O654*Assumptions!$B$11),1)</f>
        <v/>
      </c>
      <c r="Q654" s="2">
        <f>IF(P654&gt;=Assumptions!$B$14,"High",IF(P654&gt;=Assumptions!$B$15,"Medium","Low"))</f>
        <v/>
      </c>
      <c r="R654" s="2">
        <f>Cleaned_Data!L654</f>
        <v/>
      </c>
    </row>
    <row r="655">
      <c r="A655" s="2">
        <f>Cleaned_Data!A655</f>
        <v/>
      </c>
      <c r="B655" s="2">
        <f>Cleaned_Data!B655</f>
        <v/>
      </c>
      <c r="C655" s="2">
        <f>Cleaned_Data!G655</f>
        <v/>
      </c>
      <c r="D655" s="2">
        <f>Cleaned_Data!I655</f>
        <v/>
      </c>
      <c r="E655" s="2">
        <f>Cleaned_Data!H655</f>
        <v/>
      </c>
      <c r="F655" s="2">
        <f>Cleaned_Data!F655</f>
        <v/>
      </c>
      <c r="G655" s="9">
        <f>SUMPRODUCT(($B$2:$B$1196=B655)*($F$2:$F$1196&lt;=F655))/SUMPRODUCT(($B$2:$B$1196=B655)*1)</f>
        <v/>
      </c>
      <c r="H655" s="2">
        <f>Cleaned_Data!J655</f>
        <v/>
      </c>
      <c r="I655" s="2">
        <f>Cleaned_Data!E655</f>
        <v/>
      </c>
      <c r="J655" s="2">
        <f>IF(C655="Yes",1,0)</f>
        <v/>
      </c>
      <c r="K655" s="2">
        <f>MIN(MAX(1-(D655-1)/4,0),1)</f>
        <v/>
      </c>
      <c r="L655" s="2">
        <f>MIN(E655/60,1)</f>
        <v/>
      </c>
      <c r="M655" s="2">
        <f>MIN(MAX(1-G655,0),1)</f>
        <v/>
      </c>
      <c r="N655" s="2">
        <f>MIN(MAX(1-(H655-1)/4,0),1)</f>
        <v/>
      </c>
      <c r="O655" s="2">
        <f>1-MIN(I655/8,1)</f>
        <v/>
      </c>
      <c r="P655" s="10">
        <f>ROUND(100*(J655*Assumptions!$B$6+K655*Assumptions!$B$7+L655*Assumptions!$B$8+M655*Assumptions!$B$9+N655*Assumptions!$B$10+O655*Assumptions!$B$11),1)</f>
        <v/>
      </c>
      <c r="Q655" s="2">
        <f>IF(P655&gt;=Assumptions!$B$14,"High",IF(P655&gt;=Assumptions!$B$15,"Medium","Low"))</f>
        <v/>
      </c>
      <c r="R655" s="2">
        <f>Cleaned_Data!L655</f>
        <v/>
      </c>
    </row>
    <row r="656">
      <c r="A656" s="2">
        <f>Cleaned_Data!A656</f>
        <v/>
      </c>
      <c r="B656" s="2">
        <f>Cleaned_Data!B656</f>
        <v/>
      </c>
      <c r="C656" s="2">
        <f>Cleaned_Data!G656</f>
        <v/>
      </c>
      <c r="D656" s="2">
        <f>Cleaned_Data!I656</f>
        <v/>
      </c>
      <c r="E656" s="2">
        <f>Cleaned_Data!H656</f>
        <v/>
      </c>
      <c r="F656" s="2">
        <f>Cleaned_Data!F656</f>
        <v/>
      </c>
      <c r="G656" s="9">
        <f>SUMPRODUCT(($B$2:$B$1196=B656)*($F$2:$F$1196&lt;=F656))/SUMPRODUCT(($B$2:$B$1196=B656)*1)</f>
        <v/>
      </c>
      <c r="H656" s="2">
        <f>Cleaned_Data!J656</f>
        <v/>
      </c>
      <c r="I656" s="2">
        <f>Cleaned_Data!E656</f>
        <v/>
      </c>
      <c r="J656" s="2">
        <f>IF(C656="Yes",1,0)</f>
        <v/>
      </c>
      <c r="K656" s="2">
        <f>MIN(MAX(1-(D656-1)/4,0),1)</f>
        <v/>
      </c>
      <c r="L656" s="2">
        <f>MIN(E656/60,1)</f>
        <v/>
      </c>
      <c r="M656" s="2">
        <f>MIN(MAX(1-G656,0),1)</f>
        <v/>
      </c>
      <c r="N656" s="2">
        <f>MIN(MAX(1-(H656-1)/4,0),1)</f>
        <v/>
      </c>
      <c r="O656" s="2">
        <f>1-MIN(I656/8,1)</f>
        <v/>
      </c>
      <c r="P656" s="10">
        <f>ROUND(100*(J656*Assumptions!$B$6+K656*Assumptions!$B$7+L656*Assumptions!$B$8+M656*Assumptions!$B$9+N656*Assumptions!$B$10+O656*Assumptions!$B$11),1)</f>
        <v/>
      </c>
      <c r="Q656" s="2">
        <f>IF(P656&gt;=Assumptions!$B$14,"High",IF(P656&gt;=Assumptions!$B$15,"Medium","Low"))</f>
        <v/>
      </c>
      <c r="R656" s="2">
        <f>Cleaned_Data!L656</f>
        <v/>
      </c>
    </row>
    <row r="657">
      <c r="A657" s="2">
        <f>Cleaned_Data!A657</f>
        <v/>
      </c>
      <c r="B657" s="2">
        <f>Cleaned_Data!B657</f>
        <v/>
      </c>
      <c r="C657" s="2">
        <f>Cleaned_Data!G657</f>
        <v/>
      </c>
      <c r="D657" s="2">
        <f>Cleaned_Data!I657</f>
        <v/>
      </c>
      <c r="E657" s="2">
        <f>Cleaned_Data!H657</f>
        <v/>
      </c>
      <c r="F657" s="2">
        <f>Cleaned_Data!F657</f>
        <v/>
      </c>
      <c r="G657" s="9">
        <f>SUMPRODUCT(($B$2:$B$1196=B657)*($F$2:$F$1196&lt;=F657))/SUMPRODUCT(($B$2:$B$1196=B657)*1)</f>
        <v/>
      </c>
      <c r="H657" s="2">
        <f>Cleaned_Data!J657</f>
        <v/>
      </c>
      <c r="I657" s="2">
        <f>Cleaned_Data!E657</f>
        <v/>
      </c>
      <c r="J657" s="2">
        <f>IF(C657="Yes",1,0)</f>
        <v/>
      </c>
      <c r="K657" s="2">
        <f>MIN(MAX(1-(D657-1)/4,0),1)</f>
        <v/>
      </c>
      <c r="L657" s="2">
        <f>MIN(E657/60,1)</f>
        <v/>
      </c>
      <c r="M657" s="2">
        <f>MIN(MAX(1-G657,0),1)</f>
        <v/>
      </c>
      <c r="N657" s="2">
        <f>MIN(MAX(1-(H657-1)/4,0),1)</f>
        <v/>
      </c>
      <c r="O657" s="2">
        <f>1-MIN(I657/8,1)</f>
        <v/>
      </c>
      <c r="P657" s="10">
        <f>ROUND(100*(J657*Assumptions!$B$6+K657*Assumptions!$B$7+L657*Assumptions!$B$8+M657*Assumptions!$B$9+N657*Assumptions!$B$10+O657*Assumptions!$B$11),1)</f>
        <v/>
      </c>
      <c r="Q657" s="2">
        <f>IF(P657&gt;=Assumptions!$B$14,"High",IF(P657&gt;=Assumptions!$B$15,"Medium","Low"))</f>
        <v/>
      </c>
      <c r="R657" s="2">
        <f>Cleaned_Data!L657</f>
        <v/>
      </c>
    </row>
    <row r="658">
      <c r="A658" s="2">
        <f>Cleaned_Data!A658</f>
        <v/>
      </c>
      <c r="B658" s="2">
        <f>Cleaned_Data!B658</f>
        <v/>
      </c>
      <c r="C658" s="2">
        <f>Cleaned_Data!G658</f>
        <v/>
      </c>
      <c r="D658" s="2">
        <f>Cleaned_Data!I658</f>
        <v/>
      </c>
      <c r="E658" s="2">
        <f>Cleaned_Data!H658</f>
        <v/>
      </c>
      <c r="F658" s="2">
        <f>Cleaned_Data!F658</f>
        <v/>
      </c>
      <c r="G658" s="9">
        <f>SUMPRODUCT(($B$2:$B$1196=B658)*($F$2:$F$1196&lt;=F658))/SUMPRODUCT(($B$2:$B$1196=B658)*1)</f>
        <v/>
      </c>
      <c r="H658" s="2">
        <f>Cleaned_Data!J658</f>
        <v/>
      </c>
      <c r="I658" s="2">
        <f>Cleaned_Data!E658</f>
        <v/>
      </c>
      <c r="J658" s="2">
        <f>IF(C658="Yes",1,0)</f>
        <v/>
      </c>
      <c r="K658" s="2">
        <f>MIN(MAX(1-(D658-1)/4,0),1)</f>
        <v/>
      </c>
      <c r="L658" s="2">
        <f>MIN(E658/60,1)</f>
        <v/>
      </c>
      <c r="M658" s="2">
        <f>MIN(MAX(1-G658,0),1)</f>
        <v/>
      </c>
      <c r="N658" s="2">
        <f>MIN(MAX(1-(H658-1)/4,0),1)</f>
        <v/>
      </c>
      <c r="O658" s="2">
        <f>1-MIN(I658/8,1)</f>
        <v/>
      </c>
      <c r="P658" s="10">
        <f>ROUND(100*(J658*Assumptions!$B$6+K658*Assumptions!$B$7+L658*Assumptions!$B$8+M658*Assumptions!$B$9+N658*Assumptions!$B$10+O658*Assumptions!$B$11),1)</f>
        <v/>
      </c>
      <c r="Q658" s="2">
        <f>IF(P658&gt;=Assumptions!$B$14,"High",IF(P658&gt;=Assumptions!$B$15,"Medium","Low"))</f>
        <v/>
      </c>
      <c r="R658" s="2">
        <f>Cleaned_Data!L658</f>
        <v/>
      </c>
    </row>
    <row r="659">
      <c r="A659" s="2">
        <f>Cleaned_Data!A659</f>
        <v/>
      </c>
      <c r="B659" s="2">
        <f>Cleaned_Data!B659</f>
        <v/>
      </c>
      <c r="C659" s="2">
        <f>Cleaned_Data!G659</f>
        <v/>
      </c>
      <c r="D659" s="2">
        <f>Cleaned_Data!I659</f>
        <v/>
      </c>
      <c r="E659" s="2">
        <f>Cleaned_Data!H659</f>
        <v/>
      </c>
      <c r="F659" s="2">
        <f>Cleaned_Data!F659</f>
        <v/>
      </c>
      <c r="G659" s="9">
        <f>SUMPRODUCT(($B$2:$B$1196=B659)*($F$2:$F$1196&lt;=F659))/SUMPRODUCT(($B$2:$B$1196=B659)*1)</f>
        <v/>
      </c>
      <c r="H659" s="2">
        <f>Cleaned_Data!J659</f>
        <v/>
      </c>
      <c r="I659" s="2">
        <f>Cleaned_Data!E659</f>
        <v/>
      </c>
      <c r="J659" s="2">
        <f>IF(C659="Yes",1,0)</f>
        <v/>
      </c>
      <c r="K659" s="2">
        <f>MIN(MAX(1-(D659-1)/4,0),1)</f>
        <v/>
      </c>
      <c r="L659" s="2">
        <f>MIN(E659/60,1)</f>
        <v/>
      </c>
      <c r="M659" s="2">
        <f>MIN(MAX(1-G659,0),1)</f>
        <v/>
      </c>
      <c r="N659" s="2">
        <f>MIN(MAX(1-(H659-1)/4,0),1)</f>
        <v/>
      </c>
      <c r="O659" s="2">
        <f>1-MIN(I659/8,1)</f>
        <v/>
      </c>
      <c r="P659" s="10">
        <f>ROUND(100*(J659*Assumptions!$B$6+K659*Assumptions!$B$7+L659*Assumptions!$B$8+M659*Assumptions!$B$9+N659*Assumptions!$B$10+O659*Assumptions!$B$11),1)</f>
        <v/>
      </c>
      <c r="Q659" s="2">
        <f>IF(P659&gt;=Assumptions!$B$14,"High",IF(P659&gt;=Assumptions!$B$15,"Medium","Low"))</f>
        <v/>
      </c>
      <c r="R659" s="2">
        <f>Cleaned_Data!L659</f>
        <v/>
      </c>
    </row>
    <row r="660">
      <c r="A660" s="2">
        <f>Cleaned_Data!A660</f>
        <v/>
      </c>
      <c r="B660" s="2">
        <f>Cleaned_Data!B660</f>
        <v/>
      </c>
      <c r="C660" s="2">
        <f>Cleaned_Data!G660</f>
        <v/>
      </c>
      <c r="D660" s="2">
        <f>Cleaned_Data!I660</f>
        <v/>
      </c>
      <c r="E660" s="2">
        <f>Cleaned_Data!H660</f>
        <v/>
      </c>
      <c r="F660" s="2">
        <f>Cleaned_Data!F660</f>
        <v/>
      </c>
      <c r="G660" s="9">
        <f>SUMPRODUCT(($B$2:$B$1196=B660)*($F$2:$F$1196&lt;=F660))/SUMPRODUCT(($B$2:$B$1196=B660)*1)</f>
        <v/>
      </c>
      <c r="H660" s="2">
        <f>Cleaned_Data!J660</f>
        <v/>
      </c>
      <c r="I660" s="2">
        <f>Cleaned_Data!E660</f>
        <v/>
      </c>
      <c r="J660" s="2">
        <f>IF(C660="Yes",1,0)</f>
        <v/>
      </c>
      <c r="K660" s="2">
        <f>MIN(MAX(1-(D660-1)/4,0),1)</f>
        <v/>
      </c>
      <c r="L660" s="2">
        <f>MIN(E660/60,1)</f>
        <v/>
      </c>
      <c r="M660" s="2">
        <f>MIN(MAX(1-G660,0),1)</f>
        <v/>
      </c>
      <c r="N660" s="2">
        <f>MIN(MAX(1-(H660-1)/4,0),1)</f>
        <v/>
      </c>
      <c r="O660" s="2">
        <f>1-MIN(I660/8,1)</f>
        <v/>
      </c>
      <c r="P660" s="10">
        <f>ROUND(100*(J660*Assumptions!$B$6+K660*Assumptions!$B$7+L660*Assumptions!$B$8+M660*Assumptions!$B$9+N660*Assumptions!$B$10+O660*Assumptions!$B$11),1)</f>
        <v/>
      </c>
      <c r="Q660" s="2">
        <f>IF(P660&gt;=Assumptions!$B$14,"High",IF(P660&gt;=Assumptions!$B$15,"Medium","Low"))</f>
        <v/>
      </c>
      <c r="R660" s="2">
        <f>Cleaned_Data!L660</f>
        <v/>
      </c>
    </row>
    <row r="661">
      <c r="A661" s="2">
        <f>Cleaned_Data!A661</f>
        <v/>
      </c>
      <c r="B661" s="2">
        <f>Cleaned_Data!B661</f>
        <v/>
      </c>
      <c r="C661" s="2">
        <f>Cleaned_Data!G661</f>
        <v/>
      </c>
      <c r="D661" s="2">
        <f>Cleaned_Data!I661</f>
        <v/>
      </c>
      <c r="E661" s="2">
        <f>Cleaned_Data!H661</f>
        <v/>
      </c>
      <c r="F661" s="2">
        <f>Cleaned_Data!F661</f>
        <v/>
      </c>
      <c r="G661" s="9">
        <f>SUMPRODUCT(($B$2:$B$1196=B661)*($F$2:$F$1196&lt;=F661))/SUMPRODUCT(($B$2:$B$1196=B661)*1)</f>
        <v/>
      </c>
      <c r="H661" s="2">
        <f>Cleaned_Data!J661</f>
        <v/>
      </c>
      <c r="I661" s="2">
        <f>Cleaned_Data!E661</f>
        <v/>
      </c>
      <c r="J661" s="2">
        <f>IF(C661="Yes",1,0)</f>
        <v/>
      </c>
      <c r="K661" s="2">
        <f>MIN(MAX(1-(D661-1)/4,0),1)</f>
        <v/>
      </c>
      <c r="L661" s="2">
        <f>MIN(E661/60,1)</f>
        <v/>
      </c>
      <c r="M661" s="2">
        <f>MIN(MAX(1-G661,0),1)</f>
        <v/>
      </c>
      <c r="N661" s="2">
        <f>MIN(MAX(1-(H661-1)/4,0),1)</f>
        <v/>
      </c>
      <c r="O661" s="2">
        <f>1-MIN(I661/8,1)</f>
        <v/>
      </c>
      <c r="P661" s="10">
        <f>ROUND(100*(J661*Assumptions!$B$6+K661*Assumptions!$B$7+L661*Assumptions!$B$8+M661*Assumptions!$B$9+N661*Assumptions!$B$10+O661*Assumptions!$B$11),1)</f>
        <v/>
      </c>
      <c r="Q661" s="2">
        <f>IF(P661&gt;=Assumptions!$B$14,"High",IF(P661&gt;=Assumptions!$B$15,"Medium","Low"))</f>
        <v/>
      </c>
      <c r="R661" s="2">
        <f>Cleaned_Data!L661</f>
        <v/>
      </c>
    </row>
    <row r="662">
      <c r="A662" s="2">
        <f>Cleaned_Data!A662</f>
        <v/>
      </c>
      <c r="B662" s="2">
        <f>Cleaned_Data!B662</f>
        <v/>
      </c>
      <c r="C662" s="2">
        <f>Cleaned_Data!G662</f>
        <v/>
      </c>
      <c r="D662" s="2">
        <f>Cleaned_Data!I662</f>
        <v/>
      </c>
      <c r="E662" s="2">
        <f>Cleaned_Data!H662</f>
        <v/>
      </c>
      <c r="F662" s="2">
        <f>Cleaned_Data!F662</f>
        <v/>
      </c>
      <c r="G662" s="9">
        <f>SUMPRODUCT(($B$2:$B$1196=B662)*($F$2:$F$1196&lt;=F662))/SUMPRODUCT(($B$2:$B$1196=B662)*1)</f>
        <v/>
      </c>
      <c r="H662" s="2">
        <f>Cleaned_Data!J662</f>
        <v/>
      </c>
      <c r="I662" s="2">
        <f>Cleaned_Data!E662</f>
        <v/>
      </c>
      <c r="J662" s="2">
        <f>IF(C662="Yes",1,0)</f>
        <v/>
      </c>
      <c r="K662" s="2">
        <f>MIN(MAX(1-(D662-1)/4,0),1)</f>
        <v/>
      </c>
      <c r="L662" s="2">
        <f>MIN(E662/60,1)</f>
        <v/>
      </c>
      <c r="M662" s="2">
        <f>MIN(MAX(1-G662,0),1)</f>
        <v/>
      </c>
      <c r="N662" s="2">
        <f>MIN(MAX(1-(H662-1)/4,0),1)</f>
        <v/>
      </c>
      <c r="O662" s="2">
        <f>1-MIN(I662/8,1)</f>
        <v/>
      </c>
      <c r="P662" s="10">
        <f>ROUND(100*(J662*Assumptions!$B$6+K662*Assumptions!$B$7+L662*Assumptions!$B$8+M662*Assumptions!$B$9+N662*Assumptions!$B$10+O662*Assumptions!$B$11),1)</f>
        <v/>
      </c>
      <c r="Q662" s="2">
        <f>IF(P662&gt;=Assumptions!$B$14,"High",IF(P662&gt;=Assumptions!$B$15,"Medium","Low"))</f>
        <v/>
      </c>
      <c r="R662" s="2">
        <f>Cleaned_Data!L662</f>
        <v/>
      </c>
    </row>
    <row r="663">
      <c r="A663" s="2">
        <f>Cleaned_Data!A663</f>
        <v/>
      </c>
      <c r="B663" s="2">
        <f>Cleaned_Data!B663</f>
        <v/>
      </c>
      <c r="C663" s="2">
        <f>Cleaned_Data!G663</f>
        <v/>
      </c>
      <c r="D663" s="2">
        <f>Cleaned_Data!I663</f>
        <v/>
      </c>
      <c r="E663" s="2">
        <f>Cleaned_Data!H663</f>
        <v/>
      </c>
      <c r="F663" s="2">
        <f>Cleaned_Data!F663</f>
        <v/>
      </c>
      <c r="G663" s="9">
        <f>SUMPRODUCT(($B$2:$B$1196=B663)*($F$2:$F$1196&lt;=F663))/SUMPRODUCT(($B$2:$B$1196=B663)*1)</f>
        <v/>
      </c>
      <c r="H663" s="2">
        <f>Cleaned_Data!J663</f>
        <v/>
      </c>
      <c r="I663" s="2">
        <f>Cleaned_Data!E663</f>
        <v/>
      </c>
      <c r="J663" s="2">
        <f>IF(C663="Yes",1,0)</f>
        <v/>
      </c>
      <c r="K663" s="2">
        <f>MIN(MAX(1-(D663-1)/4,0),1)</f>
        <v/>
      </c>
      <c r="L663" s="2">
        <f>MIN(E663/60,1)</f>
        <v/>
      </c>
      <c r="M663" s="2">
        <f>MIN(MAX(1-G663,0),1)</f>
        <v/>
      </c>
      <c r="N663" s="2">
        <f>MIN(MAX(1-(H663-1)/4,0),1)</f>
        <v/>
      </c>
      <c r="O663" s="2">
        <f>1-MIN(I663/8,1)</f>
        <v/>
      </c>
      <c r="P663" s="10">
        <f>ROUND(100*(J663*Assumptions!$B$6+K663*Assumptions!$B$7+L663*Assumptions!$B$8+M663*Assumptions!$B$9+N663*Assumptions!$B$10+O663*Assumptions!$B$11),1)</f>
        <v/>
      </c>
      <c r="Q663" s="2">
        <f>IF(P663&gt;=Assumptions!$B$14,"High",IF(P663&gt;=Assumptions!$B$15,"Medium","Low"))</f>
        <v/>
      </c>
      <c r="R663" s="2">
        <f>Cleaned_Data!L663</f>
        <v/>
      </c>
    </row>
    <row r="664">
      <c r="A664" s="2">
        <f>Cleaned_Data!A664</f>
        <v/>
      </c>
      <c r="B664" s="2">
        <f>Cleaned_Data!B664</f>
        <v/>
      </c>
      <c r="C664" s="2">
        <f>Cleaned_Data!G664</f>
        <v/>
      </c>
      <c r="D664" s="2">
        <f>Cleaned_Data!I664</f>
        <v/>
      </c>
      <c r="E664" s="2">
        <f>Cleaned_Data!H664</f>
        <v/>
      </c>
      <c r="F664" s="2">
        <f>Cleaned_Data!F664</f>
        <v/>
      </c>
      <c r="G664" s="9">
        <f>SUMPRODUCT(($B$2:$B$1196=B664)*($F$2:$F$1196&lt;=F664))/SUMPRODUCT(($B$2:$B$1196=B664)*1)</f>
        <v/>
      </c>
      <c r="H664" s="2">
        <f>Cleaned_Data!J664</f>
        <v/>
      </c>
      <c r="I664" s="2">
        <f>Cleaned_Data!E664</f>
        <v/>
      </c>
      <c r="J664" s="2">
        <f>IF(C664="Yes",1,0)</f>
        <v/>
      </c>
      <c r="K664" s="2">
        <f>MIN(MAX(1-(D664-1)/4,0),1)</f>
        <v/>
      </c>
      <c r="L664" s="2">
        <f>MIN(E664/60,1)</f>
        <v/>
      </c>
      <c r="M664" s="2">
        <f>MIN(MAX(1-G664,0),1)</f>
        <v/>
      </c>
      <c r="N664" s="2">
        <f>MIN(MAX(1-(H664-1)/4,0),1)</f>
        <v/>
      </c>
      <c r="O664" s="2">
        <f>1-MIN(I664/8,1)</f>
        <v/>
      </c>
      <c r="P664" s="10">
        <f>ROUND(100*(J664*Assumptions!$B$6+K664*Assumptions!$B$7+L664*Assumptions!$B$8+M664*Assumptions!$B$9+N664*Assumptions!$B$10+O664*Assumptions!$B$11),1)</f>
        <v/>
      </c>
      <c r="Q664" s="2">
        <f>IF(P664&gt;=Assumptions!$B$14,"High",IF(P664&gt;=Assumptions!$B$15,"Medium","Low"))</f>
        <v/>
      </c>
      <c r="R664" s="2">
        <f>Cleaned_Data!L664</f>
        <v/>
      </c>
    </row>
    <row r="665">
      <c r="A665" s="2">
        <f>Cleaned_Data!A665</f>
        <v/>
      </c>
      <c r="B665" s="2">
        <f>Cleaned_Data!B665</f>
        <v/>
      </c>
      <c r="C665" s="2">
        <f>Cleaned_Data!G665</f>
        <v/>
      </c>
      <c r="D665" s="2">
        <f>Cleaned_Data!I665</f>
        <v/>
      </c>
      <c r="E665" s="2">
        <f>Cleaned_Data!H665</f>
        <v/>
      </c>
      <c r="F665" s="2">
        <f>Cleaned_Data!F665</f>
        <v/>
      </c>
      <c r="G665" s="9">
        <f>SUMPRODUCT(($B$2:$B$1196=B665)*($F$2:$F$1196&lt;=F665))/SUMPRODUCT(($B$2:$B$1196=B665)*1)</f>
        <v/>
      </c>
      <c r="H665" s="2">
        <f>Cleaned_Data!J665</f>
        <v/>
      </c>
      <c r="I665" s="2">
        <f>Cleaned_Data!E665</f>
        <v/>
      </c>
      <c r="J665" s="2">
        <f>IF(C665="Yes",1,0)</f>
        <v/>
      </c>
      <c r="K665" s="2">
        <f>MIN(MAX(1-(D665-1)/4,0),1)</f>
        <v/>
      </c>
      <c r="L665" s="2">
        <f>MIN(E665/60,1)</f>
        <v/>
      </c>
      <c r="M665" s="2">
        <f>MIN(MAX(1-G665,0),1)</f>
        <v/>
      </c>
      <c r="N665" s="2">
        <f>MIN(MAX(1-(H665-1)/4,0),1)</f>
        <v/>
      </c>
      <c r="O665" s="2">
        <f>1-MIN(I665/8,1)</f>
        <v/>
      </c>
      <c r="P665" s="10">
        <f>ROUND(100*(J665*Assumptions!$B$6+K665*Assumptions!$B$7+L665*Assumptions!$B$8+M665*Assumptions!$B$9+N665*Assumptions!$B$10+O665*Assumptions!$B$11),1)</f>
        <v/>
      </c>
      <c r="Q665" s="2">
        <f>IF(P665&gt;=Assumptions!$B$14,"High",IF(P665&gt;=Assumptions!$B$15,"Medium","Low"))</f>
        <v/>
      </c>
      <c r="R665" s="2">
        <f>Cleaned_Data!L665</f>
        <v/>
      </c>
    </row>
    <row r="666">
      <c r="A666" s="2">
        <f>Cleaned_Data!A666</f>
        <v/>
      </c>
      <c r="B666" s="2">
        <f>Cleaned_Data!B666</f>
        <v/>
      </c>
      <c r="C666" s="2">
        <f>Cleaned_Data!G666</f>
        <v/>
      </c>
      <c r="D666" s="2">
        <f>Cleaned_Data!I666</f>
        <v/>
      </c>
      <c r="E666" s="2">
        <f>Cleaned_Data!H666</f>
        <v/>
      </c>
      <c r="F666" s="2">
        <f>Cleaned_Data!F666</f>
        <v/>
      </c>
      <c r="G666" s="9">
        <f>SUMPRODUCT(($B$2:$B$1196=B666)*($F$2:$F$1196&lt;=F666))/SUMPRODUCT(($B$2:$B$1196=B666)*1)</f>
        <v/>
      </c>
      <c r="H666" s="2">
        <f>Cleaned_Data!J666</f>
        <v/>
      </c>
      <c r="I666" s="2">
        <f>Cleaned_Data!E666</f>
        <v/>
      </c>
      <c r="J666" s="2">
        <f>IF(C666="Yes",1,0)</f>
        <v/>
      </c>
      <c r="K666" s="2">
        <f>MIN(MAX(1-(D666-1)/4,0),1)</f>
        <v/>
      </c>
      <c r="L666" s="2">
        <f>MIN(E666/60,1)</f>
        <v/>
      </c>
      <c r="M666" s="2">
        <f>MIN(MAX(1-G666,0),1)</f>
        <v/>
      </c>
      <c r="N666" s="2">
        <f>MIN(MAX(1-(H666-1)/4,0),1)</f>
        <v/>
      </c>
      <c r="O666" s="2">
        <f>1-MIN(I666/8,1)</f>
        <v/>
      </c>
      <c r="P666" s="10">
        <f>ROUND(100*(J666*Assumptions!$B$6+K666*Assumptions!$B$7+L666*Assumptions!$B$8+M666*Assumptions!$B$9+N666*Assumptions!$B$10+O666*Assumptions!$B$11),1)</f>
        <v/>
      </c>
      <c r="Q666" s="2">
        <f>IF(P666&gt;=Assumptions!$B$14,"High",IF(P666&gt;=Assumptions!$B$15,"Medium","Low"))</f>
        <v/>
      </c>
      <c r="R666" s="2">
        <f>Cleaned_Data!L666</f>
        <v/>
      </c>
    </row>
    <row r="667">
      <c r="A667" s="2">
        <f>Cleaned_Data!A667</f>
        <v/>
      </c>
      <c r="B667" s="2">
        <f>Cleaned_Data!B667</f>
        <v/>
      </c>
      <c r="C667" s="2">
        <f>Cleaned_Data!G667</f>
        <v/>
      </c>
      <c r="D667" s="2">
        <f>Cleaned_Data!I667</f>
        <v/>
      </c>
      <c r="E667" s="2">
        <f>Cleaned_Data!H667</f>
        <v/>
      </c>
      <c r="F667" s="2">
        <f>Cleaned_Data!F667</f>
        <v/>
      </c>
      <c r="G667" s="9">
        <f>SUMPRODUCT(($B$2:$B$1196=B667)*($F$2:$F$1196&lt;=F667))/SUMPRODUCT(($B$2:$B$1196=B667)*1)</f>
        <v/>
      </c>
      <c r="H667" s="2">
        <f>Cleaned_Data!J667</f>
        <v/>
      </c>
      <c r="I667" s="2">
        <f>Cleaned_Data!E667</f>
        <v/>
      </c>
      <c r="J667" s="2">
        <f>IF(C667="Yes",1,0)</f>
        <v/>
      </c>
      <c r="K667" s="2">
        <f>MIN(MAX(1-(D667-1)/4,0),1)</f>
        <v/>
      </c>
      <c r="L667" s="2">
        <f>MIN(E667/60,1)</f>
        <v/>
      </c>
      <c r="M667" s="2">
        <f>MIN(MAX(1-G667,0),1)</f>
        <v/>
      </c>
      <c r="N667" s="2">
        <f>MIN(MAX(1-(H667-1)/4,0),1)</f>
        <v/>
      </c>
      <c r="O667" s="2">
        <f>1-MIN(I667/8,1)</f>
        <v/>
      </c>
      <c r="P667" s="10">
        <f>ROUND(100*(J667*Assumptions!$B$6+K667*Assumptions!$B$7+L667*Assumptions!$B$8+M667*Assumptions!$B$9+N667*Assumptions!$B$10+O667*Assumptions!$B$11),1)</f>
        <v/>
      </c>
      <c r="Q667" s="2">
        <f>IF(P667&gt;=Assumptions!$B$14,"High",IF(P667&gt;=Assumptions!$B$15,"Medium","Low"))</f>
        <v/>
      </c>
      <c r="R667" s="2">
        <f>Cleaned_Data!L667</f>
        <v/>
      </c>
    </row>
    <row r="668">
      <c r="A668" s="2">
        <f>Cleaned_Data!A668</f>
        <v/>
      </c>
      <c r="B668" s="2">
        <f>Cleaned_Data!B668</f>
        <v/>
      </c>
      <c r="C668" s="2">
        <f>Cleaned_Data!G668</f>
        <v/>
      </c>
      <c r="D668" s="2">
        <f>Cleaned_Data!I668</f>
        <v/>
      </c>
      <c r="E668" s="2">
        <f>Cleaned_Data!H668</f>
        <v/>
      </c>
      <c r="F668" s="2">
        <f>Cleaned_Data!F668</f>
        <v/>
      </c>
      <c r="G668" s="9">
        <f>SUMPRODUCT(($B$2:$B$1196=B668)*($F$2:$F$1196&lt;=F668))/SUMPRODUCT(($B$2:$B$1196=B668)*1)</f>
        <v/>
      </c>
      <c r="H668" s="2">
        <f>Cleaned_Data!J668</f>
        <v/>
      </c>
      <c r="I668" s="2">
        <f>Cleaned_Data!E668</f>
        <v/>
      </c>
      <c r="J668" s="2">
        <f>IF(C668="Yes",1,0)</f>
        <v/>
      </c>
      <c r="K668" s="2">
        <f>MIN(MAX(1-(D668-1)/4,0),1)</f>
        <v/>
      </c>
      <c r="L668" s="2">
        <f>MIN(E668/60,1)</f>
        <v/>
      </c>
      <c r="M668" s="2">
        <f>MIN(MAX(1-G668,0),1)</f>
        <v/>
      </c>
      <c r="N668" s="2">
        <f>MIN(MAX(1-(H668-1)/4,0),1)</f>
        <v/>
      </c>
      <c r="O668" s="2">
        <f>1-MIN(I668/8,1)</f>
        <v/>
      </c>
      <c r="P668" s="10">
        <f>ROUND(100*(J668*Assumptions!$B$6+K668*Assumptions!$B$7+L668*Assumptions!$B$8+M668*Assumptions!$B$9+N668*Assumptions!$B$10+O668*Assumptions!$B$11),1)</f>
        <v/>
      </c>
      <c r="Q668" s="2">
        <f>IF(P668&gt;=Assumptions!$B$14,"High",IF(P668&gt;=Assumptions!$B$15,"Medium","Low"))</f>
        <v/>
      </c>
      <c r="R668" s="2">
        <f>Cleaned_Data!L668</f>
        <v/>
      </c>
    </row>
    <row r="669">
      <c r="A669" s="2">
        <f>Cleaned_Data!A669</f>
        <v/>
      </c>
      <c r="B669" s="2">
        <f>Cleaned_Data!B669</f>
        <v/>
      </c>
      <c r="C669" s="2">
        <f>Cleaned_Data!G669</f>
        <v/>
      </c>
      <c r="D669" s="2">
        <f>Cleaned_Data!I669</f>
        <v/>
      </c>
      <c r="E669" s="2">
        <f>Cleaned_Data!H669</f>
        <v/>
      </c>
      <c r="F669" s="2">
        <f>Cleaned_Data!F669</f>
        <v/>
      </c>
      <c r="G669" s="9">
        <f>SUMPRODUCT(($B$2:$B$1196=B669)*($F$2:$F$1196&lt;=F669))/SUMPRODUCT(($B$2:$B$1196=B669)*1)</f>
        <v/>
      </c>
      <c r="H669" s="2">
        <f>Cleaned_Data!J669</f>
        <v/>
      </c>
      <c r="I669" s="2">
        <f>Cleaned_Data!E669</f>
        <v/>
      </c>
      <c r="J669" s="2">
        <f>IF(C669="Yes",1,0)</f>
        <v/>
      </c>
      <c r="K669" s="2">
        <f>MIN(MAX(1-(D669-1)/4,0),1)</f>
        <v/>
      </c>
      <c r="L669" s="2">
        <f>MIN(E669/60,1)</f>
        <v/>
      </c>
      <c r="M669" s="2">
        <f>MIN(MAX(1-G669,0),1)</f>
        <v/>
      </c>
      <c r="N669" s="2">
        <f>MIN(MAX(1-(H669-1)/4,0),1)</f>
        <v/>
      </c>
      <c r="O669" s="2">
        <f>1-MIN(I669/8,1)</f>
        <v/>
      </c>
      <c r="P669" s="10">
        <f>ROUND(100*(J669*Assumptions!$B$6+K669*Assumptions!$B$7+L669*Assumptions!$B$8+M669*Assumptions!$B$9+N669*Assumptions!$B$10+O669*Assumptions!$B$11),1)</f>
        <v/>
      </c>
      <c r="Q669" s="2">
        <f>IF(P669&gt;=Assumptions!$B$14,"High",IF(P669&gt;=Assumptions!$B$15,"Medium","Low"))</f>
        <v/>
      </c>
      <c r="R669" s="2">
        <f>Cleaned_Data!L669</f>
        <v/>
      </c>
    </row>
    <row r="670">
      <c r="A670" s="2">
        <f>Cleaned_Data!A670</f>
        <v/>
      </c>
      <c r="B670" s="2">
        <f>Cleaned_Data!B670</f>
        <v/>
      </c>
      <c r="C670" s="2">
        <f>Cleaned_Data!G670</f>
        <v/>
      </c>
      <c r="D670" s="2">
        <f>Cleaned_Data!I670</f>
        <v/>
      </c>
      <c r="E670" s="2">
        <f>Cleaned_Data!H670</f>
        <v/>
      </c>
      <c r="F670" s="2">
        <f>Cleaned_Data!F670</f>
        <v/>
      </c>
      <c r="G670" s="9">
        <f>SUMPRODUCT(($B$2:$B$1196=B670)*($F$2:$F$1196&lt;=F670))/SUMPRODUCT(($B$2:$B$1196=B670)*1)</f>
        <v/>
      </c>
      <c r="H670" s="2">
        <f>Cleaned_Data!J670</f>
        <v/>
      </c>
      <c r="I670" s="2">
        <f>Cleaned_Data!E670</f>
        <v/>
      </c>
      <c r="J670" s="2">
        <f>IF(C670="Yes",1,0)</f>
        <v/>
      </c>
      <c r="K670" s="2">
        <f>MIN(MAX(1-(D670-1)/4,0),1)</f>
        <v/>
      </c>
      <c r="L670" s="2">
        <f>MIN(E670/60,1)</f>
        <v/>
      </c>
      <c r="M670" s="2">
        <f>MIN(MAX(1-G670,0),1)</f>
        <v/>
      </c>
      <c r="N670" s="2">
        <f>MIN(MAX(1-(H670-1)/4,0),1)</f>
        <v/>
      </c>
      <c r="O670" s="2">
        <f>1-MIN(I670/8,1)</f>
        <v/>
      </c>
      <c r="P670" s="10">
        <f>ROUND(100*(J670*Assumptions!$B$6+K670*Assumptions!$B$7+L670*Assumptions!$B$8+M670*Assumptions!$B$9+N670*Assumptions!$B$10+O670*Assumptions!$B$11),1)</f>
        <v/>
      </c>
      <c r="Q670" s="2">
        <f>IF(P670&gt;=Assumptions!$B$14,"High",IF(P670&gt;=Assumptions!$B$15,"Medium","Low"))</f>
        <v/>
      </c>
      <c r="R670" s="2">
        <f>Cleaned_Data!L670</f>
        <v/>
      </c>
    </row>
    <row r="671">
      <c r="A671" s="2">
        <f>Cleaned_Data!A671</f>
        <v/>
      </c>
      <c r="B671" s="2">
        <f>Cleaned_Data!B671</f>
        <v/>
      </c>
      <c r="C671" s="2">
        <f>Cleaned_Data!G671</f>
        <v/>
      </c>
      <c r="D671" s="2">
        <f>Cleaned_Data!I671</f>
        <v/>
      </c>
      <c r="E671" s="2">
        <f>Cleaned_Data!H671</f>
        <v/>
      </c>
      <c r="F671" s="2">
        <f>Cleaned_Data!F671</f>
        <v/>
      </c>
      <c r="G671" s="9">
        <f>SUMPRODUCT(($B$2:$B$1196=B671)*($F$2:$F$1196&lt;=F671))/SUMPRODUCT(($B$2:$B$1196=B671)*1)</f>
        <v/>
      </c>
      <c r="H671" s="2">
        <f>Cleaned_Data!J671</f>
        <v/>
      </c>
      <c r="I671" s="2">
        <f>Cleaned_Data!E671</f>
        <v/>
      </c>
      <c r="J671" s="2">
        <f>IF(C671="Yes",1,0)</f>
        <v/>
      </c>
      <c r="K671" s="2">
        <f>MIN(MAX(1-(D671-1)/4,0),1)</f>
        <v/>
      </c>
      <c r="L671" s="2">
        <f>MIN(E671/60,1)</f>
        <v/>
      </c>
      <c r="M671" s="2">
        <f>MIN(MAX(1-G671,0),1)</f>
        <v/>
      </c>
      <c r="N671" s="2">
        <f>MIN(MAX(1-(H671-1)/4,0),1)</f>
        <v/>
      </c>
      <c r="O671" s="2">
        <f>1-MIN(I671/8,1)</f>
        <v/>
      </c>
      <c r="P671" s="10">
        <f>ROUND(100*(J671*Assumptions!$B$6+K671*Assumptions!$B$7+L671*Assumptions!$B$8+M671*Assumptions!$B$9+N671*Assumptions!$B$10+O671*Assumptions!$B$11),1)</f>
        <v/>
      </c>
      <c r="Q671" s="2">
        <f>IF(P671&gt;=Assumptions!$B$14,"High",IF(P671&gt;=Assumptions!$B$15,"Medium","Low"))</f>
        <v/>
      </c>
      <c r="R671" s="2">
        <f>Cleaned_Data!L671</f>
        <v/>
      </c>
    </row>
    <row r="672">
      <c r="A672" s="2">
        <f>Cleaned_Data!A672</f>
        <v/>
      </c>
      <c r="B672" s="2">
        <f>Cleaned_Data!B672</f>
        <v/>
      </c>
      <c r="C672" s="2">
        <f>Cleaned_Data!G672</f>
        <v/>
      </c>
      <c r="D672" s="2">
        <f>Cleaned_Data!I672</f>
        <v/>
      </c>
      <c r="E672" s="2">
        <f>Cleaned_Data!H672</f>
        <v/>
      </c>
      <c r="F672" s="2">
        <f>Cleaned_Data!F672</f>
        <v/>
      </c>
      <c r="G672" s="9">
        <f>SUMPRODUCT(($B$2:$B$1196=B672)*($F$2:$F$1196&lt;=F672))/SUMPRODUCT(($B$2:$B$1196=B672)*1)</f>
        <v/>
      </c>
      <c r="H672" s="2">
        <f>Cleaned_Data!J672</f>
        <v/>
      </c>
      <c r="I672" s="2">
        <f>Cleaned_Data!E672</f>
        <v/>
      </c>
      <c r="J672" s="2">
        <f>IF(C672="Yes",1,0)</f>
        <v/>
      </c>
      <c r="K672" s="2">
        <f>MIN(MAX(1-(D672-1)/4,0),1)</f>
        <v/>
      </c>
      <c r="L672" s="2">
        <f>MIN(E672/60,1)</f>
        <v/>
      </c>
      <c r="M672" s="2">
        <f>MIN(MAX(1-G672,0),1)</f>
        <v/>
      </c>
      <c r="N672" s="2">
        <f>MIN(MAX(1-(H672-1)/4,0),1)</f>
        <v/>
      </c>
      <c r="O672" s="2">
        <f>1-MIN(I672/8,1)</f>
        <v/>
      </c>
      <c r="P672" s="10">
        <f>ROUND(100*(J672*Assumptions!$B$6+K672*Assumptions!$B$7+L672*Assumptions!$B$8+M672*Assumptions!$B$9+N672*Assumptions!$B$10+O672*Assumptions!$B$11),1)</f>
        <v/>
      </c>
      <c r="Q672" s="2">
        <f>IF(P672&gt;=Assumptions!$B$14,"High",IF(P672&gt;=Assumptions!$B$15,"Medium","Low"))</f>
        <v/>
      </c>
      <c r="R672" s="2">
        <f>Cleaned_Data!L672</f>
        <v/>
      </c>
    </row>
    <row r="673">
      <c r="A673" s="2">
        <f>Cleaned_Data!A673</f>
        <v/>
      </c>
      <c r="B673" s="2">
        <f>Cleaned_Data!B673</f>
        <v/>
      </c>
      <c r="C673" s="2">
        <f>Cleaned_Data!G673</f>
        <v/>
      </c>
      <c r="D673" s="2">
        <f>Cleaned_Data!I673</f>
        <v/>
      </c>
      <c r="E673" s="2">
        <f>Cleaned_Data!H673</f>
        <v/>
      </c>
      <c r="F673" s="2">
        <f>Cleaned_Data!F673</f>
        <v/>
      </c>
      <c r="G673" s="9">
        <f>SUMPRODUCT(($B$2:$B$1196=B673)*($F$2:$F$1196&lt;=F673))/SUMPRODUCT(($B$2:$B$1196=B673)*1)</f>
        <v/>
      </c>
      <c r="H673" s="2">
        <f>Cleaned_Data!J673</f>
        <v/>
      </c>
      <c r="I673" s="2">
        <f>Cleaned_Data!E673</f>
        <v/>
      </c>
      <c r="J673" s="2">
        <f>IF(C673="Yes",1,0)</f>
        <v/>
      </c>
      <c r="K673" s="2">
        <f>MIN(MAX(1-(D673-1)/4,0),1)</f>
        <v/>
      </c>
      <c r="L673" s="2">
        <f>MIN(E673/60,1)</f>
        <v/>
      </c>
      <c r="M673" s="2">
        <f>MIN(MAX(1-G673,0),1)</f>
        <v/>
      </c>
      <c r="N673" s="2">
        <f>MIN(MAX(1-(H673-1)/4,0),1)</f>
        <v/>
      </c>
      <c r="O673" s="2">
        <f>1-MIN(I673/8,1)</f>
        <v/>
      </c>
      <c r="P673" s="10">
        <f>ROUND(100*(J673*Assumptions!$B$6+K673*Assumptions!$B$7+L673*Assumptions!$B$8+M673*Assumptions!$B$9+N673*Assumptions!$B$10+O673*Assumptions!$B$11),1)</f>
        <v/>
      </c>
      <c r="Q673" s="2">
        <f>IF(P673&gt;=Assumptions!$B$14,"High",IF(P673&gt;=Assumptions!$B$15,"Medium","Low"))</f>
        <v/>
      </c>
      <c r="R673" s="2">
        <f>Cleaned_Data!L673</f>
        <v/>
      </c>
    </row>
    <row r="674">
      <c r="A674" s="2">
        <f>Cleaned_Data!A674</f>
        <v/>
      </c>
      <c r="B674" s="2">
        <f>Cleaned_Data!B674</f>
        <v/>
      </c>
      <c r="C674" s="2">
        <f>Cleaned_Data!G674</f>
        <v/>
      </c>
      <c r="D674" s="2">
        <f>Cleaned_Data!I674</f>
        <v/>
      </c>
      <c r="E674" s="2">
        <f>Cleaned_Data!H674</f>
        <v/>
      </c>
      <c r="F674" s="2">
        <f>Cleaned_Data!F674</f>
        <v/>
      </c>
      <c r="G674" s="9">
        <f>SUMPRODUCT(($B$2:$B$1196=B674)*($F$2:$F$1196&lt;=F674))/SUMPRODUCT(($B$2:$B$1196=B674)*1)</f>
        <v/>
      </c>
      <c r="H674" s="2">
        <f>Cleaned_Data!J674</f>
        <v/>
      </c>
      <c r="I674" s="2">
        <f>Cleaned_Data!E674</f>
        <v/>
      </c>
      <c r="J674" s="2">
        <f>IF(C674="Yes",1,0)</f>
        <v/>
      </c>
      <c r="K674" s="2">
        <f>MIN(MAX(1-(D674-1)/4,0),1)</f>
        <v/>
      </c>
      <c r="L674" s="2">
        <f>MIN(E674/60,1)</f>
        <v/>
      </c>
      <c r="M674" s="2">
        <f>MIN(MAX(1-G674,0),1)</f>
        <v/>
      </c>
      <c r="N674" s="2">
        <f>MIN(MAX(1-(H674-1)/4,0),1)</f>
        <v/>
      </c>
      <c r="O674" s="2">
        <f>1-MIN(I674/8,1)</f>
        <v/>
      </c>
      <c r="P674" s="10">
        <f>ROUND(100*(J674*Assumptions!$B$6+K674*Assumptions!$B$7+L674*Assumptions!$B$8+M674*Assumptions!$B$9+N674*Assumptions!$B$10+O674*Assumptions!$B$11),1)</f>
        <v/>
      </c>
      <c r="Q674" s="2">
        <f>IF(P674&gt;=Assumptions!$B$14,"High",IF(P674&gt;=Assumptions!$B$15,"Medium","Low"))</f>
        <v/>
      </c>
      <c r="R674" s="2">
        <f>Cleaned_Data!L674</f>
        <v/>
      </c>
    </row>
    <row r="675">
      <c r="A675" s="2">
        <f>Cleaned_Data!A675</f>
        <v/>
      </c>
      <c r="B675" s="2">
        <f>Cleaned_Data!B675</f>
        <v/>
      </c>
      <c r="C675" s="2">
        <f>Cleaned_Data!G675</f>
        <v/>
      </c>
      <c r="D675" s="2">
        <f>Cleaned_Data!I675</f>
        <v/>
      </c>
      <c r="E675" s="2">
        <f>Cleaned_Data!H675</f>
        <v/>
      </c>
      <c r="F675" s="2">
        <f>Cleaned_Data!F675</f>
        <v/>
      </c>
      <c r="G675" s="9">
        <f>SUMPRODUCT(($B$2:$B$1196=B675)*($F$2:$F$1196&lt;=F675))/SUMPRODUCT(($B$2:$B$1196=B675)*1)</f>
        <v/>
      </c>
      <c r="H675" s="2">
        <f>Cleaned_Data!J675</f>
        <v/>
      </c>
      <c r="I675" s="2">
        <f>Cleaned_Data!E675</f>
        <v/>
      </c>
      <c r="J675" s="2">
        <f>IF(C675="Yes",1,0)</f>
        <v/>
      </c>
      <c r="K675" s="2">
        <f>MIN(MAX(1-(D675-1)/4,0),1)</f>
        <v/>
      </c>
      <c r="L675" s="2">
        <f>MIN(E675/60,1)</f>
        <v/>
      </c>
      <c r="M675" s="2">
        <f>MIN(MAX(1-G675,0),1)</f>
        <v/>
      </c>
      <c r="N675" s="2">
        <f>MIN(MAX(1-(H675-1)/4,0),1)</f>
        <v/>
      </c>
      <c r="O675" s="2">
        <f>1-MIN(I675/8,1)</f>
        <v/>
      </c>
      <c r="P675" s="10">
        <f>ROUND(100*(J675*Assumptions!$B$6+K675*Assumptions!$B$7+L675*Assumptions!$B$8+M675*Assumptions!$B$9+N675*Assumptions!$B$10+O675*Assumptions!$B$11),1)</f>
        <v/>
      </c>
      <c r="Q675" s="2">
        <f>IF(P675&gt;=Assumptions!$B$14,"High",IF(P675&gt;=Assumptions!$B$15,"Medium","Low"))</f>
        <v/>
      </c>
      <c r="R675" s="2">
        <f>Cleaned_Data!L675</f>
        <v/>
      </c>
    </row>
    <row r="676">
      <c r="A676" s="2">
        <f>Cleaned_Data!A676</f>
        <v/>
      </c>
      <c r="B676" s="2">
        <f>Cleaned_Data!B676</f>
        <v/>
      </c>
      <c r="C676" s="2">
        <f>Cleaned_Data!G676</f>
        <v/>
      </c>
      <c r="D676" s="2">
        <f>Cleaned_Data!I676</f>
        <v/>
      </c>
      <c r="E676" s="2">
        <f>Cleaned_Data!H676</f>
        <v/>
      </c>
      <c r="F676" s="2">
        <f>Cleaned_Data!F676</f>
        <v/>
      </c>
      <c r="G676" s="9">
        <f>SUMPRODUCT(($B$2:$B$1196=B676)*($F$2:$F$1196&lt;=F676))/SUMPRODUCT(($B$2:$B$1196=B676)*1)</f>
        <v/>
      </c>
      <c r="H676" s="2">
        <f>Cleaned_Data!J676</f>
        <v/>
      </c>
      <c r="I676" s="2">
        <f>Cleaned_Data!E676</f>
        <v/>
      </c>
      <c r="J676" s="2">
        <f>IF(C676="Yes",1,0)</f>
        <v/>
      </c>
      <c r="K676" s="2">
        <f>MIN(MAX(1-(D676-1)/4,0),1)</f>
        <v/>
      </c>
      <c r="L676" s="2">
        <f>MIN(E676/60,1)</f>
        <v/>
      </c>
      <c r="M676" s="2">
        <f>MIN(MAX(1-G676,0),1)</f>
        <v/>
      </c>
      <c r="N676" s="2">
        <f>MIN(MAX(1-(H676-1)/4,0),1)</f>
        <v/>
      </c>
      <c r="O676" s="2">
        <f>1-MIN(I676/8,1)</f>
        <v/>
      </c>
      <c r="P676" s="10">
        <f>ROUND(100*(J676*Assumptions!$B$6+K676*Assumptions!$B$7+L676*Assumptions!$B$8+M676*Assumptions!$B$9+N676*Assumptions!$B$10+O676*Assumptions!$B$11),1)</f>
        <v/>
      </c>
      <c r="Q676" s="2">
        <f>IF(P676&gt;=Assumptions!$B$14,"High",IF(P676&gt;=Assumptions!$B$15,"Medium","Low"))</f>
        <v/>
      </c>
      <c r="R676" s="2">
        <f>Cleaned_Data!L676</f>
        <v/>
      </c>
    </row>
    <row r="677">
      <c r="A677" s="2">
        <f>Cleaned_Data!A677</f>
        <v/>
      </c>
      <c r="B677" s="2">
        <f>Cleaned_Data!B677</f>
        <v/>
      </c>
      <c r="C677" s="2">
        <f>Cleaned_Data!G677</f>
        <v/>
      </c>
      <c r="D677" s="2">
        <f>Cleaned_Data!I677</f>
        <v/>
      </c>
      <c r="E677" s="2">
        <f>Cleaned_Data!H677</f>
        <v/>
      </c>
      <c r="F677" s="2">
        <f>Cleaned_Data!F677</f>
        <v/>
      </c>
      <c r="G677" s="9">
        <f>SUMPRODUCT(($B$2:$B$1196=B677)*($F$2:$F$1196&lt;=F677))/SUMPRODUCT(($B$2:$B$1196=B677)*1)</f>
        <v/>
      </c>
      <c r="H677" s="2">
        <f>Cleaned_Data!J677</f>
        <v/>
      </c>
      <c r="I677" s="2">
        <f>Cleaned_Data!E677</f>
        <v/>
      </c>
      <c r="J677" s="2">
        <f>IF(C677="Yes",1,0)</f>
        <v/>
      </c>
      <c r="K677" s="2">
        <f>MIN(MAX(1-(D677-1)/4,0),1)</f>
        <v/>
      </c>
      <c r="L677" s="2">
        <f>MIN(E677/60,1)</f>
        <v/>
      </c>
      <c r="M677" s="2">
        <f>MIN(MAX(1-G677,0),1)</f>
        <v/>
      </c>
      <c r="N677" s="2">
        <f>MIN(MAX(1-(H677-1)/4,0),1)</f>
        <v/>
      </c>
      <c r="O677" s="2">
        <f>1-MIN(I677/8,1)</f>
        <v/>
      </c>
      <c r="P677" s="10">
        <f>ROUND(100*(J677*Assumptions!$B$6+K677*Assumptions!$B$7+L677*Assumptions!$B$8+M677*Assumptions!$B$9+N677*Assumptions!$B$10+O677*Assumptions!$B$11),1)</f>
        <v/>
      </c>
      <c r="Q677" s="2">
        <f>IF(P677&gt;=Assumptions!$B$14,"High",IF(P677&gt;=Assumptions!$B$15,"Medium","Low"))</f>
        <v/>
      </c>
      <c r="R677" s="2">
        <f>Cleaned_Data!L677</f>
        <v/>
      </c>
    </row>
    <row r="678">
      <c r="A678" s="2">
        <f>Cleaned_Data!A678</f>
        <v/>
      </c>
      <c r="B678" s="2">
        <f>Cleaned_Data!B678</f>
        <v/>
      </c>
      <c r="C678" s="2">
        <f>Cleaned_Data!G678</f>
        <v/>
      </c>
      <c r="D678" s="2">
        <f>Cleaned_Data!I678</f>
        <v/>
      </c>
      <c r="E678" s="2">
        <f>Cleaned_Data!H678</f>
        <v/>
      </c>
      <c r="F678" s="2">
        <f>Cleaned_Data!F678</f>
        <v/>
      </c>
      <c r="G678" s="9">
        <f>SUMPRODUCT(($B$2:$B$1196=B678)*($F$2:$F$1196&lt;=F678))/SUMPRODUCT(($B$2:$B$1196=B678)*1)</f>
        <v/>
      </c>
      <c r="H678" s="2">
        <f>Cleaned_Data!J678</f>
        <v/>
      </c>
      <c r="I678" s="2">
        <f>Cleaned_Data!E678</f>
        <v/>
      </c>
      <c r="J678" s="2">
        <f>IF(C678="Yes",1,0)</f>
        <v/>
      </c>
      <c r="K678" s="2">
        <f>MIN(MAX(1-(D678-1)/4,0),1)</f>
        <v/>
      </c>
      <c r="L678" s="2">
        <f>MIN(E678/60,1)</f>
        <v/>
      </c>
      <c r="M678" s="2">
        <f>MIN(MAX(1-G678,0),1)</f>
        <v/>
      </c>
      <c r="N678" s="2">
        <f>MIN(MAX(1-(H678-1)/4,0),1)</f>
        <v/>
      </c>
      <c r="O678" s="2">
        <f>1-MIN(I678/8,1)</f>
        <v/>
      </c>
      <c r="P678" s="10">
        <f>ROUND(100*(J678*Assumptions!$B$6+K678*Assumptions!$B$7+L678*Assumptions!$B$8+M678*Assumptions!$B$9+N678*Assumptions!$B$10+O678*Assumptions!$B$11),1)</f>
        <v/>
      </c>
      <c r="Q678" s="2">
        <f>IF(P678&gt;=Assumptions!$B$14,"High",IF(P678&gt;=Assumptions!$B$15,"Medium","Low"))</f>
        <v/>
      </c>
      <c r="R678" s="2">
        <f>Cleaned_Data!L678</f>
        <v/>
      </c>
    </row>
    <row r="679">
      <c r="A679" s="2">
        <f>Cleaned_Data!A679</f>
        <v/>
      </c>
      <c r="B679" s="2">
        <f>Cleaned_Data!B679</f>
        <v/>
      </c>
      <c r="C679" s="2">
        <f>Cleaned_Data!G679</f>
        <v/>
      </c>
      <c r="D679" s="2">
        <f>Cleaned_Data!I679</f>
        <v/>
      </c>
      <c r="E679" s="2">
        <f>Cleaned_Data!H679</f>
        <v/>
      </c>
      <c r="F679" s="2">
        <f>Cleaned_Data!F679</f>
        <v/>
      </c>
      <c r="G679" s="9">
        <f>SUMPRODUCT(($B$2:$B$1196=B679)*($F$2:$F$1196&lt;=F679))/SUMPRODUCT(($B$2:$B$1196=B679)*1)</f>
        <v/>
      </c>
      <c r="H679" s="2">
        <f>Cleaned_Data!J679</f>
        <v/>
      </c>
      <c r="I679" s="2">
        <f>Cleaned_Data!E679</f>
        <v/>
      </c>
      <c r="J679" s="2">
        <f>IF(C679="Yes",1,0)</f>
        <v/>
      </c>
      <c r="K679" s="2">
        <f>MIN(MAX(1-(D679-1)/4,0),1)</f>
        <v/>
      </c>
      <c r="L679" s="2">
        <f>MIN(E679/60,1)</f>
        <v/>
      </c>
      <c r="M679" s="2">
        <f>MIN(MAX(1-G679,0),1)</f>
        <v/>
      </c>
      <c r="N679" s="2">
        <f>MIN(MAX(1-(H679-1)/4,0),1)</f>
        <v/>
      </c>
      <c r="O679" s="2">
        <f>1-MIN(I679/8,1)</f>
        <v/>
      </c>
      <c r="P679" s="10">
        <f>ROUND(100*(J679*Assumptions!$B$6+K679*Assumptions!$B$7+L679*Assumptions!$B$8+M679*Assumptions!$B$9+N679*Assumptions!$B$10+O679*Assumptions!$B$11),1)</f>
        <v/>
      </c>
      <c r="Q679" s="2">
        <f>IF(P679&gt;=Assumptions!$B$14,"High",IF(P679&gt;=Assumptions!$B$15,"Medium","Low"))</f>
        <v/>
      </c>
      <c r="R679" s="2">
        <f>Cleaned_Data!L679</f>
        <v/>
      </c>
    </row>
    <row r="680">
      <c r="A680" s="2">
        <f>Cleaned_Data!A680</f>
        <v/>
      </c>
      <c r="B680" s="2">
        <f>Cleaned_Data!B680</f>
        <v/>
      </c>
      <c r="C680" s="2">
        <f>Cleaned_Data!G680</f>
        <v/>
      </c>
      <c r="D680" s="2">
        <f>Cleaned_Data!I680</f>
        <v/>
      </c>
      <c r="E680" s="2">
        <f>Cleaned_Data!H680</f>
        <v/>
      </c>
      <c r="F680" s="2">
        <f>Cleaned_Data!F680</f>
        <v/>
      </c>
      <c r="G680" s="9">
        <f>SUMPRODUCT(($B$2:$B$1196=B680)*($F$2:$F$1196&lt;=F680))/SUMPRODUCT(($B$2:$B$1196=B680)*1)</f>
        <v/>
      </c>
      <c r="H680" s="2">
        <f>Cleaned_Data!J680</f>
        <v/>
      </c>
      <c r="I680" s="2">
        <f>Cleaned_Data!E680</f>
        <v/>
      </c>
      <c r="J680" s="2">
        <f>IF(C680="Yes",1,0)</f>
        <v/>
      </c>
      <c r="K680" s="2">
        <f>MIN(MAX(1-(D680-1)/4,0),1)</f>
        <v/>
      </c>
      <c r="L680" s="2">
        <f>MIN(E680/60,1)</f>
        <v/>
      </c>
      <c r="M680" s="2">
        <f>MIN(MAX(1-G680,0),1)</f>
        <v/>
      </c>
      <c r="N680" s="2">
        <f>MIN(MAX(1-(H680-1)/4,0),1)</f>
        <v/>
      </c>
      <c r="O680" s="2">
        <f>1-MIN(I680/8,1)</f>
        <v/>
      </c>
      <c r="P680" s="10">
        <f>ROUND(100*(J680*Assumptions!$B$6+K680*Assumptions!$B$7+L680*Assumptions!$B$8+M680*Assumptions!$B$9+N680*Assumptions!$B$10+O680*Assumptions!$B$11),1)</f>
        <v/>
      </c>
      <c r="Q680" s="2">
        <f>IF(P680&gt;=Assumptions!$B$14,"High",IF(P680&gt;=Assumptions!$B$15,"Medium","Low"))</f>
        <v/>
      </c>
      <c r="R680" s="2">
        <f>Cleaned_Data!L680</f>
        <v/>
      </c>
    </row>
    <row r="681">
      <c r="A681" s="2">
        <f>Cleaned_Data!A681</f>
        <v/>
      </c>
      <c r="B681" s="2">
        <f>Cleaned_Data!B681</f>
        <v/>
      </c>
      <c r="C681" s="2">
        <f>Cleaned_Data!G681</f>
        <v/>
      </c>
      <c r="D681" s="2">
        <f>Cleaned_Data!I681</f>
        <v/>
      </c>
      <c r="E681" s="2">
        <f>Cleaned_Data!H681</f>
        <v/>
      </c>
      <c r="F681" s="2">
        <f>Cleaned_Data!F681</f>
        <v/>
      </c>
      <c r="G681" s="9">
        <f>SUMPRODUCT(($B$2:$B$1196=B681)*($F$2:$F$1196&lt;=F681))/SUMPRODUCT(($B$2:$B$1196=B681)*1)</f>
        <v/>
      </c>
      <c r="H681" s="2">
        <f>Cleaned_Data!J681</f>
        <v/>
      </c>
      <c r="I681" s="2">
        <f>Cleaned_Data!E681</f>
        <v/>
      </c>
      <c r="J681" s="2">
        <f>IF(C681="Yes",1,0)</f>
        <v/>
      </c>
      <c r="K681" s="2">
        <f>MIN(MAX(1-(D681-1)/4,0),1)</f>
        <v/>
      </c>
      <c r="L681" s="2">
        <f>MIN(E681/60,1)</f>
        <v/>
      </c>
      <c r="M681" s="2">
        <f>MIN(MAX(1-G681,0),1)</f>
        <v/>
      </c>
      <c r="N681" s="2">
        <f>MIN(MAX(1-(H681-1)/4,0),1)</f>
        <v/>
      </c>
      <c r="O681" s="2">
        <f>1-MIN(I681/8,1)</f>
        <v/>
      </c>
      <c r="P681" s="10">
        <f>ROUND(100*(J681*Assumptions!$B$6+K681*Assumptions!$B$7+L681*Assumptions!$B$8+M681*Assumptions!$B$9+N681*Assumptions!$B$10+O681*Assumptions!$B$11),1)</f>
        <v/>
      </c>
      <c r="Q681" s="2">
        <f>IF(P681&gt;=Assumptions!$B$14,"High",IF(P681&gt;=Assumptions!$B$15,"Medium","Low"))</f>
        <v/>
      </c>
      <c r="R681" s="2">
        <f>Cleaned_Data!L681</f>
        <v/>
      </c>
    </row>
    <row r="682">
      <c r="A682" s="2">
        <f>Cleaned_Data!A682</f>
        <v/>
      </c>
      <c r="B682" s="2">
        <f>Cleaned_Data!B682</f>
        <v/>
      </c>
      <c r="C682" s="2">
        <f>Cleaned_Data!G682</f>
        <v/>
      </c>
      <c r="D682" s="2">
        <f>Cleaned_Data!I682</f>
        <v/>
      </c>
      <c r="E682" s="2">
        <f>Cleaned_Data!H682</f>
        <v/>
      </c>
      <c r="F682" s="2">
        <f>Cleaned_Data!F682</f>
        <v/>
      </c>
      <c r="G682" s="9">
        <f>SUMPRODUCT(($B$2:$B$1196=B682)*($F$2:$F$1196&lt;=F682))/SUMPRODUCT(($B$2:$B$1196=B682)*1)</f>
        <v/>
      </c>
      <c r="H682" s="2">
        <f>Cleaned_Data!J682</f>
        <v/>
      </c>
      <c r="I682" s="2">
        <f>Cleaned_Data!E682</f>
        <v/>
      </c>
      <c r="J682" s="2">
        <f>IF(C682="Yes",1,0)</f>
        <v/>
      </c>
      <c r="K682" s="2">
        <f>MIN(MAX(1-(D682-1)/4,0),1)</f>
        <v/>
      </c>
      <c r="L682" s="2">
        <f>MIN(E682/60,1)</f>
        <v/>
      </c>
      <c r="M682" s="2">
        <f>MIN(MAX(1-G682,0),1)</f>
        <v/>
      </c>
      <c r="N682" s="2">
        <f>MIN(MAX(1-(H682-1)/4,0),1)</f>
        <v/>
      </c>
      <c r="O682" s="2">
        <f>1-MIN(I682/8,1)</f>
        <v/>
      </c>
      <c r="P682" s="10">
        <f>ROUND(100*(J682*Assumptions!$B$6+K682*Assumptions!$B$7+L682*Assumptions!$B$8+M682*Assumptions!$B$9+N682*Assumptions!$B$10+O682*Assumptions!$B$11),1)</f>
        <v/>
      </c>
      <c r="Q682" s="2">
        <f>IF(P682&gt;=Assumptions!$B$14,"High",IF(P682&gt;=Assumptions!$B$15,"Medium","Low"))</f>
        <v/>
      </c>
      <c r="R682" s="2">
        <f>Cleaned_Data!L682</f>
        <v/>
      </c>
    </row>
    <row r="683">
      <c r="A683" s="2">
        <f>Cleaned_Data!A683</f>
        <v/>
      </c>
      <c r="B683" s="2">
        <f>Cleaned_Data!B683</f>
        <v/>
      </c>
      <c r="C683" s="2">
        <f>Cleaned_Data!G683</f>
        <v/>
      </c>
      <c r="D683" s="2">
        <f>Cleaned_Data!I683</f>
        <v/>
      </c>
      <c r="E683" s="2">
        <f>Cleaned_Data!H683</f>
        <v/>
      </c>
      <c r="F683" s="2">
        <f>Cleaned_Data!F683</f>
        <v/>
      </c>
      <c r="G683" s="9">
        <f>SUMPRODUCT(($B$2:$B$1196=B683)*($F$2:$F$1196&lt;=F683))/SUMPRODUCT(($B$2:$B$1196=B683)*1)</f>
        <v/>
      </c>
      <c r="H683" s="2">
        <f>Cleaned_Data!J683</f>
        <v/>
      </c>
      <c r="I683" s="2">
        <f>Cleaned_Data!E683</f>
        <v/>
      </c>
      <c r="J683" s="2">
        <f>IF(C683="Yes",1,0)</f>
        <v/>
      </c>
      <c r="K683" s="2">
        <f>MIN(MAX(1-(D683-1)/4,0),1)</f>
        <v/>
      </c>
      <c r="L683" s="2">
        <f>MIN(E683/60,1)</f>
        <v/>
      </c>
      <c r="M683" s="2">
        <f>MIN(MAX(1-G683,0),1)</f>
        <v/>
      </c>
      <c r="N683" s="2">
        <f>MIN(MAX(1-(H683-1)/4,0),1)</f>
        <v/>
      </c>
      <c r="O683" s="2">
        <f>1-MIN(I683/8,1)</f>
        <v/>
      </c>
      <c r="P683" s="10">
        <f>ROUND(100*(J683*Assumptions!$B$6+K683*Assumptions!$B$7+L683*Assumptions!$B$8+M683*Assumptions!$B$9+N683*Assumptions!$B$10+O683*Assumptions!$B$11),1)</f>
        <v/>
      </c>
      <c r="Q683" s="2">
        <f>IF(P683&gt;=Assumptions!$B$14,"High",IF(P683&gt;=Assumptions!$B$15,"Medium","Low"))</f>
        <v/>
      </c>
      <c r="R683" s="2">
        <f>Cleaned_Data!L683</f>
        <v/>
      </c>
    </row>
    <row r="684">
      <c r="A684" s="2">
        <f>Cleaned_Data!A684</f>
        <v/>
      </c>
      <c r="B684" s="2">
        <f>Cleaned_Data!B684</f>
        <v/>
      </c>
      <c r="C684" s="2">
        <f>Cleaned_Data!G684</f>
        <v/>
      </c>
      <c r="D684" s="2">
        <f>Cleaned_Data!I684</f>
        <v/>
      </c>
      <c r="E684" s="2">
        <f>Cleaned_Data!H684</f>
        <v/>
      </c>
      <c r="F684" s="2">
        <f>Cleaned_Data!F684</f>
        <v/>
      </c>
      <c r="G684" s="9">
        <f>SUMPRODUCT(($B$2:$B$1196=B684)*($F$2:$F$1196&lt;=F684))/SUMPRODUCT(($B$2:$B$1196=B684)*1)</f>
        <v/>
      </c>
      <c r="H684" s="2">
        <f>Cleaned_Data!J684</f>
        <v/>
      </c>
      <c r="I684" s="2">
        <f>Cleaned_Data!E684</f>
        <v/>
      </c>
      <c r="J684" s="2">
        <f>IF(C684="Yes",1,0)</f>
        <v/>
      </c>
      <c r="K684" s="2">
        <f>MIN(MAX(1-(D684-1)/4,0),1)</f>
        <v/>
      </c>
      <c r="L684" s="2">
        <f>MIN(E684/60,1)</f>
        <v/>
      </c>
      <c r="M684" s="2">
        <f>MIN(MAX(1-G684,0),1)</f>
        <v/>
      </c>
      <c r="N684" s="2">
        <f>MIN(MAX(1-(H684-1)/4,0),1)</f>
        <v/>
      </c>
      <c r="O684" s="2">
        <f>1-MIN(I684/8,1)</f>
        <v/>
      </c>
      <c r="P684" s="10">
        <f>ROUND(100*(J684*Assumptions!$B$6+K684*Assumptions!$B$7+L684*Assumptions!$B$8+M684*Assumptions!$B$9+N684*Assumptions!$B$10+O684*Assumptions!$B$11),1)</f>
        <v/>
      </c>
      <c r="Q684" s="2">
        <f>IF(P684&gt;=Assumptions!$B$14,"High",IF(P684&gt;=Assumptions!$B$15,"Medium","Low"))</f>
        <v/>
      </c>
      <c r="R684" s="2">
        <f>Cleaned_Data!L684</f>
        <v/>
      </c>
    </row>
    <row r="685">
      <c r="A685" s="2">
        <f>Cleaned_Data!A685</f>
        <v/>
      </c>
      <c r="B685" s="2">
        <f>Cleaned_Data!B685</f>
        <v/>
      </c>
      <c r="C685" s="2">
        <f>Cleaned_Data!G685</f>
        <v/>
      </c>
      <c r="D685" s="2">
        <f>Cleaned_Data!I685</f>
        <v/>
      </c>
      <c r="E685" s="2">
        <f>Cleaned_Data!H685</f>
        <v/>
      </c>
      <c r="F685" s="2">
        <f>Cleaned_Data!F685</f>
        <v/>
      </c>
      <c r="G685" s="9">
        <f>SUMPRODUCT(($B$2:$B$1196=B685)*($F$2:$F$1196&lt;=F685))/SUMPRODUCT(($B$2:$B$1196=B685)*1)</f>
        <v/>
      </c>
      <c r="H685" s="2">
        <f>Cleaned_Data!J685</f>
        <v/>
      </c>
      <c r="I685" s="2">
        <f>Cleaned_Data!E685</f>
        <v/>
      </c>
      <c r="J685" s="2">
        <f>IF(C685="Yes",1,0)</f>
        <v/>
      </c>
      <c r="K685" s="2">
        <f>MIN(MAX(1-(D685-1)/4,0),1)</f>
        <v/>
      </c>
      <c r="L685" s="2">
        <f>MIN(E685/60,1)</f>
        <v/>
      </c>
      <c r="M685" s="2">
        <f>MIN(MAX(1-G685,0),1)</f>
        <v/>
      </c>
      <c r="N685" s="2">
        <f>MIN(MAX(1-(H685-1)/4,0),1)</f>
        <v/>
      </c>
      <c r="O685" s="2">
        <f>1-MIN(I685/8,1)</f>
        <v/>
      </c>
      <c r="P685" s="10">
        <f>ROUND(100*(J685*Assumptions!$B$6+K685*Assumptions!$B$7+L685*Assumptions!$B$8+M685*Assumptions!$B$9+N685*Assumptions!$B$10+O685*Assumptions!$B$11),1)</f>
        <v/>
      </c>
      <c r="Q685" s="2">
        <f>IF(P685&gt;=Assumptions!$B$14,"High",IF(P685&gt;=Assumptions!$B$15,"Medium","Low"))</f>
        <v/>
      </c>
      <c r="R685" s="2">
        <f>Cleaned_Data!L685</f>
        <v/>
      </c>
    </row>
    <row r="686">
      <c r="A686" s="2">
        <f>Cleaned_Data!A686</f>
        <v/>
      </c>
      <c r="B686" s="2">
        <f>Cleaned_Data!B686</f>
        <v/>
      </c>
      <c r="C686" s="2">
        <f>Cleaned_Data!G686</f>
        <v/>
      </c>
      <c r="D686" s="2">
        <f>Cleaned_Data!I686</f>
        <v/>
      </c>
      <c r="E686" s="2">
        <f>Cleaned_Data!H686</f>
        <v/>
      </c>
      <c r="F686" s="2">
        <f>Cleaned_Data!F686</f>
        <v/>
      </c>
      <c r="G686" s="9">
        <f>SUMPRODUCT(($B$2:$B$1196=B686)*($F$2:$F$1196&lt;=F686))/SUMPRODUCT(($B$2:$B$1196=B686)*1)</f>
        <v/>
      </c>
      <c r="H686" s="2">
        <f>Cleaned_Data!J686</f>
        <v/>
      </c>
      <c r="I686" s="2">
        <f>Cleaned_Data!E686</f>
        <v/>
      </c>
      <c r="J686" s="2">
        <f>IF(C686="Yes",1,0)</f>
        <v/>
      </c>
      <c r="K686" s="2">
        <f>MIN(MAX(1-(D686-1)/4,0),1)</f>
        <v/>
      </c>
      <c r="L686" s="2">
        <f>MIN(E686/60,1)</f>
        <v/>
      </c>
      <c r="M686" s="2">
        <f>MIN(MAX(1-G686,0),1)</f>
        <v/>
      </c>
      <c r="N686" s="2">
        <f>MIN(MAX(1-(H686-1)/4,0),1)</f>
        <v/>
      </c>
      <c r="O686" s="2">
        <f>1-MIN(I686/8,1)</f>
        <v/>
      </c>
      <c r="P686" s="10">
        <f>ROUND(100*(J686*Assumptions!$B$6+K686*Assumptions!$B$7+L686*Assumptions!$B$8+M686*Assumptions!$B$9+N686*Assumptions!$B$10+O686*Assumptions!$B$11),1)</f>
        <v/>
      </c>
      <c r="Q686" s="2">
        <f>IF(P686&gt;=Assumptions!$B$14,"High",IF(P686&gt;=Assumptions!$B$15,"Medium","Low"))</f>
        <v/>
      </c>
      <c r="R686" s="2">
        <f>Cleaned_Data!L686</f>
        <v/>
      </c>
    </row>
    <row r="687">
      <c r="A687" s="2">
        <f>Cleaned_Data!A687</f>
        <v/>
      </c>
      <c r="B687" s="2">
        <f>Cleaned_Data!B687</f>
        <v/>
      </c>
      <c r="C687" s="2">
        <f>Cleaned_Data!G687</f>
        <v/>
      </c>
      <c r="D687" s="2">
        <f>Cleaned_Data!I687</f>
        <v/>
      </c>
      <c r="E687" s="2">
        <f>Cleaned_Data!H687</f>
        <v/>
      </c>
      <c r="F687" s="2">
        <f>Cleaned_Data!F687</f>
        <v/>
      </c>
      <c r="G687" s="9">
        <f>SUMPRODUCT(($B$2:$B$1196=B687)*($F$2:$F$1196&lt;=F687))/SUMPRODUCT(($B$2:$B$1196=B687)*1)</f>
        <v/>
      </c>
      <c r="H687" s="2">
        <f>Cleaned_Data!J687</f>
        <v/>
      </c>
      <c r="I687" s="2">
        <f>Cleaned_Data!E687</f>
        <v/>
      </c>
      <c r="J687" s="2">
        <f>IF(C687="Yes",1,0)</f>
        <v/>
      </c>
      <c r="K687" s="2">
        <f>MIN(MAX(1-(D687-1)/4,0),1)</f>
        <v/>
      </c>
      <c r="L687" s="2">
        <f>MIN(E687/60,1)</f>
        <v/>
      </c>
      <c r="M687" s="2">
        <f>MIN(MAX(1-G687,0),1)</f>
        <v/>
      </c>
      <c r="N687" s="2">
        <f>MIN(MAX(1-(H687-1)/4,0),1)</f>
        <v/>
      </c>
      <c r="O687" s="2">
        <f>1-MIN(I687/8,1)</f>
        <v/>
      </c>
      <c r="P687" s="10">
        <f>ROUND(100*(J687*Assumptions!$B$6+K687*Assumptions!$B$7+L687*Assumptions!$B$8+M687*Assumptions!$B$9+N687*Assumptions!$B$10+O687*Assumptions!$B$11),1)</f>
        <v/>
      </c>
      <c r="Q687" s="2">
        <f>IF(P687&gt;=Assumptions!$B$14,"High",IF(P687&gt;=Assumptions!$B$15,"Medium","Low"))</f>
        <v/>
      </c>
      <c r="R687" s="2">
        <f>Cleaned_Data!L687</f>
        <v/>
      </c>
    </row>
    <row r="688">
      <c r="A688" s="2">
        <f>Cleaned_Data!A688</f>
        <v/>
      </c>
      <c r="B688" s="2">
        <f>Cleaned_Data!B688</f>
        <v/>
      </c>
      <c r="C688" s="2">
        <f>Cleaned_Data!G688</f>
        <v/>
      </c>
      <c r="D688" s="2">
        <f>Cleaned_Data!I688</f>
        <v/>
      </c>
      <c r="E688" s="2">
        <f>Cleaned_Data!H688</f>
        <v/>
      </c>
      <c r="F688" s="2">
        <f>Cleaned_Data!F688</f>
        <v/>
      </c>
      <c r="G688" s="9">
        <f>SUMPRODUCT(($B$2:$B$1196=B688)*($F$2:$F$1196&lt;=F688))/SUMPRODUCT(($B$2:$B$1196=B688)*1)</f>
        <v/>
      </c>
      <c r="H688" s="2">
        <f>Cleaned_Data!J688</f>
        <v/>
      </c>
      <c r="I688" s="2">
        <f>Cleaned_Data!E688</f>
        <v/>
      </c>
      <c r="J688" s="2">
        <f>IF(C688="Yes",1,0)</f>
        <v/>
      </c>
      <c r="K688" s="2">
        <f>MIN(MAX(1-(D688-1)/4,0),1)</f>
        <v/>
      </c>
      <c r="L688" s="2">
        <f>MIN(E688/60,1)</f>
        <v/>
      </c>
      <c r="M688" s="2">
        <f>MIN(MAX(1-G688,0),1)</f>
        <v/>
      </c>
      <c r="N688" s="2">
        <f>MIN(MAX(1-(H688-1)/4,0),1)</f>
        <v/>
      </c>
      <c r="O688" s="2">
        <f>1-MIN(I688/8,1)</f>
        <v/>
      </c>
      <c r="P688" s="10">
        <f>ROUND(100*(J688*Assumptions!$B$6+K688*Assumptions!$B$7+L688*Assumptions!$B$8+M688*Assumptions!$B$9+N688*Assumptions!$B$10+O688*Assumptions!$B$11),1)</f>
        <v/>
      </c>
      <c r="Q688" s="2">
        <f>IF(P688&gt;=Assumptions!$B$14,"High",IF(P688&gt;=Assumptions!$B$15,"Medium","Low"))</f>
        <v/>
      </c>
      <c r="R688" s="2">
        <f>Cleaned_Data!L688</f>
        <v/>
      </c>
    </row>
    <row r="689">
      <c r="A689" s="2">
        <f>Cleaned_Data!A689</f>
        <v/>
      </c>
      <c r="B689" s="2">
        <f>Cleaned_Data!B689</f>
        <v/>
      </c>
      <c r="C689" s="2">
        <f>Cleaned_Data!G689</f>
        <v/>
      </c>
      <c r="D689" s="2">
        <f>Cleaned_Data!I689</f>
        <v/>
      </c>
      <c r="E689" s="2">
        <f>Cleaned_Data!H689</f>
        <v/>
      </c>
      <c r="F689" s="2">
        <f>Cleaned_Data!F689</f>
        <v/>
      </c>
      <c r="G689" s="9">
        <f>SUMPRODUCT(($B$2:$B$1196=B689)*($F$2:$F$1196&lt;=F689))/SUMPRODUCT(($B$2:$B$1196=B689)*1)</f>
        <v/>
      </c>
      <c r="H689" s="2">
        <f>Cleaned_Data!J689</f>
        <v/>
      </c>
      <c r="I689" s="2">
        <f>Cleaned_Data!E689</f>
        <v/>
      </c>
      <c r="J689" s="2">
        <f>IF(C689="Yes",1,0)</f>
        <v/>
      </c>
      <c r="K689" s="2">
        <f>MIN(MAX(1-(D689-1)/4,0),1)</f>
        <v/>
      </c>
      <c r="L689" s="2">
        <f>MIN(E689/60,1)</f>
        <v/>
      </c>
      <c r="M689" s="2">
        <f>MIN(MAX(1-G689,0),1)</f>
        <v/>
      </c>
      <c r="N689" s="2">
        <f>MIN(MAX(1-(H689-1)/4,0),1)</f>
        <v/>
      </c>
      <c r="O689" s="2">
        <f>1-MIN(I689/8,1)</f>
        <v/>
      </c>
      <c r="P689" s="10">
        <f>ROUND(100*(J689*Assumptions!$B$6+K689*Assumptions!$B$7+L689*Assumptions!$B$8+M689*Assumptions!$B$9+N689*Assumptions!$B$10+O689*Assumptions!$B$11),1)</f>
        <v/>
      </c>
      <c r="Q689" s="2">
        <f>IF(P689&gt;=Assumptions!$B$14,"High",IF(P689&gt;=Assumptions!$B$15,"Medium","Low"))</f>
        <v/>
      </c>
      <c r="R689" s="2">
        <f>Cleaned_Data!L689</f>
        <v/>
      </c>
    </row>
    <row r="690">
      <c r="A690" s="2">
        <f>Cleaned_Data!A690</f>
        <v/>
      </c>
      <c r="B690" s="2">
        <f>Cleaned_Data!B690</f>
        <v/>
      </c>
      <c r="C690" s="2">
        <f>Cleaned_Data!G690</f>
        <v/>
      </c>
      <c r="D690" s="2">
        <f>Cleaned_Data!I690</f>
        <v/>
      </c>
      <c r="E690" s="2">
        <f>Cleaned_Data!H690</f>
        <v/>
      </c>
      <c r="F690" s="2">
        <f>Cleaned_Data!F690</f>
        <v/>
      </c>
      <c r="G690" s="9">
        <f>SUMPRODUCT(($B$2:$B$1196=B690)*($F$2:$F$1196&lt;=F690))/SUMPRODUCT(($B$2:$B$1196=B690)*1)</f>
        <v/>
      </c>
      <c r="H690" s="2">
        <f>Cleaned_Data!J690</f>
        <v/>
      </c>
      <c r="I690" s="2">
        <f>Cleaned_Data!E690</f>
        <v/>
      </c>
      <c r="J690" s="2">
        <f>IF(C690="Yes",1,0)</f>
        <v/>
      </c>
      <c r="K690" s="2">
        <f>MIN(MAX(1-(D690-1)/4,0),1)</f>
        <v/>
      </c>
      <c r="L690" s="2">
        <f>MIN(E690/60,1)</f>
        <v/>
      </c>
      <c r="M690" s="2">
        <f>MIN(MAX(1-G690,0),1)</f>
        <v/>
      </c>
      <c r="N690" s="2">
        <f>MIN(MAX(1-(H690-1)/4,0),1)</f>
        <v/>
      </c>
      <c r="O690" s="2">
        <f>1-MIN(I690/8,1)</f>
        <v/>
      </c>
      <c r="P690" s="10">
        <f>ROUND(100*(J690*Assumptions!$B$6+K690*Assumptions!$B$7+L690*Assumptions!$B$8+M690*Assumptions!$B$9+N690*Assumptions!$B$10+O690*Assumptions!$B$11),1)</f>
        <v/>
      </c>
      <c r="Q690" s="2">
        <f>IF(P690&gt;=Assumptions!$B$14,"High",IF(P690&gt;=Assumptions!$B$15,"Medium","Low"))</f>
        <v/>
      </c>
      <c r="R690" s="2">
        <f>Cleaned_Data!L690</f>
        <v/>
      </c>
    </row>
    <row r="691">
      <c r="A691" s="2">
        <f>Cleaned_Data!A691</f>
        <v/>
      </c>
      <c r="B691" s="2">
        <f>Cleaned_Data!B691</f>
        <v/>
      </c>
      <c r="C691" s="2">
        <f>Cleaned_Data!G691</f>
        <v/>
      </c>
      <c r="D691" s="2">
        <f>Cleaned_Data!I691</f>
        <v/>
      </c>
      <c r="E691" s="2">
        <f>Cleaned_Data!H691</f>
        <v/>
      </c>
      <c r="F691" s="2">
        <f>Cleaned_Data!F691</f>
        <v/>
      </c>
      <c r="G691" s="9">
        <f>SUMPRODUCT(($B$2:$B$1196=B691)*($F$2:$F$1196&lt;=F691))/SUMPRODUCT(($B$2:$B$1196=B691)*1)</f>
        <v/>
      </c>
      <c r="H691" s="2">
        <f>Cleaned_Data!J691</f>
        <v/>
      </c>
      <c r="I691" s="2">
        <f>Cleaned_Data!E691</f>
        <v/>
      </c>
      <c r="J691" s="2">
        <f>IF(C691="Yes",1,0)</f>
        <v/>
      </c>
      <c r="K691" s="2">
        <f>MIN(MAX(1-(D691-1)/4,0),1)</f>
        <v/>
      </c>
      <c r="L691" s="2">
        <f>MIN(E691/60,1)</f>
        <v/>
      </c>
      <c r="M691" s="2">
        <f>MIN(MAX(1-G691,0),1)</f>
        <v/>
      </c>
      <c r="N691" s="2">
        <f>MIN(MAX(1-(H691-1)/4,0),1)</f>
        <v/>
      </c>
      <c r="O691" s="2">
        <f>1-MIN(I691/8,1)</f>
        <v/>
      </c>
      <c r="P691" s="10">
        <f>ROUND(100*(J691*Assumptions!$B$6+K691*Assumptions!$B$7+L691*Assumptions!$B$8+M691*Assumptions!$B$9+N691*Assumptions!$B$10+O691*Assumptions!$B$11),1)</f>
        <v/>
      </c>
      <c r="Q691" s="2">
        <f>IF(P691&gt;=Assumptions!$B$14,"High",IF(P691&gt;=Assumptions!$B$15,"Medium","Low"))</f>
        <v/>
      </c>
      <c r="R691" s="2">
        <f>Cleaned_Data!L691</f>
        <v/>
      </c>
    </row>
    <row r="692">
      <c r="A692" s="2">
        <f>Cleaned_Data!A692</f>
        <v/>
      </c>
      <c r="B692" s="2">
        <f>Cleaned_Data!B692</f>
        <v/>
      </c>
      <c r="C692" s="2">
        <f>Cleaned_Data!G692</f>
        <v/>
      </c>
      <c r="D692" s="2">
        <f>Cleaned_Data!I692</f>
        <v/>
      </c>
      <c r="E692" s="2">
        <f>Cleaned_Data!H692</f>
        <v/>
      </c>
      <c r="F692" s="2">
        <f>Cleaned_Data!F692</f>
        <v/>
      </c>
      <c r="G692" s="9">
        <f>SUMPRODUCT(($B$2:$B$1196=B692)*($F$2:$F$1196&lt;=F692))/SUMPRODUCT(($B$2:$B$1196=B692)*1)</f>
        <v/>
      </c>
      <c r="H692" s="2">
        <f>Cleaned_Data!J692</f>
        <v/>
      </c>
      <c r="I692" s="2">
        <f>Cleaned_Data!E692</f>
        <v/>
      </c>
      <c r="J692" s="2">
        <f>IF(C692="Yes",1,0)</f>
        <v/>
      </c>
      <c r="K692" s="2">
        <f>MIN(MAX(1-(D692-1)/4,0),1)</f>
        <v/>
      </c>
      <c r="L692" s="2">
        <f>MIN(E692/60,1)</f>
        <v/>
      </c>
      <c r="M692" s="2">
        <f>MIN(MAX(1-G692,0),1)</f>
        <v/>
      </c>
      <c r="N692" s="2">
        <f>MIN(MAX(1-(H692-1)/4,0),1)</f>
        <v/>
      </c>
      <c r="O692" s="2">
        <f>1-MIN(I692/8,1)</f>
        <v/>
      </c>
      <c r="P692" s="10">
        <f>ROUND(100*(J692*Assumptions!$B$6+K692*Assumptions!$B$7+L692*Assumptions!$B$8+M692*Assumptions!$B$9+N692*Assumptions!$B$10+O692*Assumptions!$B$11),1)</f>
        <v/>
      </c>
      <c r="Q692" s="2">
        <f>IF(P692&gt;=Assumptions!$B$14,"High",IF(P692&gt;=Assumptions!$B$15,"Medium","Low"))</f>
        <v/>
      </c>
      <c r="R692" s="2">
        <f>Cleaned_Data!L692</f>
        <v/>
      </c>
    </row>
    <row r="693">
      <c r="A693" s="2">
        <f>Cleaned_Data!A693</f>
        <v/>
      </c>
      <c r="B693" s="2">
        <f>Cleaned_Data!B693</f>
        <v/>
      </c>
      <c r="C693" s="2">
        <f>Cleaned_Data!G693</f>
        <v/>
      </c>
      <c r="D693" s="2">
        <f>Cleaned_Data!I693</f>
        <v/>
      </c>
      <c r="E693" s="2">
        <f>Cleaned_Data!H693</f>
        <v/>
      </c>
      <c r="F693" s="2">
        <f>Cleaned_Data!F693</f>
        <v/>
      </c>
      <c r="G693" s="9">
        <f>SUMPRODUCT(($B$2:$B$1196=B693)*($F$2:$F$1196&lt;=F693))/SUMPRODUCT(($B$2:$B$1196=B693)*1)</f>
        <v/>
      </c>
      <c r="H693" s="2">
        <f>Cleaned_Data!J693</f>
        <v/>
      </c>
      <c r="I693" s="2">
        <f>Cleaned_Data!E693</f>
        <v/>
      </c>
      <c r="J693" s="2">
        <f>IF(C693="Yes",1,0)</f>
        <v/>
      </c>
      <c r="K693" s="2">
        <f>MIN(MAX(1-(D693-1)/4,0),1)</f>
        <v/>
      </c>
      <c r="L693" s="2">
        <f>MIN(E693/60,1)</f>
        <v/>
      </c>
      <c r="M693" s="2">
        <f>MIN(MAX(1-G693,0),1)</f>
        <v/>
      </c>
      <c r="N693" s="2">
        <f>MIN(MAX(1-(H693-1)/4,0),1)</f>
        <v/>
      </c>
      <c r="O693" s="2">
        <f>1-MIN(I693/8,1)</f>
        <v/>
      </c>
      <c r="P693" s="10">
        <f>ROUND(100*(J693*Assumptions!$B$6+K693*Assumptions!$B$7+L693*Assumptions!$B$8+M693*Assumptions!$B$9+N693*Assumptions!$B$10+O693*Assumptions!$B$11),1)</f>
        <v/>
      </c>
      <c r="Q693" s="2">
        <f>IF(P693&gt;=Assumptions!$B$14,"High",IF(P693&gt;=Assumptions!$B$15,"Medium","Low"))</f>
        <v/>
      </c>
      <c r="R693" s="2">
        <f>Cleaned_Data!L693</f>
        <v/>
      </c>
    </row>
    <row r="694">
      <c r="A694" s="2">
        <f>Cleaned_Data!A694</f>
        <v/>
      </c>
      <c r="B694" s="2">
        <f>Cleaned_Data!B694</f>
        <v/>
      </c>
      <c r="C694" s="2">
        <f>Cleaned_Data!G694</f>
        <v/>
      </c>
      <c r="D694" s="2">
        <f>Cleaned_Data!I694</f>
        <v/>
      </c>
      <c r="E694" s="2">
        <f>Cleaned_Data!H694</f>
        <v/>
      </c>
      <c r="F694" s="2">
        <f>Cleaned_Data!F694</f>
        <v/>
      </c>
      <c r="G694" s="9">
        <f>SUMPRODUCT(($B$2:$B$1196=B694)*($F$2:$F$1196&lt;=F694))/SUMPRODUCT(($B$2:$B$1196=B694)*1)</f>
        <v/>
      </c>
      <c r="H694" s="2">
        <f>Cleaned_Data!J694</f>
        <v/>
      </c>
      <c r="I694" s="2">
        <f>Cleaned_Data!E694</f>
        <v/>
      </c>
      <c r="J694" s="2">
        <f>IF(C694="Yes",1,0)</f>
        <v/>
      </c>
      <c r="K694" s="2">
        <f>MIN(MAX(1-(D694-1)/4,0),1)</f>
        <v/>
      </c>
      <c r="L694" s="2">
        <f>MIN(E694/60,1)</f>
        <v/>
      </c>
      <c r="M694" s="2">
        <f>MIN(MAX(1-G694,0),1)</f>
        <v/>
      </c>
      <c r="N694" s="2">
        <f>MIN(MAX(1-(H694-1)/4,0),1)</f>
        <v/>
      </c>
      <c r="O694" s="2">
        <f>1-MIN(I694/8,1)</f>
        <v/>
      </c>
      <c r="P694" s="10">
        <f>ROUND(100*(J694*Assumptions!$B$6+K694*Assumptions!$B$7+L694*Assumptions!$B$8+M694*Assumptions!$B$9+N694*Assumptions!$B$10+O694*Assumptions!$B$11),1)</f>
        <v/>
      </c>
      <c r="Q694" s="2">
        <f>IF(P694&gt;=Assumptions!$B$14,"High",IF(P694&gt;=Assumptions!$B$15,"Medium","Low"))</f>
        <v/>
      </c>
      <c r="R694" s="2">
        <f>Cleaned_Data!L694</f>
        <v/>
      </c>
    </row>
    <row r="695">
      <c r="A695" s="2">
        <f>Cleaned_Data!A695</f>
        <v/>
      </c>
      <c r="B695" s="2">
        <f>Cleaned_Data!B695</f>
        <v/>
      </c>
      <c r="C695" s="2">
        <f>Cleaned_Data!G695</f>
        <v/>
      </c>
      <c r="D695" s="2">
        <f>Cleaned_Data!I695</f>
        <v/>
      </c>
      <c r="E695" s="2">
        <f>Cleaned_Data!H695</f>
        <v/>
      </c>
      <c r="F695" s="2">
        <f>Cleaned_Data!F695</f>
        <v/>
      </c>
      <c r="G695" s="9">
        <f>SUMPRODUCT(($B$2:$B$1196=B695)*($F$2:$F$1196&lt;=F695))/SUMPRODUCT(($B$2:$B$1196=B695)*1)</f>
        <v/>
      </c>
      <c r="H695" s="2">
        <f>Cleaned_Data!J695</f>
        <v/>
      </c>
      <c r="I695" s="2">
        <f>Cleaned_Data!E695</f>
        <v/>
      </c>
      <c r="J695" s="2">
        <f>IF(C695="Yes",1,0)</f>
        <v/>
      </c>
      <c r="K695" s="2">
        <f>MIN(MAX(1-(D695-1)/4,0),1)</f>
        <v/>
      </c>
      <c r="L695" s="2">
        <f>MIN(E695/60,1)</f>
        <v/>
      </c>
      <c r="M695" s="2">
        <f>MIN(MAX(1-G695,0),1)</f>
        <v/>
      </c>
      <c r="N695" s="2">
        <f>MIN(MAX(1-(H695-1)/4,0),1)</f>
        <v/>
      </c>
      <c r="O695" s="2">
        <f>1-MIN(I695/8,1)</f>
        <v/>
      </c>
      <c r="P695" s="10">
        <f>ROUND(100*(J695*Assumptions!$B$6+K695*Assumptions!$B$7+L695*Assumptions!$B$8+M695*Assumptions!$B$9+N695*Assumptions!$B$10+O695*Assumptions!$B$11),1)</f>
        <v/>
      </c>
      <c r="Q695" s="2">
        <f>IF(P695&gt;=Assumptions!$B$14,"High",IF(P695&gt;=Assumptions!$B$15,"Medium","Low"))</f>
        <v/>
      </c>
      <c r="R695" s="2">
        <f>Cleaned_Data!L695</f>
        <v/>
      </c>
    </row>
    <row r="696">
      <c r="A696" s="2">
        <f>Cleaned_Data!A696</f>
        <v/>
      </c>
      <c r="B696" s="2">
        <f>Cleaned_Data!B696</f>
        <v/>
      </c>
      <c r="C696" s="2">
        <f>Cleaned_Data!G696</f>
        <v/>
      </c>
      <c r="D696" s="2">
        <f>Cleaned_Data!I696</f>
        <v/>
      </c>
      <c r="E696" s="2">
        <f>Cleaned_Data!H696</f>
        <v/>
      </c>
      <c r="F696" s="2">
        <f>Cleaned_Data!F696</f>
        <v/>
      </c>
      <c r="G696" s="9">
        <f>SUMPRODUCT(($B$2:$B$1196=B696)*($F$2:$F$1196&lt;=F696))/SUMPRODUCT(($B$2:$B$1196=B696)*1)</f>
        <v/>
      </c>
      <c r="H696" s="2">
        <f>Cleaned_Data!J696</f>
        <v/>
      </c>
      <c r="I696" s="2">
        <f>Cleaned_Data!E696</f>
        <v/>
      </c>
      <c r="J696" s="2">
        <f>IF(C696="Yes",1,0)</f>
        <v/>
      </c>
      <c r="K696" s="2">
        <f>MIN(MAX(1-(D696-1)/4,0),1)</f>
        <v/>
      </c>
      <c r="L696" s="2">
        <f>MIN(E696/60,1)</f>
        <v/>
      </c>
      <c r="M696" s="2">
        <f>MIN(MAX(1-G696,0),1)</f>
        <v/>
      </c>
      <c r="N696" s="2">
        <f>MIN(MAX(1-(H696-1)/4,0),1)</f>
        <v/>
      </c>
      <c r="O696" s="2">
        <f>1-MIN(I696/8,1)</f>
        <v/>
      </c>
      <c r="P696" s="10">
        <f>ROUND(100*(J696*Assumptions!$B$6+K696*Assumptions!$B$7+L696*Assumptions!$B$8+M696*Assumptions!$B$9+N696*Assumptions!$B$10+O696*Assumptions!$B$11),1)</f>
        <v/>
      </c>
      <c r="Q696" s="2">
        <f>IF(P696&gt;=Assumptions!$B$14,"High",IF(P696&gt;=Assumptions!$B$15,"Medium","Low"))</f>
        <v/>
      </c>
      <c r="R696" s="2">
        <f>Cleaned_Data!L696</f>
        <v/>
      </c>
    </row>
    <row r="697">
      <c r="A697" s="2">
        <f>Cleaned_Data!A697</f>
        <v/>
      </c>
      <c r="B697" s="2">
        <f>Cleaned_Data!B697</f>
        <v/>
      </c>
      <c r="C697" s="2">
        <f>Cleaned_Data!G697</f>
        <v/>
      </c>
      <c r="D697" s="2">
        <f>Cleaned_Data!I697</f>
        <v/>
      </c>
      <c r="E697" s="2">
        <f>Cleaned_Data!H697</f>
        <v/>
      </c>
      <c r="F697" s="2">
        <f>Cleaned_Data!F697</f>
        <v/>
      </c>
      <c r="G697" s="9">
        <f>SUMPRODUCT(($B$2:$B$1196=B697)*($F$2:$F$1196&lt;=F697))/SUMPRODUCT(($B$2:$B$1196=B697)*1)</f>
        <v/>
      </c>
      <c r="H697" s="2">
        <f>Cleaned_Data!J697</f>
        <v/>
      </c>
      <c r="I697" s="2">
        <f>Cleaned_Data!E697</f>
        <v/>
      </c>
      <c r="J697" s="2">
        <f>IF(C697="Yes",1,0)</f>
        <v/>
      </c>
      <c r="K697" s="2">
        <f>MIN(MAX(1-(D697-1)/4,0),1)</f>
        <v/>
      </c>
      <c r="L697" s="2">
        <f>MIN(E697/60,1)</f>
        <v/>
      </c>
      <c r="M697" s="2">
        <f>MIN(MAX(1-G697,0),1)</f>
        <v/>
      </c>
      <c r="N697" s="2">
        <f>MIN(MAX(1-(H697-1)/4,0),1)</f>
        <v/>
      </c>
      <c r="O697" s="2">
        <f>1-MIN(I697/8,1)</f>
        <v/>
      </c>
      <c r="P697" s="10">
        <f>ROUND(100*(J697*Assumptions!$B$6+K697*Assumptions!$B$7+L697*Assumptions!$B$8+M697*Assumptions!$B$9+N697*Assumptions!$B$10+O697*Assumptions!$B$11),1)</f>
        <v/>
      </c>
      <c r="Q697" s="2">
        <f>IF(P697&gt;=Assumptions!$B$14,"High",IF(P697&gt;=Assumptions!$B$15,"Medium","Low"))</f>
        <v/>
      </c>
      <c r="R697" s="2">
        <f>Cleaned_Data!L697</f>
        <v/>
      </c>
    </row>
    <row r="698">
      <c r="A698" s="2">
        <f>Cleaned_Data!A698</f>
        <v/>
      </c>
      <c r="B698" s="2">
        <f>Cleaned_Data!B698</f>
        <v/>
      </c>
      <c r="C698" s="2">
        <f>Cleaned_Data!G698</f>
        <v/>
      </c>
      <c r="D698" s="2">
        <f>Cleaned_Data!I698</f>
        <v/>
      </c>
      <c r="E698" s="2">
        <f>Cleaned_Data!H698</f>
        <v/>
      </c>
      <c r="F698" s="2">
        <f>Cleaned_Data!F698</f>
        <v/>
      </c>
      <c r="G698" s="9">
        <f>SUMPRODUCT(($B$2:$B$1196=B698)*($F$2:$F$1196&lt;=F698))/SUMPRODUCT(($B$2:$B$1196=B698)*1)</f>
        <v/>
      </c>
      <c r="H698" s="2">
        <f>Cleaned_Data!J698</f>
        <v/>
      </c>
      <c r="I698" s="2">
        <f>Cleaned_Data!E698</f>
        <v/>
      </c>
      <c r="J698" s="2">
        <f>IF(C698="Yes",1,0)</f>
        <v/>
      </c>
      <c r="K698" s="2">
        <f>MIN(MAX(1-(D698-1)/4,0),1)</f>
        <v/>
      </c>
      <c r="L698" s="2">
        <f>MIN(E698/60,1)</f>
        <v/>
      </c>
      <c r="M698" s="2">
        <f>MIN(MAX(1-G698,0),1)</f>
        <v/>
      </c>
      <c r="N698" s="2">
        <f>MIN(MAX(1-(H698-1)/4,0),1)</f>
        <v/>
      </c>
      <c r="O698" s="2">
        <f>1-MIN(I698/8,1)</f>
        <v/>
      </c>
      <c r="P698" s="10">
        <f>ROUND(100*(J698*Assumptions!$B$6+K698*Assumptions!$B$7+L698*Assumptions!$B$8+M698*Assumptions!$B$9+N698*Assumptions!$B$10+O698*Assumptions!$B$11),1)</f>
        <v/>
      </c>
      <c r="Q698" s="2">
        <f>IF(P698&gt;=Assumptions!$B$14,"High",IF(P698&gt;=Assumptions!$B$15,"Medium","Low"))</f>
        <v/>
      </c>
      <c r="R698" s="2">
        <f>Cleaned_Data!L698</f>
        <v/>
      </c>
    </row>
    <row r="699">
      <c r="A699" s="2">
        <f>Cleaned_Data!A699</f>
        <v/>
      </c>
      <c r="B699" s="2">
        <f>Cleaned_Data!B699</f>
        <v/>
      </c>
      <c r="C699" s="2">
        <f>Cleaned_Data!G699</f>
        <v/>
      </c>
      <c r="D699" s="2">
        <f>Cleaned_Data!I699</f>
        <v/>
      </c>
      <c r="E699" s="2">
        <f>Cleaned_Data!H699</f>
        <v/>
      </c>
      <c r="F699" s="2">
        <f>Cleaned_Data!F699</f>
        <v/>
      </c>
      <c r="G699" s="9">
        <f>SUMPRODUCT(($B$2:$B$1196=B699)*($F$2:$F$1196&lt;=F699))/SUMPRODUCT(($B$2:$B$1196=B699)*1)</f>
        <v/>
      </c>
      <c r="H699" s="2">
        <f>Cleaned_Data!J699</f>
        <v/>
      </c>
      <c r="I699" s="2">
        <f>Cleaned_Data!E699</f>
        <v/>
      </c>
      <c r="J699" s="2">
        <f>IF(C699="Yes",1,0)</f>
        <v/>
      </c>
      <c r="K699" s="2">
        <f>MIN(MAX(1-(D699-1)/4,0),1)</f>
        <v/>
      </c>
      <c r="L699" s="2">
        <f>MIN(E699/60,1)</f>
        <v/>
      </c>
      <c r="M699" s="2">
        <f>MIN(MAX(1-G699,0),1)</f>
        <v/>
      </c>
      <c r="N699" s="2">
        <f>MIN(MAX(1-(H699-1)/4,0),1)</f>
        <v/>
      </c>
      <c r="O699" s="2">
        <f>1-MIN(I699/8,1)</f>
        <v/>
      </c>
      <c r="P699" s="10">
        <f>ROUND(100*(J699*Assumptions!$B$6+K699*Assumptions!$B$7+L699*Assumptions!$B$8+M699*Assumptions!$B$9+N699*Assumptions!$B$10+O699*Assumptions!$B$11),1)</f>
        <v/>
      </c>
      <c r="Q699" s="2">
        <f>IF(P699&gt;=Assumptions!$B$14,"High",IF(P699&gt;=Assumptions!$B$15,"Medium","Low"))</f>
        <v/>
      </c>
      <c r="R699" s="2">
        <f>Cleaned_Data!L699</f>
        <v/>
      </c>
    </row>
    <row r="700">
      <c r="A700" s="2">
        <f>Cleaned_Data!A700</f>
        <v/>
      </c>
      <c r="B700" s="2">
        <f>Cleaned_Data!B700</f>
        <v/>
      </c>
      <c r="C700" s="2">
        <f>Cleaned_Data!G700</f>
        <v/>
      </c>
      <c r="D700" s="2">
        <f>Cleaned_Data!I700</f>
        <v/>
      </c>
      <c r="E700" s="2">
        <f>Cleaned_Data!H700</f>
        <v/>
      </c>
      <c r="F700" s="2">
        <f>Cleaned_Data!F700</f>
        <v/>
      </c>
      <c r="G700" s="9">
        <f>SUMPRODUCT(($B$2:$B$1196=B700)*($F$2:$F$1196&lt;=F700))/SUMPRODUCT(($B$2:$B$1196=B700)*1)</f>
        <v/>
      </c>
      <c r="H700" s="2">
        <f>Cleaned_Data!J700</f>
        <v/>
      </c>
      <c r="I700" s="2">
        <f>Cleaned_Data!E700</f>
        <v/>
      </c>
      <c r="J700" s="2">
        <f>IF(C700="Yes",1,0)</f>
        <v/>
      </c>
      <c r="K700" s="2">
        <f>MIN(MAX(1-(D700-1)/4,0),1)</f>
        <v/>
      </c>
      <c r="L700" s="2">
        <f>MIN(E700/60,1)</f>
        <v/>
      </c>
      <c r="M700" s="2">
        <f>MIN(MAX(1-G700,0),1)</f>
        <v/>
      </c>
      <c r="N700" s="2">
        <f>MIN(MAX(1-(H700-1)/4,0),1)</f>
        <v/>
      </c>
      <c r="O700" s="2">
        <f>1-MIN(I700/8,1)</f>
        <v/>
      </c>
      <c r="P700" s="10">
        <f>ROUND(100*(J700*Assumptions!$B$6+K700*Assumptions!$B$7+L700*Assumptions!$B$8+M700*Assumptions!$B$9+N700*Assumptions!$B$10+O700*Assumptions!$B$11),1)</f>
        <v/>
      </c>
      <c r="Q700" s="2">
        <f>IF(P700&gt;=Assumptions!$B$14,"High",IF(P700&gt;=Assumptions!$B$15,"Medium","Low"))</f>
        <v/>
      </c>
      <c r="R700" s="2">
        <f>Cleaned_Data!L700</f>
        <v/>
      </c>
    </row>
    <row r="701">
      <c r="A701" s="2">
        <f>Cleaned_Data!A701</f>
        <v/>
      </c>
      <c r="B701" s="2">
        <f>Cleaned_Data!B701</f>
        <v/>
      </c>
      <c r="C701" s="2">
        <f>Cleaned_Data!G701</f>
        <v/>
      </c>
      <c r="D701" s="2">
        <f>Cleaned_Data!I701</f>
        <v/>
      </c>
      <c r="E701" s="2">
        <f>Cleaned_Data!H701</f>
        <v/>
      </c>
      <c r="F701" s="2">
        <f>Cleaned_Data!F701</f>
        <v/>
      </c>
      <c r="G701" s="9">
        <f>SUMPRODUCT(($B$2:$B$1196=B701)*($F$2:$F$1196&lt;=F701))/SUMPRODUCT(($B$2:$B$1196=B701)*1)</f>
        <v/>
      </c>
      <c r="H701" s="2">
        <f>Cleaned_Data!J701</f>
        <v/>
      </c>
      <c r="I701" s="2">
        <f>Cleaned_Data!E701</f>
        <v/>
      </c>
      <c r="J701" s="2">
        <f>IF(C701="Yes",1,0)</f>
        <v/>
      </c>
      <c r="K701" s="2">
        <f>MIN(MAX(1-(D701-1)/4,0),1)</f>
        <v/>
      </c>
      <c r="L701" s="2">
        <f>MIN(E701/60,1)</f>
        <v/>
      </c>
      <c r="M701" s="2">
        <f>MIN(MAX(1-G701,0),1)</f>
        <v/>
      </c>
      <c r="N701" s="2">
        <f>MIN(MAX(1-(H701-1)/4,0),1)</f>
        <v/>
      </c>
      <c r="O701" s="2">
        <f>1-MIN(I701/8,1)</f>
        <v/>
      </c>
      <c r="P701" s="10">
        <f>ROUND(100*(J701*Assumptions!$B$6+K701*Assumptions!$B$7+L701*Assumptions!$B$8+M701*Assumptions!$B$9+N701*Assumptions!$B$10+O701*Assumptions!$B$11),1)</f>
        <v/>
      </c>
      <c r="Q701" s="2">
        <f>IF(P701&gt;=Assumptions!$B$14,"High",IF(P701&gt;=Assumptions!$B$15,"Medium","Low"))</f>
        <v/>
      </c>
      <c r="R701" s="2">
        <f>Cleaned_Data!L701</f>
        <v/>
      </c>
    </row>
    <row r="702">
      <c r="A702" s="2">
        <f>Cleaned_Data!A702</f>
        <v/>
      </c>
      <c r="B702" s="2">
        <f>Cleaned_Data!B702</f>
        <v/>
      </c>
      <c r="C702" s="2">
        <f>Cleaned_Data!G702</f>
        <v/>
      </c>
      <c r="D702" s="2">
        <f>Cleaned_Data!I702</f>
        <v/>
      </c>
      <c r="E702" s="2">
        <f>Cleaned_Data!H702</f>
        <v/>
      </c>
      <c r="F702" s="2">
        <f>Cleaned_Data!F702</f>
        <v/>
      </c>
      <c r="G702" s="9">
        <f>SUMPRODUCT(($B$2:$B$1196=B702)*($F$2:$F$1196&lt;=F702))/SUMPRODUCT(($B$2:$B$1196=B702)*1)</f>
        <v/>
      </c>
      <c r="H702" s="2">
        <f>Cleaned_Data!J702</f>
        <v/>
      </c>
      <c r="I702" s="2">
        <f>Cleaned_Data!E702</f>
        <v/>
      </c>
      <c r="J702" s="2">
        <f>IF(C702="Yes",1,0)</f>
        <v/>
      </c>
      <c r="K702" s="2">
        <f>MIN(MAX(1-(D702-1)/4,0),1)</f>
        <v/>
      </c>
      <c r="L702" s="2">
        <f>MIN(E702/60,1)</f>
        <v/>
      </c>
      <c r="M702" s="2">
        <f>MIN(MAX(1-G702,0),1)</f>
        <v/>
      </c>
      <c r="N702" s="2">
        <f>MIN(MAX(1-(H702-1)/4,0),1)</f>
        <v/>
      </c>
      <c r="O702" s="2">
        <f>1-MIN(I702/8,1)</f>
        <v/>
      </c>
      <c r="P702" s="10">
        <f>ROUND(100*(J702*Assumptions!$B$6+K702*Assumptions!$B$7+L702*Assumptions!$B$8+M702*Assumptions!$B$9+N702*Assumptions!$B$10+O702*Assumptions!$B$11),1)</f>
        <v/>
      </c>
      <c r="Q702" s="2">
        <f>IF(P702&gt;=Assumptions!$B$14,"High",IF(P702&gt;=Assumptions!$B$15,"Medium","Low"))</f>
        <v/>
      </c>
      <c r="R702" s="2">
        <f>Cleaned_Data!L702</f>
        <v/>
      </c>
    </row>
    <row r="703">
      <c r="A703" s="2">
        <f>Cleaned_Data!A703</f>
        <v/>
      </c>
      <c r="B703" s="2">
        <f>Cleaned_Data!B703</f>
        <v/>
      </c>
      <c r="C703" s="2">
        <f>Cleaned_Data!G703</f>
        <v/>
      </c>
      <c r="D703" s="2">
        <f>Cleaned_Data!I703</f>
        <v/>
      </c>
      <c r="E703" s="2">
        <f>Cleaned_Data!H703</f>
        <v/>
      </c>
      <c r="F703" s="2">
        <f>Cleaned_Data!F703</f>
        <v/>
      </c>
      <c r="G703" s="9">
        <f>SUMPRODUCT(($B$2:$B$1196=B703)*($F$2:$F$1196&lt;=F703))/SUMPRODUCT(($B$2:$B$1196=B703)*1)</f>
        <v/>
      </c>
      <c r="H703" s="2">
        <f>Cleaned_Data!J703</f>
        <v/>
      </c>
      <c r="I703" s="2">
        <f>Cleaned_Data!E703</f>
        <v/>
      </c>
      <c r="J703" s="2">
        <f>IF(C703="Yes",1,0)</f>
        <v/>
      </c>
      <c r="K703" s="2">
        <f>MIN(MAX(1-(D703-1)/4,0),1)</f>
        <v/>
      </c>
      <c r="L703" s="2">
        <f>MIN(E703/60,1)</f>
        <v/>
      </c>
      <c r="M703" s="2">
        <f>MIN(MAX(1-G703,0),1)</f>
        <v/>
      </c>
      <c r="N703" s="2">
        <f>MIN(MAX(1-(H703-1)/4,0),1)</f>
        <v/>
      </c>
      <c r="O703" s="2">
        <f>1-MIN(I703/8,1)</f>
        <v/>
      </c>
      <c r="P703" s="10">
        <f>ROUND(100*(J703*Assumptions!$B$6+K703*Assumptions!$B$7+L703*Assumptions!$B$8+M703*Assumptions!$B$9+N703*Assumptions!$B$10+O703*Assumptions!$B$11),1)</f>
        <v/>
      </c>
      <c r="Q703" s="2">
        <f>IF(P703&gt;=Assumptions!$B$14,"High",IF(P703&gt;=Assumptions!$B$15,"Medium","Low"))</f>
        <v/>
      </c>
      <c r="R703" s="2">
        <f>Cleaned_Data!L703</f>
        <v/>
      </c>
    </row>
    <row r="704">
      <c r="A704" s="2">
        <f>Cleaned_Data!A704</f>
        <v/>
      </c>
      <c r="B704" s="2">
        <f>Cleaned_Data!B704</f>
        <v/>
      </c>
      <c r="C704" s="2">
        <f>Cleaned_Data!G704</f>
        <v/>
      </c>
      <c r="D704" s="2">
        <f>Cleaned_Data!I704</f>
        <v/>
      </c>
      <c r="E704" s="2">
        <f>Cleaned_Data!H704</f>
        <v/>
      </c>
      <c r="F704" s="2">
        <f>Cleaned_Data!F704</f>
        <v/>
      </c>
      <c r="G704" s="9">
        <f>SUMPRODUCT(($B$2:$B$1196=B704)*($F$2:$F$1196&lt;=F704))/SUMPRODUCT(($B$2:$B$1196=B704)*1)</f>
        <v/>
      </c>
      <c r="H704" s="2">
        <f>Cleaned_Data!J704</f>
        <v/>
      </c>
      <c r="I704" s="2">
        <f>Cleaned_Data!E704</f>
        <v/>
      </c>
      <c r="J704" s="2">
        <f>IF(C704="Yes",1,0)</f>
        <v/>
      </c>
      <c r="K704" s="2">
        <f>MIN(MAX(1-(D704-1)/4,0),1)</f>
        <v/>
      </c>
      <c r="L704" s="2">
        <f>MIN(E704/60,1)</f>
        <v/>
      </c>
      <c r="M704" s="2">
        <f>MIN(MAX(1-G704,0),1)</f>
        <v/>
      </c>
      <c r="N704" s="2">
        <f>MIN(MAX(1-(H704-1)/4,0),1)</f>
        <v/>
      </c>
      <c r="O704" s="2">
        <f>1-MIN(I704/8,1)</f>
        <v/>
      </c>
      <c r="P704" s="10">
        <f>ROUND(100*(J704*Assumptions!$B$6+K704*Assumptions!$B$7+L704*Assumptions!$B$8+M704*Assumptions!$B$9+N704*Assumptions!$B$10+O704*Assumptions!$B$11),1)</f>
        <v/>
      </c>
      <c r="Q704" s="2">
        <f>IF(P704&gt;=Assumptions!$B$14,"High",IF(P704&gt;=Assumptions!$B$15,"Medium","Low"))</f>
        <v/>
      </c>
      <c r="R704" s="2">
        <f>Cleaned_Data!L704</f>
        <v/>
      </c>
    </row>
    <row r="705">
      <c r="A705" s="2">
        <f>Cleaned_Data!A705</f>
        <v/>
      </c>
      <c r="B705" s="2">
        <f>Cleaned_Data!B705</f>
        <v/>
      </c>
      <c r="C705" s="2">
        <f>Cleaned_Data!G705</f>
        <v/>
      </c>
      <c r="D705" s="2">
        <f>Cleaned_Data!I705</f>
        <v/>
      </c>
      <c r="E705" s="2">
        <f>Cleaned_Data!H705</f>
        <v/>
      </c>
      <c r="F705" s="2">
        <f>Cleaned_Data!F705</f>
        <v/>
      </c>
      <c r="G705" s="9">
        <f>SUMPRODUCT(($B$2:$B$1196=B705)*($F$2:$F$1196&lt;=F705))/SUMPRODUCT(($B$2:$B$1196=B705)*1)</f>
        <v/>
      </c>
      <c r="H705" s="2">
        <f>Cleaned_Data!J705</f>
        <v/>
      </c>
      <c r="I705" s="2">
        <f>Cleaned_Data!E705</f>
        <v/>
      </c>
      <c r="J705" s="2">
        <f>IF(C705="Yes",1,0)</f>
        <v/>
      </c>
      <c r="K705" s="2">
        <f>MIN(MAX(1-(D705-1)/4,0),1)</f>
        <v/>
      </c>
      <c r="L705" s="2">
        <f>MIN(E705/60,1)</f>
        <v/>
      </c>
      <c r="M705" s="2">
        <f>MIN(MAX(1-G705,0),1)</f>
        <v/>
      </c>
      <c r="N705" s="2">
        <f>MIN(MAX(1-(H705-1)/4,0),1)</f>
        <v/>
      </c>
      <c r="O705" s="2">
        <f>1-MIN(I705/8,1)</f>
        <v/>
      </c>
      <c r="P705" s="10">
        <f>ROUND(100*(J705*Assumptions!$B$6+K705*Assumptions!$B$7+L705*Assumptions!$B$8+M705*Assumptions!$B$9+N705*Assumptions!$B$10+O705*Assumptions!$B$11),1)</f>
        <v/>
      </c>
      <c r="Q705" s="2">
        <f>IF(P705&gt;=Assumptions!$B$14,"High",IF(P705&gt;=Assumptions!$B$15,"Medium","Low"))</f>
        <v/>
      </c>
      <c r="R705" s="2">
        <f>Cleaned_Data!L705</f>
        <v/>
      </c>
    </row>
    <row r="706">
      <c r="A706" s="2">
        <f>Cleaned_Data!A706</f>
        <v/>
      </c>
      <c r="B706" s="2">
        <f>Cleaned_Data!B706</f>
        <v/>
      </c>
      <c r="C706" s="2">
        <f>Cleaned_Data!G706</f>
        <v/>
      </c>
      <c r="D706" s="2">
        <f>Cleaned_Data!I706</f>
        <v/>
      </c>
      <c r="E706" s="2">
        <f>Cleaned_Data!H706</f>
        <v/>
      </c>
      <c r="F706" s="2">
        <f>Cleaned_Data!F706</f>
        <v/>
      </c>
      <c r="G706" s="9">
        <f>SUMPRODUCT(($B$2:$B$1196=B706)*($F$2:$F$1196&lt;=F706))/SUMPRODUCT(($B$2:$B$1196=B706)*1)</f>
        <v/>
      </c>
      <c r="H706" s="2">
        <f>Cleaned_Data!J706</f>
        <v/>
      </c>
      <c r="I706" s="2">
        <f>Cleaned_Data!E706</f>
        <v/>
      </c>
      <c r="J706" s="2">
        <f>IF(C706="Yes",1,0)</f>
        <v/>
      </c>
      <c r="K706" s="2">
        <f>MIN(MAX(1-(D706-1)/4,0),1)</f>
        <v/>
      </c>
      <c r="L706" s="2">
        <f>MIN(E706/60,1)</f>
        <v/>
      </c>
      <c r="M706" s="2">
        <f>MIN(MAX(1-G706,0),1)</f>
        <v/>
      </c>
      <c r="N706" s="2">
        <f>MIN(MAX(1-(H706-1)/4,0),1)</f>
        <v/>
      </c>
      <c r="O706" s="2">
        <f>1-MIN(I706/8,1)</f>
        <v/>
      </c>
      <c r="P706" s="10">
        <f>ROUND(100*(J706*Assumptions!$B$6+K706*Assumptions!$B$7+L706*Assumptions!$B$8+M706*Assumptions!$B$9+N706*Assumptions!$B$10+O706*Assumptions!$B$11),1)</f>
        <v/>
      </c>
      <c r="Q706" s="2">
        <f>IF(P706&gt;=Assumptions!$B$14,"High",IF(P706&gt;=Assumptions!$B$15,"Medium","Low"))</f>
        <v/>
      </c>
      <c r="R706" s="2">
        <f>Cleaned_Data!L706</f>
        <v/>
      </c>
    </row>
    <row r="707">
      <c r="A707" s="2">
        <f>Cleaned_Data!A707</f>
        <v/>
      </c>
      <c r="B707" s="2">
        <f>Cleaned_Data!B707</f>
        <v/>
      </c>
      <c r="C707" s="2">
        <f>Cleaned_Data!G707</f>
        <v/>
      </c>
      <c r="D707" s="2">
        <f>Cleaned_Data!I707</f>
        <v/>
      </c>
      <c r="E707" s="2">
        <f>Cleaned_Data!H707</f>
        <v/>
      </c>
      <c r="F707" s="2">
        <f>Cleaned_Data!F707</f>
        <v/>
      </c>
      <c r="G707" s="9">
        <f>SUMPRODUCT(($B$2:$B$1196=B707)*($F$2:$F$1196&lt;=F707))/SUMPRODUCT(($B$2:$B$1196=B707)*1)</f>
        <v/>
      </c>
      <c r="H707" s="2">
        <f>Cleaned_Data!J707</f>
        <v/>
      </c>
      <c r="I707" s="2">
        <f>Cleaned_Data!E707</f>
        <v/>
      </c>
      <c r="J707" s="2">
        <f>IF(C707="Yes",1,0)</f>
        <v/>
      </c>
      <c r="K707" s="2">
        <f>MIN(MAX(1-(D707-1)/4,0),1)</f>
        <v/>
      </c>
      <c r="L707" s="2">
        <f>MIN(E707/60,1)</f>
        <v/>
      </c>
      <c r="M707" s="2">
        <f>MIN(MAX(1-G707,0),1)</f>
        <v/>
      </c>
      <c r="N707" s="2">
        <f>MIN(MAX(1-(H707-1)/4,0),1)</f>
        <v/>
      </c>
      <c r="O707" s="2">
        <f>1-MIN(I707/8,1)</f>
        <v/>
      </c>
      <c r="P707" s="10">
        <f>ROUND(100*(J707*Assumptions!$B$6+K707*Assumptions!$B$7+L707*Assumptions!$B$8+M707*Assumptions!$B$9+N707*Assumptions!$B$10+O707*Assumptions!$B$11),1)</f>
        <v/>
      </c>
      <c r="Q707" s="2">
        <f>IF(P707&gt;=Assumptions!$B$14,"High",IF(P707&gt;=Assumptions!$B$15,"Medium","Low"))</f>
        <v/>
      </c>
      <c r="R707" s="2">
        <f>Cleaned_Data!L707</f>
        <v/>
      </c>
    </row>
    <row r="708">
      <c r="A708" s="2">
        <f>Cleaned_Data!A708</f>
        <v/>
      </c>
      <c r="B708" s="2">
        <f>Cleaned_Data!B708</f>
        <v/>
      </c>
      <c r="C708" s="2">
        <f>Cleaned_Data!G708</f>
        <v/>
      </c>
      <c r="D708" s="2">
        <f>Cleaned_Data!I708</f>
        <v/>
      </c>
      <c r="E708" s="2">
        <f>Cleaned_Data!H708</f>
        <v/>
      </c>
      <c r="F708" s="2">
        <f>Cleaned_Data!F708</f>
        <v/>
      </c>
      <c r="G708" s="9">
        <f>SUMPRODUCT(($B$2:$B$1196=B708)*($F$2:$F$1196&lt;=F708))/SUMPRODUCT(($B$2:$B$1196=B708)*1)</f>
        <v/>
      </c>
      <c r="H708" s="2">
        <f>Cleaned_Data!J708</f>
        <v/>
      </c>
      <c r="I708" s="2">
        <f>Cleaned_Data!E708</f>
        <v/>
      </c>
      <c r="J708" s="2">
        <f>IF(C708="Yes",1,0)</f>
        <v/>
      </c>
      <c r="K708" s="2">
        <f>MIN(MAX(1-(D708-1)/4,0),1)</f>
        <v/>
      </c>
      <c r="L708" s="2">
        <f>MIN(E708/60,1)</f>
        <v/>
      </c>
      <c r="M708" s="2">
        <f>MIN(MAX(1-G708,0),1)</f>
        <v/>
      </c>
      <c r="N708" s="2">
        <f>MIN(MAX(1-(H708-1)/4,0),1)</f>
        <v/>
      </c>
      <c r="O708" s="2">
        <f>1-MIN(I708/8,1)</f>
        <v/>
      </c>
      <c r="P708" s="10">
        <f>ROUND(100*(J708*Assumptions!$B$6+K708*Assumptions!$B$7+L708*Assumptions!$B$8+M708*Assumptions!$B$9+N708*Assumptions!$B$10+O708*Assumptions!$B$11),1)</f>
        <v/>
      </c>
      <c r="Q708" s="2">
        <f>IF(P708&gt;=Assumptions!$B$14,"High",IF(P708&gt;=Assumptions!$B$15,"Medium","Low"))</f>
        <v/>
      </c>
      <c r="R708" s="2">
        <f>Cleaned_Data!L708</f>
        <v/>
      </c>
    </row>
    <row r="709">
      <c r="A709" s="2">
        <f>Cleaned_Data!A709</f>
        <v/>
      </c>
      <c r="B709" s="2">
        <f>Cleaned_Data!B709</f>
        <v/>
      </c>
      <c r="C709" s="2">
        <f>Cleaned_Data!G709</f>
        <v/>
      </c>
      <c r="D709" s="2">
        <f>Cleaned_Data!I709</f>
        <v/>
      </c>
      <c r="E709" s="2">
        <f>Cleaned_Data!H709</f>
        <v/>
      </c>
      <c r="F709" s="2">
        <f>Cleaned_Data!F709</f>
        <v/>
      </c>
      <c r="G709" s="9">
        <f>SUMPRODUCT(($B$2:$B$1196=B709)*($F$2:$F$1196&lt;=F709))/SUMPRODUCT(($B$2:$B$1196=B709)*1)</f>
        <v/>
      </c>
      <c r="H709" s="2">
        <f>Cleaned_Data!J709</f>
        <v/>
      </c>
      <c r="I709" s="2">
        <f>Cleaned_Data!E709</f>
        <v/>
      </c>
      <c r="J709" s="2">
        <f>IF(C709="Yes",1,0)</f>
        <v/>
      </c>
      <c r="K709" s="2">
        <f>MIN(MAX(1-(D709-1)/4,0),1)</f>
        <v/>
      </c>
      <c r="L709" s="2">
        <f>MIN(E709/60,1)</f>
        <v/>
      </c>
      <c r="M709" s="2">
        <f>MIN(MAX(1-G709,0),1)</f>
        <v/>
      </c>
      <c r="N709" s="2">
        <f>MIN(MAX(1-(H709-1)/4,0),1)</f>
        <v/>
      </c>
      <c r="O709" s="2">
        <f>1-MIN(I709/8,1)</f>
        <v/>
      </c>
      <c r="P709" s="10">
        <f>ROUND(100*(J709*Assumptions!$B$6+K709*Assumptions!$B$7+L709*Assumptions!$B$8+M709*Assumptions!$B$9+N709*Assumptions!$B$10+O709*Assumptions!$B$11),1)</f>
        <v/>
      </c>
      <c r="Q709" s="2">
        <f>IF(P709&gt;=Assumptions!$B$14,"High",IF(P709&gt;=Assumptions!$B$15,"Medium","Low"))</f>
        <v/>
      </c>
      <c r="R709" s="2">
        <f>Cleaned_Data!L709</f>
        <v/>
      </c>
    </row>
    <row r="710">
      <c r="A710" s="2">
        <f>Cleaned_Data!A710</f>
        <v/>
      </c>
      <c r="B710" s="2">
        <f>Cleaned_Data!B710</f>
        <v/>
      </c>
      <c r="C710" s="2">
        <f>Cleaned_Data!G710</f>
        <v/>
      </c>
      <c r="D710" s="2">
        <f>Cleaned_Data!I710</f>
        <v/>
      </c>
      <c r="E710" s="2">
        <f>Cleaned_Data!H710</f>
        <v/>
      </c>
      <c r="F710" s="2">
        <f>Cleaned_Data!F710</f>
        <v/>
      </c>
      <c r="G710" s="9">
        <f>SUMPRODUCT(($B$2:$B$1196=B710)*($F$2:$F$1196&lt;=F710))/SUMPRODUCT(($B$2:$B$1196=B710)*1)</f>
        <v/>
      </c>
      <c r="H710" s="2">
        <f>Cleaned_Data!J710</f>
        <v/>
      </c>
      <c r="I710" s="2">
        <f>Cleaned_Data!E710</f>
        <v/>
      </c>
      <c r="J710" s="2">
        <f>IF(C710="Yes",1,0)</f>
        <v/>
      </c>
      <c r="K710" s="2">
        <f>MIN(MAX(1-(D710-1)/4,0),1)</f>
        <v/>
      </c>
      <c r="L710" s="2">
        <f>MIN(E710/60,1)</f>
        <v/>
      </c>
      <c r="M710" s="2">
        <f>MIN(MAX(1-G710,0),1)</f>
        <v/>
      </c>
      <c r="N710" s="2">
        <f>MIN(MAX(1-(H710-1)/4,0),1)</f>
        <v/>
      </c>
      <c r="O710" s="2">
        <f>1-MIN(I710/8,1)</f>
        <v/>
      </c>
      <c r="P710" s="10">
        <f>ROUND(100*(J710*Assumptions!$B$6+K710*Assumptions!$B$7+L710*Assumptions!$B$8+M710*Assumptions!$B$9+N710*Assumptions!$B$10+O710*Assumptions!$B$11),1)</f>
        <v/>
      </c>
      <c r="Q710" s="2">
        <f>IF(P710&gt;=Assumptions!$B$14,"High",IF(P710&gt;=Assumptions!$B$15,"Medium","Low"))</f>
        <v/>
      </c>
      <c r="R710" s="2">
        <f>Cleaned_Data!L710</f>
        <v/>
      </c>
    </row>
    <row r="711">
      <c r="A711" s="2">
        <f>Cleaned_Data!A711</f>
        <v/>
      </c>
      <c r="B711" s="2">
        <f>Cleaned_Data!B711</f>
        <v/>
      </c>
      <c r="C711" s="2">
        <f>Cleaned_Data!G711</f>
        <v/>
      </c>
      <c r="D711" s="2">
        <f>Cleaned_Data!I711</f>
        <v/>
      </c>
      <c r="E711" s="2">
        <f>Cleaned_Data!H711</f>
        <v/>
      </c>
      <c r="F711" s="2">
        <f>Cleaned_Data!F711</f>
        <v/>
      </c>
      <c r="G711" s="9">
        <f>SUMPRODUCT(($B$2:$B$1196=B711)*($F$2:$F$1196&lt;=F711))/SUMPRODUCT(($B$2:$B$1196=B711)*1)</f>
        <v/>
      </c>
      <c r="H711" s="2">
        <f>Cleaned_Data!J711</f>
        <v/>
      </c>
      <c r="I711" s="2">
        <f>Cleaned_Data!E711</f>
        <v/>
      </c>
      <c r="J711" s="2">
        <f>IF(C711="Yes",1,0)</f>
        <v/>
      </c>
      <c r="K711" s="2">
        <f>MIN(MAX(1-(D711-1)/4,0),1)</f>
        <v/>
      </c>
      <c r="L711" s="2">
        <f>MIN(E711/60,1)</f>
        <v/>
      </c>
      <c r="M711" s="2">
        <f>MIN(MAX(1-G711,0),1)</f>
        <v/>
      </c>
      <c r="N711" s="2">
        <f>MIN(MAX(1-(H711-1)/4,0),1)</f>
        <v/>
      </c>
      <c r="O711" s="2">
        <f>1-MIN(I711/8,1)</f>
        <v/>
      </c>
      <c r="P711" s="10">
        <f>ROUND(100*(J711*Assumptions!$B$6+K711*Assumptions!$B$7+L711*Assumptions!$B$8+M711*Assumptions!$B$9+N711*Assumptions!$B$10+O711*Assumptions!$B$11),1)</f>
        <v/>
      </c>
      <c r="Q711" s="2">
        <f>IF(P711&gt;=Assumptions!$B$14,"High",IF(P711&gt;=Assumptions!$B$15,"Medium","Low"))</f>
        <v/>
      </c>
      <c r="R711" s="2">
        <f>Cleaned_Data!L711</f>
        <v/>
      </c>
    </row>
    <row r="712">
      <c r="A712" s="2">
        <f>Cleaned_Data!A712</f>
        <v/>
      </c>
      <c r="B712" s="2">
        <f>Cleaned_Data!B712</f>
        <v/>
      </c>
      <c r="C712" s="2">
        <f>Cleaned_Data!G712</f>
        <v/>
      </c>
      <c r="D712" s="2">
        <f>Cleaned_Data!I712</f>
        <v/>
      </c>
      <c r="E712" s="2">
        <f>Cleaned_Data!H712</f>
        <v/>
      </c>
      <c r="F712" s="2">
        <f>Cleaned_Data!F712</f>
        <v/>
      </c>
      <c r="G712" s="9">
        <f>SUMPRODUCT(($B$2:$B$1196=B712)*($F$2:$F$1196&lt;=F712))/SUMPRODUCT(($B$2:$B$1196=B712)*1)</f>
        <v/>
      </c>
      <c r="H712" s="2">
        <f>Cleaned_Data!J712</f>
        <v/>
      </c>
      <c r="I712" s="2">
        <f>Cleaned_Data!E712</f>
        <v/>
      </c>
      <c r="J712" s="2">
        <f>IF(C712="Yes",1,0)</f>
        <v/>
      </c>
      <c r="K712" s="2">
        <f>MIN(MAX(1-(D712-1)/4,0),1)</f>
        <v/>
      </c>
      <c r="L712" s="2">
        <f>MIN(E712/60,1)</f>
        <v/>
      </c>
      <c r="M712" s="2">
        <f>MIN(MAX(1-G712,0),1)</f>
        <v/>
      </c>
      <c r="N712" s="2">
        <f>MIN(MAX(1-(H712-1)/4,0),1)</f>
        <v/>
      </c>
      <c r="O712" s="2">
        <f>1-MIN(I712/8,1)</f>
        <v/>
      </c>
      <c r="P712" s="10">
        <f>ROUND(100*(J712*Assumptions!$B$6+K712*Assumptions!$B$7+L712*Assumptions!$B$8+M712*Assumptions!$B$9+N712*Assumptions!$B$10+O712*Assumptions!$B$11),1)</f>
        <v/>
      </c>
      <c r="Q712" s="2">
        <f>IF(P712&gt;=Assumptions!$B$14,"High",IF(P712&gt;=Assumptions!$B$15,"Medium","Low"))</f>
        <v/>
      </c>
      <c r="R712" s="2">
        <f>Cleaned_Data!L712</f>
        <v/>
      </c>
    </row>
    <row r="713">
      <c r="A713" s="2">
        <f>Cleaned_Data!A713</f>
        <v/>
      </c>
      <c r="B713" s="2">
        <f>Cleaned_Data!B713</f>
        <v/>
      </c>
      <c r="C713" s="2">
        <f>Cleaned_Data!G713</f>
        <v/>
      </c>
      <c r="D713" s="2">
        <f>Cleaned_Data!I713</f>
        <v/>
      </c>
      <c r="E713" s="2">
        <f>Cleaned_Data!H713</f>
        <v/>
      </c>
      <c r="F713" s="2">
        <f>Cleaned_Data!F713</f>
        <v/>
      </c>
      <c r="G713" s="9">
        <f>SUMPRODUCT(($B$2:$B$1196=B713)*($F$2:$F$1196&lt;=F713))/SUMPRODUCT(($B$2:$B$1196=B713)*1)</f>
        <v/>
      </c>
      <c r="H713" s="2">
        <f>Cleaned_Data!J713</f>
        <v/>
      </c>
      <c r="I713" s="2">
        <f>Cleaned_Data!E713</f>
        <v/>
      </c>
      <c r="J713" s="2">
        <f>IF(C713="Yes",1,0)</f>
        <v/>
      </c>
      <c r="K713" s="2">
        <f>MIN(MAX(1-(D713-1)/4,0),1)</f>
        <v/>
      </c>
      <c r="L713" s="2">
        <f>MIN(E713/60,1)</f>
        <v/>
      </c>
      <c r="M713" s="2">
        <f>MIN(MAX(1-G713,0),1)</f>
        <v/>
      </c>
      <c r="N713" s="2">
        <f>MIN(MAX(1-(H713-1)/4,0),1)</f>
        <v/>
      </c>
      <c r="O713" s="2">
        <f>1-MIN(I713/8,1)</f>
        <v/>
      </c>
      <c r="P713" s="10">
        <f>ROUND(100*(J713*Assumptions!$B$6+K713*Assumptions!$B$7+L713*Assumptions!$B$8+M713*Assumptions!$B$9+N713*Assumptions!$B$10+O713*Assumptions!$B$11),1)</f>
        <v/>
      </c>
      <c r="Q713" s="2">
        <f>IF(P713&gt;=Assumptions!$B$14,"High",IF(P713&gt;=Assumptions!$B$15,"Medium","Low"))</f>
        <v/>
      </c>
      <c r="R713" s="2">
        <f>Cleaned_Data!L713</f>
        <v/>
      </c>
    </row>
    <row r="714">
      <c r="A714" s="2">
        <f>Cleaned_Data!A714</f>
        <v/>
      </c>
      <c r="B714" s="2">
        <f>Cleaned_Data!B714</f>
        <v/>
      </c>
      <c r="C714" s="2">
        <f>Cleaned_Data!G714</f>
        <v/>
      </c>
      <c r="D714" s="2">
        <f>Cleaned_Data!I714</f>
        <v/>
      </c>
      <c r="E714" s="2">
        <f>Cleaned_Data!H714</f>
        <v/>
      </c>
      <c r="F714" s="2">
        <f>Cleaned_Data!F714</f>
        <v/>
      </c>
      <c r="G714" s="9">
        <f>SUMPRODUCT(($B$2:$B$1196=B714)*($F$2:$F$1196&lt;=F714))/SUMPRODUCT(($B$2:$B$1196=B714)*1)</f>
        <v/>
      </c>
      <c r="H714" s="2">
        <f>Cleaned_Data!J714</f>
        <v/>
      </c>
      <c r="I714" s="2">
        <f>Cleaned_Data!E714</f>
        <v/>
      </c>
      <c r="J714" s="2">
        <f>IF(C714="Yes",1,0)</f>
        <v/>
      </c>
      <c r="K714" s="2">
        <f>MIN(MAX(1-(D714-1)/4,0),1)</f>
        <v/>
      </c>
      <c r="L714" s="2">
        <f>MIN(E714/60,1)</f>
        <v/>
      </c>
      <c r="M714" s="2">
        <f>MIN(MAX(1-G714,0),1)</f>
        <v/>
      </c>
      <c r="N714" s="2">
        <f>MIN(MAX(1-(H714-1)/4,0),1)</f>
        <v/>
      </c>
      <c r="O714" s="2">
        <f>1-MIN(I714/8,1)</f>
        <v/>
      </c>
      <c r="P714" s="10">
        <f>ROUND(100*(J714*Assumptions!$B$6+K714*Assumptions!$B$7+L714*Assumptions!$B$8+M714*Assumptions!$B$9+N714*Assumptions!$B$10+O714*Assumptions!$B$11),1)</f>
        <v/>
      </c>
      <c r="Q714" s="2">
        <f>IF(P714&gt;=Assumptions!$B$14,"High",IF(P714&gt;=Assumptions!$B$15,"Medium","Low"))</f>
        <v/>
      </c>
      <c r="R714" s="2">
        <f>Cleaned_Data!L714</f>
        <v/>
      </c>
    </row>
    <row r="715">
      <c r="A715" s="2">
        <f>Cleaned_Data!A715</f>
        <v/>
      </c>
      <c r="B715" s="2">
        <f>Cleaned_Data!B715</f>
        <v/>
      </c>
      <c r="C715" s="2">
        <f>Cleaned_Data!G715</f>
        <v/>
      </c>
      <c r="D715" s="2">
        <f>Cleaned_Data!I715</f>
        <v/>
      </c>
      <c r="E715" s="2">
        <f>Cleaned_Data!H715</f>
        <v/>
      </c>
      <c r="F715" s="2">
        <f>Cleaned_Data!F715</f>
        <v/>
      </c>
      <c r="G715" s="9">
        <f>SUMPRODUCT(($B$2:$B$1196=B715)*($F$2:$F$1196&lt;=F715))/SUMPRODUCT(($B$2:$B$1196=B715)*1)</f>
        <v/>
      </c>
      <c r="H715" s="2">
        <f>Cleaned_Data!J715</f>
        <v/>
      </c>
      <c r="I715" s="2">
        <f>Cleaned_Data!E715</f>
        <v/>
      </c>
      <c r="J715" s="2">
        <f>IF(C715="Yes",1,0)</f>
        <v/>
      </c>
      <c r="K715" s="2">
        <f>MIN(MAX(1-(D715-1)/4,0),1)</f>
        <v/>
      </c>
      <c r="L715" s="2">
        <f>MIN(E715/60,1)</f>
        <v/>
      </c>
      <c r="M715" s="2">
        <f>MIN(MAX(1-G715,0),1)</f>
        <v/>
      </c>
      <c r="N715" s="2">
        <f>MIN(MAX(1-(H715-1)/4,0),1)</f>
        <v/>
      </c>
      <c r="O715" s="2">
        <f>1-MIN(I715/8,1)</f>
        <v/>
      </c>
      <c r="P715" s="10">
        <f>ROUND(100*(J715*Assumptions!$B$6+K715*Assumptions!$B$7+L715*Assumptions!$B$8+M715*Assumptions!$B$9+N715*Assumptions!$B$10+O715*Assumptions!$B$11),1)</f>
        <v/>
      </c>
      <c r="Q715" s="2">
        <f>IF(P715&gt;=Assumptions!$B$14,"High",IF(P715&gt;=Assumptions!$B$15,"Medium","Low"))</f>
        <v/>
      </c>
      <c r="R715" s="2">
        <f>Cleaned_Data!L715</f>
        <v/>
      </c>
    </row>
    <row r="716">
      <c r="A716" s="2">
        <f>Cleaned_Data!A716</f>
        <v/>
      </c>
      <c r="B716" s="2">
        <f>Cleaned_Data!B716</f>
        <v/>
      </c>
      <c r="C716" s="2">
        <f>Cleaned_Data!G716</f>
        <v/>
      </c>
      <c r="D716" s="2">
        <f>Cleaned_Data!I716</f>
        <v/>
      </c>
      <c r="E716" s="2">
        <f>Cleaned_Data!H716</f>
        <v/>
      </c>
      <c r="F716" s="2">
        <f>Cleaned_Data!F716</f>
        <v/>
      </c>
      <c r="G716" s="9">
        <f>SUMPRODUCT(($B$2:$B$1196=B716)*($F$2:$F$1196&lt;=F716))/SUMPRODUCT(($B$2:$B$1196=B716)*1)</f>
        <v/>
      </c>
      <c r="H716" s="2">
        <f>Cleaned_Data!J716</f>
        <v/>
      </c>
      <c r="I716" s="2">
        <f>Cleaned_Data!E716</f>
        <v/>
      </c>
      <c r="J716" s="2">
        <f>IF(C716="Yes",1,0)</f>
        <v/>
      </c>
      <c r="K716" s="2">
        <f>MIN(MAX(1-(D716-1)/4,0),1)</f>
        <v/>
      </c>
      <c r="L716" s="2">
        <f>MIN(E716/60,1)</f>
        <v/>
      </c>
      <c r="M716" s="2">
        <f>MIN(MAX(1-G716,0),1)</f>
        <v/>
      </c>
      <c r="N716" s="2">
        <f>MIN(MAX(1-(H716-1)/4,0),1)</f>
        <v/>
      </c>
      <c r="O716" s="2">
        <f>1-MIN(I716/8,1)</f>
        <v/>
      </c>
      <c r="P716" s="10">
        <f>ROUND(100*(J716*Assumptions!$B$6+K716*Assumptions!$B$7+L716*Assumptions!$B$8+M716*Assumptions!$B$9+N716*Assumptions!$B$10+O716*Assumptions!$B$11),1)</f>
        <v/>
      </c>
      <c r="Q716" s="2">
        <f>IF(P716&gt;=Assumptions!$B$14,"High",IF(P716&gt;=Assumptions!$B$15,"Medium","Low"))</f>
        <v/>
      </c>
      <c r="R716" s="2">
        <f>Cleaned_Data!L716</f>
        <v/>
      </c>
    </row>
    <row r="717">
      <c r="A717" s="2">
        <f>Cleaned_Data!A717</f>
        <v/>
      </c>
      <c r="B717" s="2">
        <f>Cleaned_Data!B717</f>
        <v/>
      </c>
      <c r="C717" s="2">
        <f>Cleaned_Data!G717</f>
        <v/>
      </c>
      <c r="D717" s="2">
        <f>Cleaned_Data!I717</f>
        <v/>
      </c>
      <c r="E717" s="2">
        <f>Cleaned_Data!H717</f>
        <v/>
      </c>
      <c r="F717" s="2">
        <f>Cleaned_Data!F717</f>
        <v/>
      </c>
      <c r="G717" s="9">
        <f>SUMPRODUCT(($B$2:$B$1196=B717)*($F$2:$F$1196&lt;=F717))/SUMPRODUCT(($B$2:$B$1196=B717)*1)</f>
        <v/>
      </c>
      <c r="H717" s="2">
        <f>Cleaned_Data!J717</f>
        <v/>
      </c>
      <c r="I717" s="2">
        <f>Cleaned_Data!E717</f>
        <v/>
      </c>
      <c r="J717" s="2">
        <f>IF(C717="Yes",1,0)</f>
        <v/>
      </c>
      <c r="K717" s="2">
        <f>MIN(MAX(1-(D717-1)/4,0),1)</f>
        <v/>
      </c>
      <c r="L717" s="2">
        <f>MIN(E717/60,1)</f>
        <v/>
      </c>
      <c r="M717" s="2">
        <f>MIN(MAX(1-G717,0),1)</f>
        <v/>
      </c>
      <c r="N717" s="2">
        <f>MIN(MAX(1-(H717-1)/4,0),1)</f>
        <v/>
      </c>
      <c r="O717" s="2">
        <f>1-MIN(I717/8,1)</f>
        <v/>
      </c>
      <c r="P717" s="10">
        <f>ROUND(100*(J717*Assumptions!$B$6+K717*Assumptions!$B$7+L717*Assumptions!$B$8+M717*Assumptions!$B$9+N717*Assumptions!$B$10+O717*Assumptions!$B$11),1)</f>
        <v/>
      </c>
      <c r="Q717" s="2">
        <f>IF(P717&gt;=Assumptions!$B$14,"High",IF(P717&gt;=Assumptions!$B$15,"Medium","Low"))</f>
        <v/>
      </c>
      <c r="R717" s="2">
        <f>Cleaned_Data!L717</f>
        <v/>
      </c>
    </row>
    <row r="718">
      <c r="A718" s="2">
        <f>Cleaned_Data!A718</f>
        <v/>
      </c>
      <c r="B718" s="2">
        <f>Cleaned_Data!B718</f>
        <v/>
      </c>
      <c r="C718" s="2">
        <f>Cleaned_Data!G718</f>
        <v/>
      </c>
      <c r="D718" s="2">
        <f>Cleaned_Data!I718</f>
        <v/>
      </c>
      <c r="E718" s="2">
        <f>Cleaned_Data!H718</f>
        <v/>
      </c>
      <c r="F718" s="2">
        <f>Cleaned_Data!F718</f>
        <v/>
      </c>
      <c r="G718" s="9">
        <f>SUMPRODUCT(($B$2:$B$1196=B718)*($F$2:$F$1196&lt;=F718))/SUMPRODUCT(($B$2:$B$1196=B718)*1)</f>
        <v/>
      </c>
      <c r="H718" s="2">
        <f>Cleaned_Data!J718</f>
        <v/>
      </c>
      <c r="I718" s="2">
        <f>Cleaned_Data!E718</f>
        <v/>
      </c>
      <c r="J718" s="2">
        <f>IF(C718="Yes",1,0)</f>
        <v/>
      </c>
      <c r="K718" s="2">
        <f>MIN(MAX(1-(D718-1)/4,0),1)</f>
        <v/>
      </c>
      <c r="L718" s="2">
        <f>MIN(E718/60,1)</f>
        <v/>
      </c>
      <c r="M718" s="2">
        <f>MIN(MAX(1-G718,0),1)</f>
        <v/>
      </c>
      <c r="N718" s="2">
        <f>MIN(MAX(1-(H718-1)/4,0),1)</f>
        <v/>
      </c>
      <c r="O718" s="2">
        <f>1-MIN(I718/8,1)</f>
        <v/>
      </c>
      <c r="P718" s="10">
        <f>ROUND(100*(J718*Assumptions!$B$6+K718*Assumptions!$B$7+L718*Assumptions!$B$8+M718*Assumptions!$B$9+N718*Assumptions!$B$10+O718*Assumptions!$B$11),1)</f>
        <v/>
      </c>
      <c r="Q718" s="2">
        <f>IF(P718&gt;=Assumptions!$B$14,"High",IF(P718&gt;=Assumptions!$B$15,"Medium","Low"))</f>
        <v/>
      </c>
      <c r="R718" s="2">
        <f>Cleaned_Data!L718</f>
        <v/>
      </c>
    </row>
    <row r="719">
      <c r="A719" s="2">
        <f>Cleaned_Data!A719</f>
        <v/>
      </c>
      <c r="B719" s="2">
        <f>Cleaned_Data!B719</f>
        <v/>
      </c>
      <c r="C719" s="2">
        <f>Cleaned_Data!G719</f>
        <v/>
      </c>
      <c r="D719" s="2">
        <f>Cleaned_Data!I719</f>
        <v/>
      </c>
      <c r="E719" s="2">
        <f>Cleaned_Data!H719</f>
        <v/>
      </c>
      <c r="F719" s="2">
        <f>Cleaned_Data!F719</f>
        <v/>
      </c>
      <c r="G719" s="9">
        <f>SUMPRODUCT(($B$2:$B$1196=B719)*($F$2:$F$1196&lt;=F719))/SUMPRODUCT(($B$2:$B$1196=B719)*1)</f>
        <v/>
      </c>
      <c r="H719" s="2">
        <f>Cleaned_Data!J719</f>
        <v/>
      </c>
      <c r="I719" s="2">
        <f>Cleaned_Data!E719</f>
        <v/>
      </c>
      <c r="J719" s="2">
        <f>IF(C719="Yes",1,0)</f>
        <v/>
      </c>
      <c r="K719" s="2">
        <f>MIN(MAX(1-(D719-1)/4,0),1)</f>
        <v/>
      </c>
      <c r="L719" s="2">
        <f>MIN(E719/60,1)</f>
        <v/>
      </c>
      <c r="M719" s="2">
        <f>MIN(MAX(1-G719,0),1)</f>
        <v/>
      </c>
      <c r="N719" s="2">
        <f>MIN(MAX(1-(H719-1)/4,0),1)</f>
        <v/>
      </c>
      <c r="O719" s="2">
        <f>1-MIN(I719/8,1)</f>
        <v/>
      </c>
      <c r="P719" s="10">
        <f>ROUND(100*(J719*Assumptions!$B$6+K719*Assumptions!$B$7+L719*Assumptions!$B$8+M719*Assumptions!$B$9+N719*Assumptions!$B$10+O719*Assumptions!$B$11),1)</f>
        <v/>
      </c>
      <c r="Q719" s="2">
        <f>IF(P719&gt;=Assumptions!$B$14,"High",IF(P719&gt;=Assumptions!$B$15,"Medium","Low"))</f>
        <v/>
      </c>
      <c r="R719" s="2">
        <f>Cleaned_Data!L719</f>
        <v/>
      </c>
    </row>
    <row r="720">
      <c r="A720" s="2">
        <f>Cleaned_Data!A720</f>
        <v/>
      </c>
      <c r="B720" s="2">
        <f>Cleaned_Data!B720</f>
        <v/>
      </c>
      <c r="C720" s="2">
        <f>Cleaned_Data!G720</f>
        <v/>
      </c>
      <c r="D720" s="2">
        <f>Cleaned_Data!I720</f>
        <v/>
      </c>
      <c r="E720" s="2">
        <f>Cleaned_Data!H720</f>
        <v/>
      </c>
      <c r="F720" s="2">
        <f>Cleaned_Data!F720</f>
        <v/>
      </c>
      <c r="G720" s="9">
        <f>SUMPRODUCT(($B$2:$B$1196=B720)*($F$2:$F$1196&lt;=F720))/SUMPRODUCT(($B$2:$B$1196=B720)*1)</f>
        <v/>
      </c>
      <c r="H720" s="2">
        <f>Cleaned_Data!J720</f>
        <v/>
      </c>
      <c r="I720" s="2">
        <f>Cleaned_Data!E720</f>
        <v/>
      </c>
      <c r="J720" s="2">
        <f>IF(C720="Yes",1,0)</f>
        <v/>
      </c>
      <c r="K720" s="2">
        <f>MIN(MAX(1-(D720-1)/4,0),1)</f>
        <v/>
      </c>
      <c r="L720" s="2">
        <f>MIN(E720/60,1)</f>
        <v/>
      </c>
      <c r="M720" s="2">
        <f>MIN(MAX(1-G720,0),1)</f>
        <v/>
      </c>
      <c r="N720" s="2">
        <f>MIN(MAX(1-(H720-1)/4,0),1)</f>
        <v/>
      </c>
      <c r="O720" s="2">
        <f>1-MIN(I720/8,1)</f>
        <v/>
      </c>
      <c r="P720" s="10">
        <f>ROUND(100*(J720*Assumptions!$B$6+K720*Assumptions!$B$7+L720*Assumptions!$B$8+M720*Assumptions!$B$9+N720*Assumptions!$B$10+O720*Assumptions!$B$11),1)</f>
        <v/>
      </c>
      <c r="Q720" s="2">
        <f>IF(P720&gt;=Assumptions!$B$14,"High",IF(P720&gt;=Assumptions!$B$15,"Medium","Low"))</f>
        <v/>
      </c>
      <c r="R720" s="2">
        <f>Cleaned_Data!L720</f>
        <v/>
      </c>
    </row>
    <row r="721">
      <c r="A721" s="2">
        <f>Cleaned_Data!A721</f>
        <v/>
      </c>
      <c r="B721" s="2">
        <f>Cleaned_Data!B721</f>
        <v/>
      </c>
      <c r="C721" s="2">
        <f>Cleaned_Data!G721</f>
        <v/>
      </c>
      <c r="D721" s="2">
        <f>Cleaned_Data!I721</f>
        <v/>
      </c>
      <c r="E721" s="2">
        <f>Cleaned_Data!H721</f>
        <v/>
      </c>
      <c r="F721" s="2">
        <f>Cleaned_Data!F721</f>
        <v/>
      </c>
      <c r="G721" s="9">
        <f>SUMPRODUCT(($B$2:$B$1196=B721)*($F$2:$F$1196&lt;=F721))/SUMPRODUCT(($B$2:$B$1196=B721)*1)</f>
        <v/>
      </c>
      <c r="H721" s="2">
        <f>Cleaned_Data!J721</f>
        <v/>
      </c>
      <c r="I721" s="2">
        <f>Cleaned_Data!E721</f>
        <v/>
      </c>
      <c r="J721" s="2">
        <f>IF(C721="Yes",1,0)</f>
        <v/>
      </c>
      <c r="K721" s="2">
        <f>MIN(MAX(1-(D721-1)/4,0),1)</f>
        <v/>
      </c>
      <c r="L721" s="2">
        <f>MIN(E721/60,1)</f>
        <v/>
      </c>
      <c r="M721" s="2">
        <f>MIN(MAX(1-G721,0),1)</f>
        <v/>
      </c>
      <c r="N721" s="2">
        <f>MIN(MAX(1-(H721-1)/4,0),1)</f>
        <v/>
      </c>
      <c r="O721" s="2">
        <f>1-MIN(I721/8,1)</f>
        <v/>
      </c>
      <c r="P721" s="10">
        <f>ROUND(100*(J721*Assumptions!$B$6+K721*Assumptions!$B$7+L721*Assumptions!$B$8+M721*Assumptions!$B$9+N721*Assumptions!$B$10+O721*Assumptions!$B$11),1)</f>
        <v/>
      </c>
      <c r="Q721" s="2">
        <f>IF(P721&gt;=Assumptions!$B$14,"High",IF(P721&gt;=Assumptions!$B$15,"Medium","Low"))</f>
        <v/>
      </c>
      <c r="R721" s="2">
        <f>Cleaned_Data!L721</f>
        <v/>
      </c>
    </row>
    <row r="722">
      <c r="A722" s="2">
        <f>Cleaned_Data!A722</f>
        <v/>
      </c>
      <c r="B722" s="2">
        <f>Cleaned_Data!B722</f>
        <v/>
      </c>
      <c r="C722" s="2">
        <f>Cleaned_Data!G722</f>
        <v/>
      </c>
      <c r="D722" s="2">
        <f>Cleaned_Data!I722</f>
        <v/>
      </c>
      <c r="E722" s="2">
        <f>Cleaned_Data!H722</f>
        <v/>
      </c>
      <c r="F722" s="2">
        <f>Cleaned_Data!F722</f>
        <v/>
      </c>
      <c r="G722" s="9">
        <f>SUMPRODUCT(($B$2:$B$1196=B722)*($F$2:$F$1196&lt;=F722))/SUMPRODUCT(($B$2:$B$1196=B722)*1)</f>
        <v/>
      </c>
      <c r="H722" s="2">
        <f>Cleaned_Data!J722</f>
        <v/>
      </c>
      <c r="I722" s="2">
        <f>Cleaned_Data!E722</f>
        <v/>
      </c>
      <c r="J722" s="2">
        <f>IF(C722="Yes",1,0)</f>
        <v/>
      </c>
      <c r="K722" s="2">
        <f>MIN(MAX(1-(D722-1)/4,0),1)</f>
        <v/>
      </c>
      <c r="L722" s="2">
        <f>MIN(E722/60,1)</f>
        <v/>
      </c>
      <c r="M722" s="2">
        <f>MIN(MAX(1-G722,0),1)</f>
        <v/>
      </c>
      <c r="N722" s="2">
        <f>MIN(MAX(1-(H722-1)/4,0),1)</f>
        <v/>
      </c>
      <c r="O722" s="2">
        <f>1-MIN(I722/8,1)</f>
        <v/>
      </c>
      <c r="P722" s="10">
        <f>ROUND(100*(J722*Assumptions!$B$6+K722*Assumptions!$B$7+L722*Assumptions!$B$8+M722*Assumptions!$B$9+N722*Assumptions!$B$10+O722*Assumptions!$B$11),1)</f>
        <v/>
      </c>
      <c r="Q722" s="2">
        <f>IF(P722&gt;=Assumptions!$B$14,"High",IF(P722&gt;=Assumptions!$B$15,"Medium","Low"))</f>
        <v/>
      </c>
      <c r="R722" s="2">
        <f>Cleaned_Data!L722</f>
        <v/>
      </c>
    </row>
    <row r="723">
      <c r="A723" s="2">
        <f>Cleaned_Data!A723</f>
        <v/>
      </c>
      <c r="B723" s="2">
        <f>Cleaned_Data!B723</f>
        <v/>
      </c>
      <c r="C723" s="2">
        <f>Cleaned_Data!G723</f>
        <v/>
      </c>
      <c r="D723" s="2">
        <f>Cleaned_Data!I723</f>
        <v/>
      </c>
      <c r="E723" s="2">
        <f>Cleaned_Data!H723</f>
        <v/>
      </c>
      <c r="F723" s="2">
        <f>Cleaned_Data!F723</f>
        <v/>
      </c>
      <c r="G723" s="9">
        <f>SUMPRODUCT(($B$2:$B$1196=B723)*($F$2:$F$1196&lt;=F723))/SUMPRODUCT(($B$2:$B$1196=B723)*1)</f>
        <v/>
      </c>
      <c r="H723" s="2">
        <f>Cleaned_Data!J723</f>
        <v/>
      </c>
      <c r="I723" s="2">
        <f>Cleaned_Data!E723</f>
        <v/>
      </c>
      <c r="J723" s="2">
        <f>IF(C723="Yes",1,0)</f>
        <v/>
      </c>
      <c r="K723" s="2">
        <f>MIN(MAX(1-(D723-1)/4,0),1)</f>
        <v/>
      </c>
      <c r="L723" s="2">
        <f>MIN(E723/60,1)</f>
        <v/>
      </c>
      <c r="M723" s="2">
        <f>MIN(MAX(1-G723,0),1)</f>
        <v/>
      </c>
      <c r="N723" s="2">
        <f>MIN(MAX(1-(H723-1)/4,0),1)</f>
        <v/>
      </c>
      <c r="O723" s="2">
        <f>1-MIN(I723/8,1)</f>
        <v/>
      </c>
      <c r="P723" s="10">
        <f>ROUND(100*(J723*Assumptions!$B$6+K723*Assumptions!$B$7+L723*Assumptions!$B$8+M723*Assumptions!$B$9+N723*Assumptions!$B$10+O723*Assumptions!$B$11),1)</f>
        <v/>
      </c>
      <c r="Q723" s="2">
        <f>IF(P723&gt;=Assumptions!$B$14,"High",IF(P723&gt;=Assumptions!$B$15,"Medium","Low"))</f>
        <v/>
      </c>
      <c r="R723" s="2">
        <f>Cleaned_Data!L723</f>
        <v/>
      </c>
    </row>
    <row r="724">
      <c r="A724" s="2">
        <f>Cleaned_Data!A724</f>
        <v/>
      </c>
      <c r="B724" s="2">
        <f>Cleaned_Data!B724</f>
        <v/>
      </c>
      <c r="C724" s="2">
        <f>Cleaned_Data!G724</f>
        <v/>
      </c>
      <c r="D724" s="2">
        <f>Cleaned_Data!I724</f>
        <v/>
      </c>
      <c r="E724" s="2">
        <f>Cleaned_Data!H724</f>
        <v/>
      </c>
      <c r="F724" s="2">
        <f>Cleaned_Data!F724</f>
        <v/>
      </c>
      <c r="G724" s="9">
        <f>SUMPRODUCT(($B$2:$B$1196=B724)*($F$2:$F$1196&lt;=F724))/SUMPRODUCT(($B$2:$B$1196=B724)*1)</f>
        <v/>
      </c>
      <c r="H724" s="2">
        <f>Cleaned_Data!J724</f>
        <v/>
      </c>
      <c r="I724" s="2">
        <f>Cleaned_Data!E724</f>
        <v/>
      </c>
      <c r="J724" s="2">
        <f>IF(C724="Yes",1,0)</f>
        <v/>
      </c>
      <c r="K724" s="2">
        <f>MIN(MAX(1-(D724-1)/4,0),1)</f>
        <v/>
      </c>
      <c r="L724" s="2">
        <f>MIN(E724/60,1)</f>
        <v/>
      </c>
      <c r="M724" s="2">
        <f>MIN(MAX(1-G724,0),1)</f>
        <v/>
      </c>
      <c r="N724" s="2">
        <f>MIN(MAX(1-(H724-1)/4,0),1)</f>
        <v/>
      </c>
      <c r="O724" s="2">
        <f>1-MIN(I724/8,1)</f>
        <v/>
      </c>
      <c r="P724" s="10">
        <f>ROUND(100*(J724*Assumptions!$B$6+K724*Assumptions!$B$7+L724*Assumptions!$B$8+M724*Assumptions!$B$9+N724*Assumptions!$B$10+O724*Assumptions!$B$11),1)</f>
        <v/>
      </c>
      <c r="Q724" s="2">
        <f>IF(P724&gt;=Assumptions!$B$14,"High",IF(P724&gt;=Assumptions!$B$15,"Medium","Low"))</f>
        <v/>
      </c>
      <c r="R724" s="2">
        <f>Cleaned_Data!L724</f>
        <v/>
      </c>
    </row>
    <row r="725">
      <c r="A725" s="2">
        <f>Cleaned_Data!A725</f>
        <v/>
      </c>
      <c r="B725" s="2">
        <f>Cleaned_Data!B725</f>
        <v/>
      </c>
      <c r="C725" s="2">
        <f>Cleaned_Data!G725</f>
        <v/>
      </c>
      <c r="D725" s="2">
        <f>Cleaned_Data!I725</f>
        <v/>
      </c>
      <c r="E725" s="2">
        <f>Cleaned_Data!H725</f>
        <v/>
      </c>
      <c r="F725" s="2">
        <f>Cleaned_Data!F725</f>
        <v/>
      </c>
      <c r="G725" s="9">
        <f>SUMPRODUCT(($B$2:$B$1196=B725)*($F$2:$F$1196&lt;=F725))/SUMPRODUCT(($B$2:$B$1196=B725)*1)</f>
        <v/>
      </c>
      <c r="H725" s="2">
        <f>Cleaned_Data!J725</f>
        <v/>
      </c>
      <c r="I725" s="2">
        <f>Cleaned_Data!E725</f>
        <v/>
      </c>
      <c r="J725" s="2">
        <f>IF(C725="Yes",1,0)</f>
        <v/>
      </c>
      <c r="K725" s="2">
        <f>MIN(MAX(1-(D725-1)/4,0),1)</f>
        <v/>
      </c>
      <c r="L725" s="2">
        <f>MIN(E725/60,1)</f>
        <v/>
      </c>
      <c r="M725" s="2">
        <f>MIN(MAX(1-G725,0),1)</f>
        <v/>
      </c>
      <c r="N725" s="2">
        <f>MIN(MAX(1-(H725-1)/4,0),1)</f>
        <v/>
      </c>
      <c r="O725" s="2">
        <f>1-MIN(I725/8,1)</f>
        <v/>
      </c>
      <c r="P725" s="10">
        <f>ROUND(100*(J725*Assumptions!$B$6+K725*Assumptions!$B$7+L725*Assumptions!$B$8+M725*Assumptions!$B$9+N725*Assumptions!$B$10+O725*Assumptions!$B$11),1)</f>
        <v/>
      </c>
      <c r="Q725" s="2">
        <f>IF(P725&gt;=Assumptions!$B$14,"High",IF(P725&gt;=Assumptions!$B$15,"Medium","Low"))</f>
        <v/>
      </c>
      <c r="R725" s="2">
        <f>Cleaned_Data!L725</f>
        <v/>
      </c>
    </row>
    <row r="726">
      <c r="A726" s="2">
        <f>Cleaned_Data!A726</f>
        <v/>
      </c>
      <c r="B726" s="2">
        <f>Cleaned_Data!B726</f>
        <v/>
      </c>
      <c r="C726" s="2">
        <f>Cleaned_Data!G726</f>
        <v/>
      </c>
      <c r="D726" s="2">
        <f>Cleaned_Data!I726</f>
        <v/>
      </c>
      <c r="E726" s="2">
        <f>Cleaned_Data!H726</f>
        <v/>
      </c>
      <c r="F726" s="2">
        <f>Cleaned_Data!F726</f>
        <v/>
      </c>
      <c r="G726" s="9">
        <f>SUMPRODUCT(($B$2:$B$1196=B726)*($F$2:$F$1196&lt;=F726))/SUMPRODUCT(($B$2:$B$1196=B726)*1)</f>
        <v/>
      </c>
      <c r="H726" s="2">
        <f>Cleaned_Data!J726</f>
        <v/>
      </c>
      <c r="I726" s="2">
        <f>Cleaned_Data!E726</f>
        <v/>
      </c>
      <c r="J726" s="2">
        <f>IF(C726="Yes",1,0)</f>
        <v/>
      </c>
      <c r="K726" s="2">
        <f>MIN(MAX(1-(D726-1)/4,0),1)</f>
        <v/>
      </c>
      <c r="L726" s="2">
        <f>MIN(E726/60,1)</f>
        <v/>
      </c>
      <c r="M726" s="2">
        <f>MIN(MAX(1-G726,0),1)</f>
        <v/>
      </c>
      <c r="N726" s="2">
        <f>MIN(MAX(1-(H726-1)/4,0),1)</f>
        <v/>
      </c>
      <c r="O726" s="2">
        <f>1-MIN(I726/8,1)</f>
        <v/>
      </c>
      <c r="P726" s="10">
        <f>ROUND(100*(J726*Assumptions!$B$6+K726*Assumptions!$B$7+L726*Assumptions!$B$8+M726*Assumptions!$B$9+N726*Assumptions!$B$10+O726*Assumptions!$B$11),1)</f>
        <v/>
      </c>
      <c r="Q726" s="2">
        <f>IF(P726&gt;=Assumptions!$B$14,"High",IF(P726&gt;=Assumptions!$B$15,"Medium","Low"))</f>
        <v/>
      </c>
      <c r="R726" s="2">
        <f>Cleaned_Data!L726</f>
        <v/>
      </c>
    </row>
    <row r="727">
      <c r="A727" s="2">
        <f>Cleaned_Data!A727</f>
        <v/>
      </c>
      <c r="B727" s="2">
        <f>Cleaned_Data!B727</f>
        <v/>
      </c>
      <c r="C727" s="2">
        <f>Cleaned_Data!G727</f>
        <v/>
      </c>
      <c r="D727" s="2">
        <f>Cleaned_Data!I727</f>
        <v/>
      </c>
      <c r="E727" s="2">
        <f>Cleaned_Data!H727</f>
        <v/>
      </c>
      <c r="F727" s="2">
        <f>Cleaned_Data!F727</f>
        <v/>
      </c>
      <c r="G727" s="9">
        <f>SUMPRODUCT(($B$2:$B$1196=B727)*($F$2:$F$1196&lt;=F727))/SUMPRODUCT(($B$2:$B$1196=B727)*1)</f>
        <v/>
      </c>
      <c r="H727" s="2">
        <f>Cleaned_Data!J727</f>
        <v/>
      </c>
      <c r="I727" s="2">
        <f>Cleaned_Data!E727</f>
        <v/>
      </c>
      <c r="J727" s="2">
        <f>IF(C727="Yes",1,0)</f>
        <v/>
      </c>
      <c r="K727" s="2">
        <f>MIN(MAX(1-(D727-1)/4,0),1)</f>
        <v/>
      </c>
      <c r="L727" s="2">
        <f>MIN(E727/60,1)</f>
        <v/>
      </c>
      <c r="M727" s="2">
        <f>MIN(MAX(1-G727,0),1)</f>
        <v/>
      </c>
      <c r="N727" s="2">
        <f>MIN(MAX(1-(H727-1)/4,0),1)</f>
        <v/>
      </c>
      <c r="O727" s="2">
        <f>1-MIN(I727/8,1)</f>
        <v/>
      </c>
      <c r="P727" s="10">
        <f>ROUND(100*(J727*Assumptions!$B$6+K727*Assumptions!$B$7+L727*Assumptions!$B$8+M727*Assumptions!$B$9+N727*Assumptions!$B$10+O727*Assumptions!$B$11),1)</f>
        <v/>
      </c>
      <c r="Q727" s="2">
        <f>IF(P727&gt;=Assumptions!$B$14,"High",IF(P727&gt;=Assumptions!$B$15,"Medium","Low"))</f>
        <v/>
      </c>
      <c r="R727" s="2">
        <f>Cleaned_Data!L727</f>
        <v/>
      </c>
    </row>
    <row r="728">
      <c r="A728" s="2">
        <f>Cleaned_Data!A728</f>
        <v/>
      </c>
      <c r="B728" s="2">
        <f>Cleaned_Data!B728</f>
        <v/>
      </c>
      <c r="C728" s="2">
        <f>Cleaned_Data!G728</f>
        <v/>
      </c>
      <c r="D728" s="2">
        <f>Cleaned_Data!I728</f>
        <v/>
      </c>
      <c r="E728" s="2">
        <f>Cleaned_Data!H728</f>
        <v/>
      </c>
      <c r="F728" s="2">
        <f>Cleaned_Data!F728</f>
        <v/>
      </c>
      <c r="G728" s="9">
        <f>SUMPRODUCT(($B$2:$B$1196=B728)*($F$2:$F$1196&lt;=F728))/SUMPRODUCT(($B$2:$B$1196=B728)*1)</f>
        <v/>
      </c>
      <c r="H728" s="2">
        <f>Cleaned_Data!J728</f>
        <v/>
      </c>
      <c r="I728" s="2">
        <f>Cleaned_Data!E728</f>
        <v/>
      </c>
      <c r="J728" s="2">
        <f>IF(C728="Yes",1,0)</f>
        <v/>
      </c>
      <c r="K728" s="2">
        <f>MIN(MAX(1-(D728-1)/4,0),1)</f>
        <v/>
      </c>
      <c r="L728" s="2">
        <f>MIN(E728/60,1)</f>
        <v/>
      </c>
      <c r="M728" s="2">
        <f>MIN(MAX(1-G728,0),1)</f>
        <v/>
      </c>
      <c r="N728" s="2">
        <f>MIN(MAX(1-(H728-1)/4,0),1)</f>
        <v/>
      </c>
      <c r="O728" s="2">
        <f>1-MIN(I728/8,1)</f>
        <v/>
      </c>
      <c r="P728" s="10">
        <f>ROUND(100*(J728*Assumptions!$B$6+K728*Assumptions!$B$7+L728*Assumptions!$B$8+M728*Assumptions!$B$9+N728*Assumptions!$B$10+O728*Assumptions!$B$11),1)</f>
        <v/>
      </c>
      <c r="Q728" s="2">
        <f>IF(P728&gt;=Assumptions!$B$14,"High",IF(P728&gt;=Assumptions!$B$15,"Medium","Low"))</f>
        <v/>
      </c>
      <c r="R728" s="2">
        <f>Cleaned_Data!L728</f>
        <v/>
      </c>
    </row>
    <row r="729">
      <c r="A729" s="2">
        <f>Cleaned_Data!A729</f>
        <v/>
      </c>
      <c r="B729" s="2">
        <f>Cleaned_Data!B729</f>
        <v/>
      </c>
      <c r="C729" s="2">
        <f>Cleaned_Data!G729</f>
        <v/>
      </c>
      <c r="D729" s="2">
        <f>Cleaned_Data!I729</f>
        <v/>
      </c>
      <c r="E729" s="2">
        <f>Cleaned_Data!H729</f>
        <v/>
      </c>
      <c r="F729" s="2">
        <f>Cleaned_Data!F729</f>
        <v/>
      </c>
      <c r="G729" s="9">
        <f>SUMPRODUCT(($B$2:$B$1196=B729)*($F$2:$F$1196&lt;=F729))/SUMPRODUCT(($B$2:$B$1196=B729)*1)</f>
        <v/>
      </c>
      <c r="H729" s="2">
        <f>Cleaned_Data!J729</f>
        <v/>
      </c>
      <c r="I729" s="2">
        <f>Cleaned_Data!E729</f>
        <v/>
      </c>
      <c r="J729" s="2">
        <f>IF(C729="Yes",1,0)</f>
        <v/>
      </c>
      <c r="K729" s="2">
        <f>MIN(MAX(1-(D729-1)/4,0),1)</f>
        <v/>
      </c>
      <c r="L729" s="2">
        <f>MIN(E729/60,1)</f>
        <v/>
      </c>
      <c r="M729" s="2">
        <f>MIN(MAX(1-G729,0),1)</f>
        <v/>
      </c>
      <c r="N729" s="2">
        <f>MIN(MAX(1-(H729-1)/4,0),1)</f>
        <v/>
      </c>
      <c r="O729" s="2">
        <f>1-MIN(I729/8,1)</f>
        <v/>
      </c>
      <c r="P729" s="10">
        <f>ROUND(100*(J729*Assumptions!$B$6+K729*Assumptions!$B$7+L729*Assumptions!$B$8+M729*Assumptions!$B$9+N729*Assumptions!$B$10+O729*Assumptions!$B$11),1)</f>
        <v/>
      </c>
      <c r="Q729" s="2">
        <f>IF(P729&gt;=Assumptions!$B$14,"High",IF(P729&gt;=Assumptions!$B$15,"Medium","Low"))</f>
        <v/>
      </c>
      <c r="R729" s="2">
        <f>Cleaned_Data!L729</f>
        <v/>
      </c>
    </row>
    <row r="730">
      <c r="A730" s="2">
        <f>Cleaned_Data!A730</f>
        <v/>
      </c>
      <c r="B730" s="2">
        <f>Cleaned_Data!B730</f>
        <v/>
      </c>
      <c r="C730" s="2">
        <f>Cleaned_Data!G730</f>
        <v/>
      </c>
      <c r="D730" s="2">
        <f>Cleaned_Data!I730</f>
        <v/>
      </c>
      <c r="E730" s="2">
        <f>Cleaned_Data!H730</f>
        <v/>
      </c>
      <c r="F730" s="2">
        <f>Cleaned_Data!F730</f>
        <v/>
      </c>
      <c r="G730" s="9">
        <f>SUMPRODUCT(($B$2:$B$1196=B730)*($F$2:$F$1196&lt;=F730))/SUMPRODUCT(($B$2:$B$1196=B730)*1)</f>
        <v/>
      </c>
      <c r="H730" s="2">
        <f>Cleaned_Data!J730</f>
        <v/>
      </c>
      <c r="I730" s="2">
        <f>Cleaned_Data!E730</f>
        <v/>
      </c>
      <c r="J730" s="2">
        <f>IF(C730="Yes",1,0)</f>
        <v/>
      </c>
      <c r="K730" s="2">
        <f>MIN(MAX(1-(D730-1)/4,0),1)</f>
        <v/>
      </c>
      <c r="L730" s="2">
        <f>MIN(E730/60,1)</f>
        <v/>
      </c>
      <c r="M730" s="2">
        <f>MIN(MAX(1-G730,0),1)</f>
        <v/>
      </c>
      <c r="N730" s="2">
        <f>MIN(MAX(1-(H730-1)/4,0),1)</f>
        <v/>
      </c>
      <c r="O730" s="2">
        <f>1-MIN(I730/8,1)</f>
        <v/>
      </c>
      <c r="P730" s="10">
        <f>ROUND(100*(J730*Assumptions!$B$6+K730*Assumptions!$B$7+L730*Assumptions!$B$8+M730*Assumptions!$B$9+N730*Assumptions!$B$10+O730*Assumptions!$B$11),1)</f>
        <v/>
      </c>
      <c r="Q730" s="2">
        <f>IF(P730&gt;=Assumptions!$B$14,"High",IF(P730&gt;=Assumptions!$B$15,"Medium","Low"))</f>
        <v/>
      </c>
      <c r="R730" s="2">
        <f>Cleaned_Data!L730</f>
        <v/>
      </c>
    </row>
    <row r="731">
      <c r="A731" s="2">
        <f>Cleaned_Data!A731</f>
        <v/>
      </c>
      <c r="B731" s="2">
        <f>Cleaned_Data!B731</f>
        <v/>
      </c>
      <c r="C731" s="2">
        <f>Cleaned_Data!G731</f>
        <v/>
      </c>
      <c r="D731" s="2">
        <f>Cleaned_Data!I731</f>
        <v/>
      </c>
      <c r="E731" s="2">
        <f>Cleaned_Data!H731</f>
        <v/>
      </c>
      <c r="F731" s="2">
        <f>Cleaned_Data!F731</f>
        <v/>
      </c>
      <c r="G731" s="9">
        <f>SUMPRODUCT(($B$2:$B$1196=B731)*($F$2:$F$1196&lt;=F731))/SUMPRODUCT(($B$2:$B$1196=B731)*1)</f>
        <v/>
      </c>
      <c r="H731" s="2">
        <f>Cleaned_Data!J731</f>
        <v/>
      </c>
      <c r="I731" s="2">
        <f>Cleaned_Data!E731</f>
        <v/>
      </c>
      <c r="J731" s="2">
        <f>IF(C731="Yes",1,0)</f>
        <v/>
      </c>
      <c r="K731" s="2">
        <f>MIN(MAX(1-(D731-1)/4,0),1)</f>
        <v/>
      </c>
      <c r="L731" s="2">
        <f>MIN(E731/60,1)</f>
        <v/>
      </c>
      <c r="M731" s="2">
        <f>MIN(MAX(1-G731,0),1)</f>
        <v/>
      </c>
      <c r="N731" s="2">
        <f>MIN(MAX(1-(H731-1)/4,0),1)</f>
        <v/>
      </c>
      <c r="O731" s="2">
        <f>1-MIN(I731/8,1)</f>
        <v/>
      </c>
      <c r="P731" s="10">
        <f>ROUND(100*(J731*Assumptions!$B$6+K731*Assumptions!$B$7+L731*Assumptions!$B$8+M731*Assumptions!$B$9+N731*Assumptions!$B$10+O731*Assumptions!$B$11),1)</f>
        <v/>
      </c>
      <c r="Q731" s="2">
        <f>IF(P731&gt;=Assumptions!$B$14,"High",IF(P731&gt;=Assumptions!$B$15,"Medium","Low"))</f>
        <v/>
      </c>
      <c r="R731" s="2">
        <f>Cleaned_Data!L731</f>
        <v/>
      </c>
    </row>
    <row r="732">
      <c r="A732" s="2">
        <f>Cleaned_Data!A732</f>
        <v/>
      </c>
      <c r="B732" s="2">
        <f>Cleaned_Data!B732</f>
        <v/>
      </c>
      <c r="C732" s="2">
        <f>Cleaned_Data!G732</f>
        <v/>
      </c>
      <c r="D732" s="2">
        <f>Cleaned_Data!I732</f>
        <v/>
      </c>
      <c r="E732" s="2">
        <f>Cleaned_Data!H732</f>
        <v/>
      </c>
      <c r="F732" s="2">
        <f>Cleaned_Data!F732</f>
        <v/>
      </c>
      <c r="G732" s="9">
        <f>SUMPRODUCT(($B$2:$B$1196=B732)*($F$2:$F$1196&lt;=F732))/SUMPRODUCT(($B$2:$B$1196=B732)*1)</f>
        <v/>
      </c>
      <c r="H732" s="2">
        <f>Cleaned_Data!J732</f>
        <v/>
      </c>
      <c r="I732" s="2">
        <f>Cleaned_Data!E732</f>
        <v/>
      </c>
      <c r="J732" s="2">
        <f>IF(C732="Yes",1,0)</f>
        <v/>
      </c>
      <c r="K732" s="2">
        <f>MIN(MAX(1-(D732-1)/4,0),1)</f>
        <v/>
      </c>
      <c r="L732" s="2">
        <f>MIN(E732/60,1)</f>
        <v/>
      </c>
      <c r="M732" s="2">
        <f>MIN(MAX(1-G732,0),1)</f>
        <v/>
      </c>
      <c r="N732" s="2">
        <f>MIN(MAX(1-(H732-1)/4,0),1)</f>
        <v/>
      </c>
      <c r="O732" s="2">
        <f>1-MIN(I732/8,1)</f>
        <v/>
      </c>
      <c r="P732" s="10">
        <f>ROUND(100*(J732*Assumptions!$B$6+K732*Assumptions!$B$7+L732*Assumptions!$B$8+M732*Assumptions!$B$9+N732*Assumptions!$B$10+O732*Assumptions!$B$11),1)</f>
        <v/>
      </c>
      <c r="Q732" s="2">
        <f>IF(P732&gt;=Assumptions!$B$14,"High",IF(P732&gt;=Assumptions!$B$15,"Medium","Low"))</f>
        <v/>
      </c>
      <c r="R732" s="2">
        <f>Cleaned_Data!L732</f>
        <v/>
      </c>
    </row>
    <row r="733">
      <c r="A733" s="2">
        <f>Cleaned_Data!A733</f>
        <v/>
      </c>
      <c r="B733" s="2">
        <f>Cleaned_Data!B733</f>
        <v/>
      </c>
      <c r="C733" s="2">
        <f>Cleaned_Data!G733</f>
        <v/>
      </c>
      <c r="D733" s="2">
        <f>Cleaned_Data!I733</f>
        <v/>
      </c>
      <c r="E733" s="2">
        <f>Cleaned_Data!H733</f>
        <v/>
      </c>
      <c r="F733" s="2">
        <f>Cleaned_Data!F733</f>
        <v/>
      </c>
      <c r="G733" s="9">
        <f>SUMPRODUCT(($B$2:$B$1196=B733)*($F$2:$F$1196&lt;=F733))/SUMPRODUCT(($B$2:$B$1196=B733)*1)</f>
        <v/>
      </c>
      <c r="H733" s="2">
        <f>Cleaned_Data!J733</f>
        <v/>
      </c>
      <c r="I733" s="2">
        <f>Cleaned_Data!E733</f>
        <v/>
      </c>
      <c r="J733" s="2">
        <f>IF(C733="Yes",1,0)</f>
        <v/>
      </c>
      <c r="K733" s="2">
        <f>MIN(MAX(1-(D733-1)/4,0),1)</f>
        <v/>
      </c>
      <c r="L733" s="2">
        <f>MIN(E733/60,1)</f>
        <v/>
      </c>
      <c r="M733" s="2">
        <f>MIN(MAX(1-G733,0),1)</f>
        <v/>
      </c>
      <c r="N733" s="2">
        <f>MIN(MAX(1-(H733-1)/4,0),1)</f>
        <v/>
      </c>
      <c r="O733" s="2">
        <f>1-MIN(I733/8,1)</f>
        <v/>
      </c>
      <c r="P733" s="10">
        <f>ROUND(100*(J733*Assumptions!$B$6+K733*Assumptions!$B$7+L733*Assumptions!$B$8+M733*Assumptions!$B$9+N733*Assumptions!$B$10+O733*Assumptions!$B$11),1)</f>
        <v/>
      </c>
      <c r="Q733" s="2">
        <f>IF(P733&gt;=Assumptions!$B$14,"High",IF(P733&gt;=Assumptions!$B$15,"Medium","Low"))</f>
        <v/>
      </c>
      <c r="R733" s="2">
        <f>Cleaned_Data!L733</f>
        <v/>
      </c>
    </row>
    <row r="734">
      <c r="A734" s="2">
        <f>Cleaned_Data!A734</f>
        <v/>
      </c>
      <c r="B734" s="2">
        <f>Cleaned_Data!B734</f>
        <v/>
      </c>
      <c r="C734" s="2">
        <f>Cleaned_Data!G734</f>
        <v/>
      </c>
      <c r="D734" s="2">
        <f>Cleaned_Data!I734</f>
        <v/>
      </c>
      <c r="E734" s="2">
        <f>Cleaned_Data!H734</f>
        <v/>
      </c>
      <c r="F734" s="2">
        <f>Cleaned_Data!F734</f>
        <v/>
      </c>
      <c r="G734" s="9">
        <f>SUMPRODUCT(($B$2:$B$1196=B734)*($F$2:$F$1196&lt;=F734))/SUMPRODUCT(($B$2:$B$1196=B734)*1)</f>
        <v/>
      </c>
      <c r="H734" s="2">
        <f>Cleaned_Data!J734</f>
        <v/>
      </c>
      <c r="I734" s="2">
        <f>Cleaned_Data!E734</f>
        <v/>
      </c>
      <c r="J734" s="2">
        <f>IF(C734="Yes",1,0)</f>
        <v/>
      </c>
      <c r="K734" s="2">
        <f>MIN(MAX(1-(D734-1)/4,0),1)</f>
        <v/>
      </c>
      <c r="L734" s="2">
        <f>MIN(E734/60,1)</f>
        <v/>
      </c>
      <c r="M734" s="2">
        <f>MIN(MAX(1-G734,0),1)</f>
        <v/>
      </c>
      <c r="N734" s="2">
        <f>MIN(MAX(1-(H734-1)/4,0),1)</f>
        <v/>
      </c>
      <c r="O734" s="2">
        <f>1-MIN(I734/8,1)</f>
        <v/>
      </c>
      <c r="P734" s="10">
        <f>ROUND(100*(J734*Assumptions!$B$6+K734*Assumptions!$B$7+L734*Assumptions!$B$8+M734*Assumptions!$B$9+N734*Assumptions!$B$10+O734*Assumptions!$B$11),1)</f>
        <v/>
      </c>
      <c r="Q734" s="2">
        <f>IF(P734&gt;=Assumptions!$B$14,"High",IF(P734&gt;=Assumptions!$B$15,"Medium","Low"))</f>
        <v/>
      </c>
      <c r="R734" s="2">
        <f>Cleaned_Data!L734</f>
        <v/>
      </c>
    </row>
    <row r="735">
      <c r="A735" s="2">
        <f>Cleaned_Data!A735</f>
        <v/>
      </c>
      <c r="B735" s="2">
        <f>Cleaned_Data!B735</f>
        <v/>
      </c>
      <c r="C735" s="2">
        <f>Cleaned_Data!G735</f>
        <v/>
      </c>
      <c r="D735" s="2">
        <f>Cleaned_Data!I735</f>
        <v/>
      </c>
      <c r="E735" s="2">
        <f>Cleaned_Data!H735</f>
        <v/>
      </c>
      <c r="F735" s="2">
        <f>Cleaned_Data!F735</f>
        <v/>
      </c>
      <c r="G735" s="9">
        <f>SUMPRODUCT(($B$2:$B$1196=B735)*($F$2:$F$1196&lt;=F735))/SUMPRODUCT(($B$2:$B$1196=B735)*1)</f>
        <v/>
      </c>
      <c r="H735" s="2">
        <f>Cleaned_Data!J735</f>
        <v/>
      </c>
      <c r="I735" s="2">
        <f>Cleaned_Data!E735</f>
        <v/>
      </c>
      <c r="J735" s="2">
        <f>IF(C735="Yes",1,0)</f>
        <v/>
      </c>
      <c r="K735" s="2">
        <f>MIN(MAX(1-(D735-1)/4,0),1)</f>
        <v/>
      </c>
      <c r="L735" s="2">
        <f>MIN(E735/60,1)</f>
        <v/>
      </c>
      <c r="M735" s="2">
        <f>MIN(MAX(1-G735,0),1)</f>
        <v/>
      </c>
      <c r="N735" s="2">
        <f>MIN(MAX(1-(H735-1)/4,0),1)</f>
        <v/>
      </c>
      <c r="O735" s="2">
        <f>1-MIN(I735/8,1)</f>
        <v/>
      </c>
      <c r="P735" s="10">
        <f>ROUND(100*(J735*Assumptions!$B$6+K735*Assumptions!$B$7+L735*Assumptions!$B$8+M735*Assumptions!$B$9+N735*Assumptions!$B$10+O735*Assumptions!$B$11),1)</f>
        <v/>
      </c>
      <c r="Q735" s="2">
        <f>IF(P735&gt;=Assumptions!$B$14,"High",IF(P735&gt;=Assumptions!$B$15,"Medium","Low"))</f>
        <v/>
      </c>
      <c r="R735" s="2">
        <f>Cleaned_Data!L735</f>
        <v/>
      </c>
    </row>
    <row r="736">
      <c r="A736" s="2">
        <f>Cleaned_Data!A736</f>
        <v/>
      </c>
      <c r="B736" s="2">
        <f>Cleaned_Data!B736</f>
        <v/>
      </c>
      <c r="C736" s="2">
        <f>Cleaned_Data!G736</f>
        <v/>
      </c>
      <c r="D736" s="2">
        <f>Cleaned_Data!I736</f>
        <v/>
      </c>
      <c r="E736" s="2">
        <f>Cleaned_Data!H736</f>
        <v/>
      </c>
      <c r="F736" s="2">
        <f>Cleaned_Data!F736</f>
        <v/>
      </c>
      <c r="G736" s="9">
        <f>SUMPRODUCT(($B$2:$B$1196=B736)*($F$2:$F$1196&lt;=F736))/SUMPRODUCT(($B$2:$B$1196=B736)*1)</f>
        <v/>
      </c>
      <c r="H736" s="2">
        <f>Cleaned_Data!J736</f>
        <v/>
      </c>
      <c r="I736" s="2">
        <f>Cleaned_Data!E736</f>
        <v/>
      </c>
      <c r="J736" s="2">
        <f>IF(C736="Yes",1,0)</f>
        <v/>
      </c>
      <c r="K736" s="2">
        <f>MIN(MAX(1-(D736-1)/4,0),1)</f>
        <v/>
      </c>
      <c r="L736" s="2">
        <f>MIN(E736/60,1)</f>
        <v/>
      </c>
      <c r="M736" s="2">
        <f>MIN(MAX(1-G736,0),1)</f>
        <v/>
      </c>
      <c r="N736" s="2">
        <f>MIN(MAX(1-(H736-1)/4,0),1)</f>
        <v/>
      </c>
      <c r="O736" s="2">
        <f>1-MIN(I736/8,1)</f>
        <v/>
      </c>
      <c r="P736" s="10">
        <f>ROUND(100*(J736*Assumptions!$B$6+K736*Assumptions!$B$7+L736*Assumptions!$B$8+M736*Assumptions!$B$9+N736*Assumptions!$B$10+O736*Assumptions!$B$11),1)</f>
        <v/>
      </c>
      <c r="Q736" s="2">
        <f>IF(P736&gt;=Assumptions!$B$14,"High",IF(P736&gt;=Assumptions!$B$15,"Medium","Low"))</f>
        <v/>
      </c>
      <c r="R736" s="2">
        <f>Cleaned_Data!L736</f>
        <v/>
      </c>
    </row>
    <row r="737">
      <c r="A737" s="2">
        <f>Cleaned_Data!A737</f>
        <v/>
      </c>
      <c r="B737" s="2">
        <f>Cleaned_Data!B737</f>
        <v/>
      </c>
      <c r="C737" s="2">
        <f>Cleaned_Data!G737</f>
        <v/>
      </c>
      <c r="D737" s="2">
        <f>Cleaned_Data!I737</f>
        <v/>
      </c>
      <c r="E737" s="2">
        <f>Cleaned_Data!H737</f>
        <v/>
      </c>
      <c r="F737" s="2">
        <f>Cleaned_Data!F737</f>
        <v/>
      </c>
      <c r="G737" s="9">
        <f>SUMPRODUCT(($B$2:$B$1196=B737)*($F$2:$F$1196&lt;=F737))/SUMPRODUCT(($B$2:$B$1196=B737)*1)</f>
        <v/>
      </c>
      <c r="H737" s="2">
        <f>Cleaned_Data!J737</f>
        <v/>
      </c>
      <c r="I737" s="2">
        <f>Cleaned_Data!E737</f>
        <v/>
      </c>
      <c r="J737" s="2">
        <f>IF(C737="Yes",1,0)</f>
        <v/>
      </c>
      <c r="K737" s="2">
        <f>MIN(MAX(1-(D737-1)/4,0),1)</f>
        <v/>
      </c>
      <c r="L737" s="2">
        <f>MIN(E737/60,1)</f>
        <v/>
      </c>
      <c r="M737" s="2">
        <f>MIN(MAX(1-G737,0),1)</f>
        <v/>
      </c>
      <c r="N737" s="2">
        <f>MIN(MAX(1-(H737-1)/4,0),1)</f>
        <v/>
      </c>
      <c r="O737" s="2">
        <f>1-MIN(I737/8,1)</f>
        <v/>
      </c>
      <c r="P737" s="10">
        <f>ROUND(100*(J737*Assumptions!$B$6+K737*Assumptions!$B$7+L737*Assumptions!$B$8+M737*Assumptions!$B$9+N737*Assumptions!$B$10+O737*Assumptions!$B$11),1)</f>
        <v/>
      </c>
      <c r="Q737" s="2">
        <f>IF(P737&gt;=Assumptions!$B$14,"High",IF(P737&gt;=Assumptions!$B$15,"Medium","Low"))</f>
        <v/>
      </c>
      <c r="R737" s="2">
        <f>Cleaned_Data!L737</f>
        <v/>
      </c>
    </row>
    <row r="738">
      <c r="A738" s="2">
        <f>Cleaned_Data!A738</f>
        <v/>
      </c>
      <c r="B738" s="2">
        <f>Cleaned_Data!B738</f>
        <v/>
      </c>
      <c r="C738" s="2">
        <f>Cleaned_Data!G738</f>
        <v/>
      </c>
      <c r="D738" s="2">
        <f>Cleaned_Data!I738</f>
        <v/>
      </c>
      <c r="E738" s="2">
        <f>Cleaned_Data!H738</f>
        <v/>
      </c>
      <c r="F738" s="2">
        <f>Cleaned_Data!F738</f>
        <v/>
      </c>
      <c r="G738" s="9">
        <f>SUMPRODUCT(($B$2:$B$1196=B738)*($F$2:$F$1196&lt;=F738))/SUMPRODUCT(($B$2:$B$1196=B738)*1)</f>
        <v/>
      </c>
      <c r="H738" s="2">
        <f>Cleaned_Data!J738</f>
        <v/>
      </c>
      <c r="I738" s="2">
        <f>Cleaned_Data!E738</f>
        <v/>
      </c>
      <c r="J738" s="2">
        <f>IF(C738="Yes",1,0)</f>
        <v/>
      </c>
      <c r="K738" s="2">
        <f>MIN(MAX(1-(D738-1)/4,0),1)</f>
        <v/>
      </c>
      <c r="L738" s="2">
        <f>MIN(E738/60,1)</f>
        <v/>
      </c>
      <c r="M738" s="2">
        <f>MIN(MAX(1-G738,0),1)</f>
        <v/>
      </c>
      <c r="N738" s="2">
        <f>MIN(MAX(1-(H738-1)/4,0),1)</f>
        <v/>
      </c>
      <c r="O738" s="2">
        <f>1-MIN(I738/8,1)</f>
        <v/>
      </c>
      <c r="P738" s="10">
        <f>ROUND(100*(J738*Assumptions!$B$6+K738*Assumptions!$B$7+L738*Assumptions!$B$8+M738*Assumptions!$B$9+N738*Assumptions!$B$10+O738*Assumptions!$B$11),1)</f>
        <v/>
      </c>
      <c r="Q738" s="2">
        <f>IF(P738&gt;=Assumptions!$B$14,"High",IF(P738&gt;=Assumptions!$B$15,"Medium","Low"))</f>
        <v/>
      </c>
      <c r="R738" s="2">
        <f>Cleaned_Data!L738</f>
        <v/>
      </c>
    </row>
    <row r="739">
      <c r="A739" s="2">
        <f>Cleaned_Data!A739</f>
        <v/>
      </c>
      <c r="B739" s="2">
        <f>Cleaned_Data!B739</f>
        <v/>
      </c>
      <c r="C739" s="2">
        <f>Cleaned_Data!G739</f>
        <v/>
      </c>
      <c r="D739" s="2">
        <f>Cleaned_Data!I739</f>
        <v/>
      </c>
      <c r="E739" s="2">
        <f>Cleaned_Data!H739</f>
        <v/>
      </c>
      <c r="F739" s="2">
        <f>Cleaned_Data!F739</f>
        <v/>
      </c>
      <c r="G739" s="9">
        <f>SUMPRODUCT(($B$2:$B$1196=B739)*($F$2:$F$1196&lt;=F739))/SUMPRODUCT(($B$2:$B$1196=B739)*1)</f>
        <v/>
      </c>
      <c r="H739" s="2">
        <f>Cleaned_Data!J739</f>
        <v/>
      </c>
      <c r="I739" s="2">
        <f>Cleaned_Data!E739</f>
        <v/>
      </c>
      <c r="J739" s="2">
        <f>IF(C739="Yes",1,0)</f>
        <v/>
      </c>
      <c r="K739" s="2">
        <f>MIN(MAX(1-(D739-1)/4,0),1)</f>
        <v/>
      </c>
      <c r="L739" s="2">
        <f>MIN(E739/60,1)</f>
        <v/>
      </c>
      <c r="M739" s="2">
        <f>MIN(MAX(1-G739,0),1)</f>
        <v/>
      </c>
      <c r="N739" s="2">
        <f>MIN(MAX(1-(H739-1)/4,0),1)</f>
        <v/>
      </c>
      <c r="O739" s="2">
        <f>1-MIN(I739/8,1)</f>
        <v/>
      </c>
      <c r="P739" s="10">
        <f>ROUND(100*(J739*Assumptions!$B$6+K739*Assumptions!$B$7+L739*Assumptions!$B$8+M739*Assumptions!$B$9+N739*Assumptions!$B$10+O739*Assumptions!$B$11),1)</f>
        <v/>
      </c>
      <c r="Q739" s="2">
        <f>IF(P739&gt;=Assumptions!$B$14,"High",IF(P739&gt;=Assumptions!$B$15,"Medium","Low"))</f>
        <v/>
      </c>
      <c r="R739" s="2">
        <f>Cleaned_Data!L739</f>
        <v/>
      </c>
    </row>
    <row r="740">
      <c r="A740" s="2">
        <f>Cleaned_Data!A740</f>
        <v/>
      </c>
      <c r="B740" s="2">
        <f>Cleaned_Data!B740</f>
        <v/>
      </c>
      <c r="C740" s="2">
        <f>Cleaned_Data!G740</f>
        <v/>
      </c>
      <c r="D740" s="2">
        <f>Cleaned_Data!I740</f>
        <v/>
      </c>
      <c r="E740" s="2">
        <f>Cleaned_Data!H740</f>
        <v/>
      </c>
      <c r="F740" s="2">
        <f>Cleaned_Data!F740</f>
        <v/>
      </c>
      <c r="G740" s="9">
        <f>SUMPRODUCT(($B$2:$B$1196=B740)*($F$2:$F$1196&lt;=F740))/SUMPRODUCT(($B$2:$B$1196=B740)*1)</f>
        <v/>
      </c>
      <c r="H740" s="2">
        <f>Cleaned_Data!J740</f>
        <v/>
      </c>
      <c r="I740" s="2">
        <f>Cleaned_Data!E740</f>
        <v/>
      </c>
      <c r="J740" s="2">
        <f>IF(C740="Yes",1,0)</f>
        <v/>
      </c>
      <c r="K740" s="2">
        <f>MIN(MAX(1-(D740-1)/4,0),1)</f>
        <v/>
      </c>
      <c r="L740" s="2">
        <f>MIN(E740/60,1)</f>
        <v/>
      </c>
      <c r="M740" s="2">
        <f>MIN(MAX(1-G740,0),1)</f>
        <v/>
      </c>
      <c r="N740" s="2">
        <f>MIN(MAX(1-(H740-1)/4,0),1)</f>
        <v/>
      </c>
      <c r="O740" s="2">
        <f>1-MIN(I740/8,1)</f>
        <v/>
      </c>
      <c r="P740" s="10">
        <f>ROUND(100*(J740*Assumptions!$B$6+K740*Assumptions!$B$7+L740*Assumptions!$B$8+M740*Assumptions!$B$9+N740*Assumptions!$B$10+O740*Assumptions!$B$11),1)</f>
        <v/>
      </c>
      <c r="Q740" s="2">
        <f>IF(P740&gt;=Assumptions!$B$14,"High",IF(P740&gt;=Assumptions!$B$15,"Medium","Low"))</f>
        <v/>
      </c>
      <c r="R740" s="2">
        <f>Cleaned_Data!L740</f>
        <v/>
      </c>
    </row>
    <row r="741">
      <c r="A741" s="2">
        <f>Cleaned_Data!A741</f>
        <v/>
      </c>
      <c r="B741" s="2">
        <f>Cleaned_Data!B741</f>
        <v/>
      </c>
      <c r="C741" s="2">
        <f>Cleaned_Data!G741</f>
        <v/>
      </c>
      <c r="D741" s="2">
        <f>Cleaned_Data!I741</f>
        <v/>
      </c>
      <c r="E741" s="2">
        <f>Cleaned_Data!H741</f>
        <v/>
      </c>
      <c r="F741" s="2">
        <f>Cleaned_Data!F741</f>
        <v/>
      </c>
      <c r="G741" s="9">
        <f>SUMPRODUCT(($B$2:$B$1196=B741)*($F$2:$F$1196&lt;=F741))/SUMPRODUCT(($B$2:$B$1196=B741)*1)</f>
        <v/>
      </c>
      <c r="H741" s="2">
        <f>Cleaned_Data!J741</f>
        <v/>
      </c>
      <c r="I741" s="2">
        <f>Cleaned_Data!E741</f>
        <v/>
      </c>
      <c r="J741" s="2">
        <f>IF(C741="Yes",1,0)</f>
        <v/>
      </c>
      <c r="K741" s="2">
        <f>MIN(MAX(1-(D741-1)/4,0),1)</f>
        <v/>
      </c>
      <c r="L741" s="2">
        <f>MIN(E741/60,1)</f>
        <v/>
      </c>
      <c r="M741" s="2">
        <f>MIN(MAX(1-G741,0),1)</f>
        <v/>
      </c>
      <c r="N741" s="2">
        <f>MIN(MAX(1-(H741-1)/4,0),1)</f>
        <v/>
      </c>
      <c r="O741" s="2">
        <f>1-MIN(I741/8,1)</f>
        <v/>
      </c>
      <c r="P741" s="10">
        <f>ROUND(100*(J741*Assumptions!$B$6+K741*Assumptions!$B$7+L741*Assumptions!$B$8+M741*Assumptions!$B$9+N741*Assumptions!$B$10+O741*Assumptions!$B$11),1)</f>
        <v/>
      </c>
      <c r="Q741" s="2">
        <f>IF(P741&gt;=Assumptions!$B$14,"High",IF(P741&gt;=Assumptions!$B$15,"Medium","Low"))</f>
        <v/>
      </c>
      <c r="R741" s="2">
        <f>Cleaned_Data!L741</f>
        <v/>
      </c>
    </row>
    <row r="742">
      <c r="A742" s="2">
        <f>Cleaned_Data!A742</f>
        <v/>
      </c>
      <c r="B742" s="2">
        <f>Cleaned_Data!B742</f>
        <v/>
      </c>
      <c r="C742" s="2">
        <f>Cleaned_Data!G742</f>
        <v/>
      </c>
      <c r="D742" s="2">
        <f>Cleaned_Data!I742</f>
        <v/>
      </c>
      <c r="E742" s="2">
        <f>Cleaned_Data!H742</f>
        <v/>
      </c>
      <c r="F742" s="2">
        <f>Cleaned_Data!F742</f>
        <v/>
      </c>
      <c r="G742" s="9">
        <f>SUMPRODUCT(($B$2:$B$1196=B742)*($F$2:$F$1196&lt;=F742))/SUMPRODUCT(($B$2:$B$1196=B742)*1)</f>
        <v/>
      </c>
      <c r="H742" s="2">
        <f>Cleaned_Data!J742</f>
        <v/>
      </c>
      <c r="I742" s="2">
        <f>Cleaned_Data!E742</f>
        <v/>
      </c>
      <c r="J742" s="2">
        <f>IF(C742="Yes",1,0)</f>
        <v/>
      </c>
      <c r="K742" s="2">
        <f>MIN(MAX(1-(D742-1)/4,0),1)</f>
        <v/>
      </c>
      <c r="L742" s="2">
        <f>MIN(E742/60,1)</f>
        <v/>
      </c>
      <c r="M742" s="2">
        <f>MIN(MAX(1-G742,0),1)</f>
        <v/>
      </c>
      <c r="N742" s="2">
        <f>MIN(MAX(1-(H742-1)/4,0),1)</f>
        <v/>
      </c>
      <c r="O742" s="2">
        <f>1-MIN(I742/8,1)</f>
        <v/>
      </c>
      <c r="P742" s="10">
        <f>ROUND(100*(J742*Assumptions!$B$6+K742*Assumptions!$B$7+L742*Assumptions!$B$8+M742*Assumptions!$B$9+N742*Assumptions!$B$10+O742*Assumptions!$B$11),1)</f>
        <v/>
      </c>
      <c r="Q742" s="2">
        <f>IF(P742&gt;=Assumptions!$B$14,"High",IF(P742&gt;=Assumptions!$B$15,"Medium","Low"))</f>
        <v/>
      </c>
      <c r="R742" s="2">
        <f>Cleaned_Data!L742</f>
        <v/>
      </c>
    </row>
    <row r="743">
      <c r="A743" s="2">
        <f>Cleaned_Data!A743</f>
        <v/>
      </c>
      <c r="B743" s="2">
        <f>Cleaned_Data!B743</f>
        <v/>
      </c>
      <c r="C743" s="2">
        <f>Cleaned_Data!G743</f>
        <v/>
      </c>
      <c r="D743" s="2">
        <f>Cleaned_Data!I743</f>
        <v/>
      </c>
      <c r="E743" s="2">
        <f>Cleaned_Data!H743</f>
        <v/>
      </c>
      <c r="F743" s="2">
        <f>Cleaned_Data!F743</f>
        <v/>
      </c>
      <c r="G743" s="9">
        <f>SUMPRODUCT(($B$2:$B$1196=B743)*($F$2:$F$1196&lt;=F743))/SUMPRODUCT(($B$2:$B$1196=B743)*1)</f>
        <v/>
      </c>
      <c r="H743" s="2">
        <f>Cleaned_Data!J743</f>
        <v/>
      </c>
      <c r="I743" s="2">
        <f>Cleaned_Data!E743</f>
        <v/>
      </c>
      <c r="J743" s="2">
        <f>IF(C743="Yes",1,0)</f>
        <v/>
      </c>
      <c r="K743" s="2">
        <f>MIN(MAX(1-(D743-1)/4,0),1)</f>
        <v/>
      </c>
      <c r="L743" s="2">
        <f>MIN(E743/60,1)</f>
        <v/>
      </c>
      <c r="M743" s="2">
        <f>MIN(MAX(1-G743,0),1)</f>
        <v/>
      </c>
      <c r="N743" s="2">
        <f>MIN(MAX(1-(H743-1)/4,0),1)</f>
        <v/>
      </c>
      <c r="O743" s="2">
        <f>1-MIN(I743/8,1)</f>
        <v/>
      </c>
      <c r="P743" s="10">
        <f>ROUND(100*(J743*Assumptions!$B$6+K743*Assumptions!$B$7+L743*Assumptions!$B$8+M743*Assumptions!$B$9+N743*Assumptions!$B$10+O743*Assumptions!$B$11),1)</f>
        <v/>
      </c>
      <c r="Q743" s="2">
        <f>IF(P743&gt;=Assumptions!$B$14,"High",IF(P743&gt;=Assumptions!$B$15,"Medium","Low"))</f>
        <v/>
      </c>
      <c r="R743" s="2">
        <f>Cleaned_Data!L743</f>
        <v/>
      </c>
    </row>
    <row r="744">
      <c r="A744" s="2">
        <f>Cleaned_Data!A744</f>
        <v/>
      </c>
      <c r="B744" s="2">
        <f>Cleaned_Data!B744</f>
        <v/>
      </c>
      <c r="C744" s="2">
        <f>Cleaned_Data!G744</f>
        <v/>
      </c>
      <c r="D744" s="2">
        <f>Cleaned_Data!I744</f>
        <v/>
      </c>
      <c r="E744" s="2">
        <f>Cleaned_Data!H744</f>
        <v/>
      </c>
      <c r="F744" s="2">
        <f>Cleaned_Data!F744</f>
        <v/>
      </c>
      <c r="G744" s="9">
        <f>SUMPRODUCT(($B$2:$B$1196=B744)*($F$2:$F$1196&lt;=F744))/SUMPRODUCT(($B$2:$B$1196=B744)*1)</f>
        <v/>
      </c>
      <c r="H744" s="2">
        <f>Cleaned_Data!J744</f>
        <v/>
      </c>
      <c r="I744" s="2">
        <f>Cleaned_Data!E744</f>
        <v/>
      </c>
      <c r="J744" s="2">
        <f>IF(C744="Yes",1,0)</f>
        <v/>
      </c>
      <c r="K744" s="2">
        <f>MIN(MAX(1-(D744-1)/4,0),1)</f>
        <v/>
      </c>
      <c r="L744" s="2">
        <f>MIN(E744/60,1)</f>
        <v/>
      </c>
      <c r="M744" s="2">
        <f>MIN(MAX(1-G744,0),1)</f>
        <v/>
      </c>
      <c r="N744" s="2">
        <f>MIN(MAX(1-(H744-1)/4,0),1)</f>
        <v/>
      </c>
      <c r="O744" s="2">
        <f>1-MIN(I744/8,1)</f>
        <v/>
      </c>
      <c r="P744" s="10">
        <f>ROUND(100*(J744*Assumptions!$B$6+K744*Assumptions!$B$7+L744*Assumptions!$B$8+M744*Assumptions!$B$9+N744*Assumptions!$B$10+O744*Assumptions!$B$11),1)</f>
        <v/>
      </c>
      <c r="Q744" s="2">
        <f>IF(P744&gt;=Assumptions!$B$14,"High",IF(P744&gt;=Assumptions!$B$15,"Medium","Low"))</f>
        <v/>
      </c>
      <c r="R744" s="2">
        <f>Cleaned_Data!L744</f>
        <v/>
      </c>
    </row>
    <row r="745">
      <c r="A745" s="2">
        <f>Cleaned_Data!A745</f>
        <v/>
      </c>
      <c r="B745" s="2">
        <f>Cleaned_Data!B745</f>
        <v/>
      </c>
      <c r="C745" s="2">
        <f>Cleaned_Data!G745</f>
        <v/>
      </c>
      <c r="D745" s="2">
        <f>Cleaned_Data!I745</f>
        <v/>
      </c>
      <c r="E745" s="2">
        <f>Cleaned_Data!H745</f>
        <v/>
      </c>
      <c r="F745" s="2">
        <f>Cleaned_Data!F745</f>
        <v/>
      </c>
      <c r="G745" s="9">
        <f>SUMPRODUCT(($B$2:$B$1196=B745)*($F$2:$F$1196&lt;=F745))/SUMPRODUCT(($B$2:$B$1196=B745)*1)</f>
        <v/>
      </c>
      <c r="H745" s="2">
        <f>Cleaned_Data!J745</f>
        <v/>
      </c>
      <c r="I745" s="2">
        <f>Cleaned_Data!E745</f>
        <v/>
      </c>
      <c r="J745" s="2">
        <f>IF(C745="Yes",1,0)</f>
        <v/>
      </c>
      <c r="K745" s="2">
        <f>MIN(MAX(1-(D745-1)/4,0),1)</f>
        <v/>
      </c>
      <c r="L745" s="2">
        <f>MIN(E745/60,1)</f>
        <v/>
      </c>
      <c r="M745" s="2">
        <f>MIN(MAX(1-G745,0),1)</f>
        <v/>
      </c>
      <c r="N745" s="2">
        <f>MIN(MAX(1-(H745-1)/4,0),1)</f>
        <v/>
      </c>
      <c r="O745" s="2">
        <f>1-MIN(I745/8,1)</f>
        <v/>
      </c>
      <c r="P745" s="10">
        <f>ROUND(100*(J745*Assumptions!$B$6+K745*Assumptions!$B$7+L745*Assumptions!$B$8+M745*Assumptions!$B$9+N745*Assumptions!$B$10+O745*Assumptions!$B$11),1)</f>
        <v/>
      </c>
      <c r="Q745" s="2">
        <f>IF(P745&gt;=Assumptions!$B$14,"High",IF(P745&gt;=Assumptions!$B$15,"Medium","Low"))</f>
        <v/>
      </c>
      <c r="R745" s="2">
        <f>Cleaned_Data!L745</f>
        <v/>
      </c>
    </row>
    <row r="746">
      <c r="A746" s="2">
        <f>Cleaned_Data!A746</f>
        <v/>
      </c>
      <c r="B746" s="2">
        <f>Cleaned_Data!B746</f>
        <v/>
      </c>
      <c r="C746" s="2">
        <f>Cleaned_Data!G746</f>
        <v/>
      </c>
      <c r="D746" s="2">
        <f>Cleaned_Data!I746</f>
        <v/>
      </c>
      <c r="E746" s="2">
        <f>Cleaned_Data!H746</f>
        <v/>
      </c>
      <c r="F746" s="2">
        <f>Cleaned_Data!F746</f>
        <v/>
      </c>
      <c r="G746" s="9">
        <f>SUMPRODUCT(($B$2:$B$1196=B746)*($F$2:$F$1196&lt;=F746))/SUMPRODUCT(($B$2:$B$1196=B746)*1)</f>
        <v/>
      </c>
      <c r="H746" s="2">
        <f>Cleaned_Data!J746</f>
        <v/>
      </c>
      <c r="I746" s="2">
        <f>Cleaned_Data!E746</f>
        <v/>
      </c>
      <c r="J746" s="2">
        <f>IF(C746="Yes",1,0)</f>
        <v/>
      </c>
      <c r="K746" s="2">
        <f>MIN(MAX(1-(D746-1)/4,0),1)</f>
        <v/>
      </c>
      <c r="L746" s="2">
        <f>MIN(E746/60,1)</f>
        <v/>
      </c>
      <c r="M746" s="2">
        <f>MIN(MAX(1-G746,0),1)</f>
        <v/>
      </c>
      <c r="N746" s="2">
        <f>MIN(MAX(1-(H746-1)/4,0),1)</f>
        <v/>
      </c>
      <c r="O746" s="2">
        <f>1-MIN(I746/8,1)</f>
        <v/>
      </c>
      <c r="P746" s="10">
        <f>ROUND(100*(J746*Assumptions!$B$6+K746*Assumptions!$B$7+L746*Assumptions!$B$8+M746*Assumptions!$B$9+N746*Assumptions!$B$10+O746*Assumptions!$B$11),1)</f>
        <v/>
      </c>
      <c r="Q746" s="2">
        <f>IF(P746&gt;=Assumptions!$B$14,"High",IF(P746&gt;=Assumptions!$B$15,"Medium","Low"))</f>
        <v/>
      </c>
      <c r="R746" s="2">
        <f>Cleaned_Data!L746</f>
        <v/>
      </c>
    </row>
    <row r="747">
      <c r="A747" s="2">
        <f>Cleaned_Data!A747</f>
        <v/>
      </c>
      <c r="B747" s="2">
        <f>Cleaned_Data!B747</f>
        <v/>
      </c>
      <c r="C747" s="2">
        <f>Cleaned_Data!G747</f>
        <v/>
      </c>
      <c r="D747" s="2">
        <f>Cleaned_Data!I747</f>
        <v/>
      </c>
      <c r="E747" s="2">
        <f>Cleaned_Data!H747</f>
        <v/>
      </c>
      <c r="F747" s="2">
        <f>Cleaned_Data!F747</f>
        <v/>
      </c>
      <c r="G747" s="9">
        <f>SUMPRODUCT(($B$2:$B$1196=B747)*($F$2:$F$1196&lt;=F747))/SUMPRODUCT(($B$2:$B$1196=B747)*1)</f>
        <v/>
      </c>
      <c r="H747" s="2">
        <f>Cleaned_Data!J747</f>
        <v/>
      </c>
      <c r="I747" s="2">
        <f>Cleaned_Data!E747</f>
        <v/>
      </c>
      <c r="J747" s="2">
        <f>IF(C747="Yes",1,0)</f>
        <v/>
      </c>
      <c r="K747" s="2">
        <f>MIN(MAX(1-(D747-1)/4,0),1)</f>
        <v/>
      </c>
      <c r="L747" s="2">
        <f>MIN(E747/60,1)</f>
        <v/>
      </c>
      <c r="M747" s="2">
        <f>MIN(MAX(1-G747,0),1)</f>
        <v/>
      </c>
      <c r="N747" s="2">
        <f>MIN(MAX(1-(H747-1)/4,0),1)</f>
        <v/>
      </c>
      <c r="O747" s="2">
        <f>1-MIN(I747/8,1)</f>
        <v/>
      </c>
      <c r="P747" s="10">
        <f>ROUND(100*(J747*Assumptions!$B$6+K747*Assumptions!$B$7+L747*Assumptions!$B$8+M747*Assumptions!$B$9+N747*Assumptions!$B$10+O747*Assumptions!$B$11),1)</f>
        <v/>
      </c>
      <c r="Q747" s="2">
        <f>IF(P747&gt;=Assumptions!$B$14,"High",IF(P747&gt;=Assumptions!$B$15,"Medium","Low"))</f>
        <v/>
      </c>
      <c r="R747" s="2">
        <f>Cleaned_Data!L747</f>
        <v/>
      </c>
    </row>
    <row r="748">
      <c r="A748" s="2">
        <f>Cleaned_Data!A748</f>
        <v/>
      </c>
      <c r="B748" s="2">
        <f>Cleaned_Data!B748</f>
        <v/>
      </c>
      <c r="C748" s="2">
        <f>Cleaned_Data!G748</f>
        <v/>
      </c>
      <c r="D748" s="2">
        <f>Cleaned_Data!I748</f>
        <v/>
      </c>
      <c r="E748" s="2">
        <f>Cleaned_Data!H748</f>
        <v/>
      </c>
      <c r="F748" s="2">
        <f>Cleaned_Data!F748</f>
        <v/>
      </c>
      <c r="G748" s="9">
        <f>SUMPRODUCT(($B$2:$B$1196=B748)*($F$2:$F$1196&lt;=F748))/SUMPRODUCT(($B$2:$B$1196=B748)*1)</f>
        <v/>
      </c>
      <c r="H748" s="2">
        <f>Cleaned_Data!J748</f>
        <v/>
      </c>
      <c r="I748" s="2">
        <f>Cleaned_Data!E748</f>
        <v/>
      </c>
      <c r="J748" s="2">
        <f>IF(C748="Yes",1,0)</f>
        <v/>
      </c>
      <c r="K748" s="2">
        <f>MIN(MAX(1-(D748-1)/4,0),1)</f>
        <v/>
      </c>
      <c r="L748" s="2">
        <f>MIN(E748/60,1)</f>
        <v/>
      </c>
      <c r="M748" s="2">
        <f>MIN(MAX(1-G748,0),1)</f>
        <v/>
      </c>
      <c r="N748" s="2">
        <f>MIN(MAX(1-(H748-1)/4,0),1)</f>
        <v/>
      </c>
      <c r="O748" s="2">
        <f>1-MIN(I748/8,1)</f>
        <v/>
      </c>
      <c r="P748" s="10">
        <f>ROUND(100*(J748*Assumptions!$B$6+K748*Assumptions!$B$7+L748*Assumptions!$B$8+M748*Assumptions!$B$9+N748*Assumptions!$B$10+O748*Assumptions!$B$11),1)</f>
        <v/>
      </c>
      <c r="Q748" s="2">
        <f>IF(P748&gt;=Assumptions!$B$14,"High",IF(P748&gt;=Assumptions!$B$15,"Medium","Low"))</f>
        <v/>
      </c>
      <c r="R748" s="2">
        <f>Cleaned_Data!L748</f>
        <v/>
      </c>
    </row>
    <row r="749">
      <c r="A749" s="2">
        <f>Cleaned_Data!A749</f>
        <v/>
      </c>
      <c r="B749" s="2">
        <f>Cleaned_Data!B749</f>
        <v/>
      </c>
      <c r="C749" s="2">
        <f>Cleaned_Data!G749</f>
        <v/>
      </c>
      <c r="D749" s="2">
        <f>Cleaned_Data!I749</f>
        <v/>
      </c>
      <c r="E749" s="2">
        <f>Cleaned_Data!H749</f>
        <v/>
      </c>
      <c r="F749" s="2">
        <f>Cleaned_Data!F749</f>
        <v/>
      </c>
      <c r="G749" s="9">
        <f>SUMPRODUCT(($B$2:$B$1196=B749)*($F$2:$F$1196&lt;=F749))/SUMPRODUCT(($B$2:$B$1196=B749)*1)</f>
        <v/>
      </c>
      <c r="H749" s="2">
        <f>Cleaned_Data!J749</f>
        <v/>
      </c>
      <c r="I749" s="2">
        <f>Cleaned_Data!E749</f>
        <v/>
      </c>
      <c r="J749" s="2">
        <f>IF(C749="Yes",1,0)</f>
        <v/>
      </c>
      <c r="K749" s="2">
        <f>MIN(MAX(1-(D749-1)/4,0),1)</f>
        <v/>
      </c>
      <c r="L749" s="2">
        <f>MIN(E749/60,1)</f>
        <v/>
      </c>
      <c r="M749" s="2">
        <f>MIN(MAX(1-G749,0),1)</f>
        <v/>
      </c>
      <c r="N749" s="2">
        <f>MIN(MAX(1-(H749-1)/4,0),1)</f>
        <v/>
      </c>
      <c r="O749" s="2">
        <f>1-MIN(I749/8,1)</f>
        <v/>
      </c>
      <c r="P749" s="10">
        <f>ROUND(100*(J749*Assumptions!$B$6+K749*Assumptions!$B$7+L749*Assumptions!$B$8+M749*Assumptions!$B$9+N749*Assumptions!$B$10+O749*Assumptions!$B$11),1)</f>
        <v/>
      </c>
      <c r="Q749" s="2">
        <f>IF(P749&gt;=Assumptions!$B$14,"High",IF(P749&gt;=Assumptions!$B$15,"Medium","Low"))</f>
        <v/>
      </c>
      <c r="R749" s="2">
        <f>Cleaned_Data!L749</f>
        <v/>
      </c>
    </row>
    <row r="750">
      <c r="A750" s="2">
        <f>Cleaned_Data!A750</f>
        <v/>
      </c>
      <c r="B750" s="2">
        <f>Cleaned_Data!B750</f>
        <v/>
      </c>
      <c r="C750" s="2">
        <f>Cleaned_Data!G750</f>
        <v/>
      </c>
      <c r="D750" s="2">
        <f>Cleaned_Data!I750</f>
        <v/>
      </c>
      <c r="E750" s="2">
        <f>Cleaned_Data!H750</f>
        <v/>
      </c>
      <c r="F750" s="2">
        <f>Cleaned_Data!F750</f>
        <v/>
      </c>
      <c r="G750" s="9">
        <f>SUMPRODUCT(($B$2:$B$1196=B750)*($F$2:$F$1196&lt;=F750))/SUMPRODUCT(($B$2:$B$1196=B750)*1)</f>
        <v/>
      </c>
      <c r="H750" s="2">
        <f>Cleaned_Data!J750</f>
        <v/>
      </c>
      <c r="I750" s="2">
        <f>Cleaned_Data!E750</f>
        <v/>
      </c>
      <c r="J750" s="2">
        <f>IF(C750="Yes",1,0)</f>
        <v/>
      </c>
      <c r="K750" s="2">
        <f>MIN(MAX(1-(D750-1)/4,0),1)</f>
        <v/>
      </c>
      <c r="L750" s="2">
        <f>MIN(E750/60,1)</f>
        <v/>
      </c>
      <c r="M750" s="2">
        <f>MIN(MAX(1-G750,0),1)</f>
        <v/>
      </c>
      <c r="N750" s="2">
        <f>MIN(MAX(1-(H750-1)/4,0),1)</f>
        <v/>
      </c>
      <c r="O750" s="2">
        <f>1-MIN(I750/8,1)</f>
        <v/>
      </c>
      <c r="P750" s="10">
        <f>ROUND(100*(J750*Assumptions!$B$6+K750*Assumptions!$B$7+L750*Assumptions!$B$8+M750*Assumptions!$B$9+N750*Assumptions!$B$10+O750*Assumptions!$B$11),1)</f>
        <v/>
      </c>
      <c r="Q750" s="2">
        <f>IF(P750&gt;=Assumptions!$B$14,"High",IF(P750&gt;=Assumptions!$B$15,"Medium","Low"))</f>
        <v/>
      </c>
      <c r="R750" s="2">
        <f>Cleaned_Data!L750</f>
        <v/>
      </c>
    </row>
    <row r="751">
      <c r="A751" s="2">
        <f>Cleaned_Data!A751</f>
        <v/>
      </c>
      <c r="B751" s="2">
        <f>Cleaned_Data!B751</f>
        <v/>
      </c>
      <c r="C751" s="2">
        <f>Cleaned_Data!G751</f>
        <v/>
      </c>
      <c r="D751" s="2">
        <f>Cleaned_Data!I751</f>
        <v/>
      </c>
      <c r="E751" s="2">
        <f>Cleaned_Data!H751</f>
        <v/>
      </c>
      <c r="F751" s="2">
        <f>Cleaned_Data!F751</f>
        <v/>
      </c>
      <c r="G751" s="9">
        <f>SUMPRODUCT(($B$2:$B$1196=B751)*($F$2:$F$1196&lt;=F751))/SUMPRODUCT(($B$2:$B$1196=B751)*1)</f>
        <v/>
      </c>
      <c r="H751" s="2">
        <f>Cleaned_Data!J751</f>
        <v/>
      </c>
      <c r="I751" s="2">
        <f>Cleaned_Data!E751</f>
        <v/>
      </c>
      <c r="J751" s="2">
        <f>IF(C751="Yes",1,0)</f>
        <v/>
      </c>
      <c r="K751" s="2">
        <f>MIN(MAX(1-(D751-1)/4,0),1)</f>
        <v/>
      </c>
      <c r="L751" s="2">
        <f>MIN(E751/60,1)</f>
        <v/>
      </c>
      <c r="M751" s="2">
        <f>MIN(MAX(1-G751,0),1)</f>
        <v/>
      </c>
      <c r="N751" s="2">
        <f>MIN(MAX(1-(H751-1)/4,0),1)</f>
        <v/>
      </c>
      <c r="O751" s="2">
        <f>1-MIN(I751/8,1)</f>
        <v/>
      </c>
      <c r="P751" s="10">
        <f>ROUND(100*(J751*Assumptions!$B$6+K751*Assumptions!$B$7+L751*Assumptions!$B$8+M751*Assumptions!$B$9+N751*Assumptions!$B$10+O751*Assumptions!$B$11),1)</f>
        <v/>
      </c>
      <c r="Q751" s="2">
        <f>IF(P751&gt;=Assumptions!$B$14,"High",IF(P751&gt;=Assumptions!$B$15,"Medium","Low"))</f>
        <v/>
      </c>
      <c r="R751" s="2">
        <f>Cleaned_Data!L751</f>
        <v/>
      </c>
    </row>
    <row r="752">
      <c r="A752" s="2">
        <f>Cleaned_Data!A752</f>
        <v/>
      </c>
      <c r="B752" s="2">
        <f>Cleaned_Data!B752</f>
        <v/>
      </c>
      <c r="C752" s="2">
        <f>Cleaned_Data!G752</f>
        <v/>
      </c>
      <c r="D752" s="2">
        <f>Cleaned_Data!I752</f>
        <v/>
      </c>
      <c r="E752" s="2">
        <f>Cleaned_Data!H752</f>
        <v/>
      </c>
      <c r="F752" s="2">
        <f>Cleaned_Data!F752</f>
        <v/>
      </c>
      <c r="G752" s="9">
        <f>SUMPRODUCT(($B$2:$B$1196=B752)*($F$2:$F$1196&lt;=F752))/SUMPRODUCT(($B$2:$B$1196=B752)*1)</f>
        <v/>
      </c>
      <c r="H752" s="2">
        <f>Cleaned_Data!J752</f>
        <v/>
      </c>
      <c r="I752" s="2">
        <f>Cleaned_Data!E752</f>
        <v/>
      </c>
      <c r="J752" s="2">
        <f>IF(C752="Yes",1,0)</f>
        <v/>
      </c>
      <c r="K752" s="2">
        <f>MIN(MAX(1-(D752-1)/4,0),1)</f>
        <v/>
      </c>
      <c r="L752" s="2">
        <f>MIN(E752/60,1)</f>
        <v/>
      </c>
      <c r="M752" s="2">
        <f>MIN(MAX(1-G752,0),1)</f>
        <v/>
      </c>
      <c r="N752" s="2">
        <f>MIN(MAX(1-(H752-1)/4,0),1)</f>
        <v/>
      </c>
      <c r="O752" s="2">
        <f>1-MIN(I752/8,1)</f>
        <v/>
      </c>
      <c r="P752" s="10">
        <f>ROUND(100*(J752*Assumptions!$B$6+K752*Assumptions!$B$7+L752*Assumptions!$B$8+M752*Assumptions!$B$9+N752*Assumptions!$B$10+O752*Assumptions!$B$11),1)</f>
        <v/>
      </c>
      <c r="Q752" s="2">
        <f>IF(P752&gt;=Assumptions!$B$14,"High",IF(P752&gt;=Assumptions!$B$15,"Medium","Low"))</f>
        <v/>
      </c>
      <c r="R752" s="2">
        <f>Cleaned_Data!L752</f>
        <v/>
      </c>
    </row>
    <row r="753">
      <c r="A753" s="2">
        <f>Cleaned_Data!A753</f>
        <v/>
      </c>
      <c r="B753" s="2">
        <f>Cleaned_Data!B753</f>
        <v/>
      </c>
      <c r="C753" s="2">
        <f>Cleaned_Data!G753</f>
        <v/>
      </c>
      <c r="D753" s="2">
        <f>Cleaned_Data!I753</f>
        <v/>
      </c>
      <c r="E753" s="2">
        <f>Cleaned_Data!H753</f>
        <v/>
      </c>
      <c r="F753" s="2">
        <f>Cleaned_Data!F753</f>
        <v/>
      </c>
      <c r="G753" s="9">
        <f>SUMPRODUCT(($B$2:$B$1196=B753)*($F$2:$F$1196&lt;=F753))/SUMPRODUCT(($B$2:$B$1196=B753)*1)</f>
        <v/>
      </c>
      <c r="H753" s="2">
        <f>Cleaned_Data!J753</f>
        <v/>
      </c>
      <c r="I753" s="2">
        <f>Cleaned_Data!E753</f>
        <v/>
      </c>
      <c r="J753" s="2">
        <f>IF(C753="Yes",1,0)</f>
        <v/>
      </c>
      <c r="K753" s="2">
        <f>MIN(MAX(1-(D753-1)/4,0),1)</f>
        <v/>
      </c>
      <c r="L753" s="2">
        <f>MIN(E753/60,1)</f>
        <v/>
      </c>
      <c r="M753" s="2">
        <f>MIN(MAX(1-G753,0),1)</f>
        <v/>
      </c>
      <c r="N753" s="2">
        <f>MIN(MAX(1-(H753-1)/4,0),1)</f>
        <v/>
      </c>
      <c r="O753" s="2">
        <f>1-MIN(I753/8,1)</f>
        <v/>
      </c>
      <c r="P753" s="10">
        <f>ROUND(100*(J753*Assumptions!$B$6+K753*Assumptions!$B$7+L753*Assumptions!$B$8+M753*Assumptions!$B$9+N753*Assumptions!$B$10+O753*Assumptions!$B$11),1)</f>
        <v/>
      </c>
      <c r="Q753" s="2">
        <f>IF(P753&gt;=Assumptions!$B$14,"High",IF(P753&gt;=Assumptions!$B$15,"Medium","Low"))</f>
        <v/>
      </c>
      <c r="R753" s="2">
        <f>Cleaned_Data!L753</f>
        <v/>
      </c>
    </row>
    <row r="754">
      <c r="A754" s="2">
        <f>Cleaned_Data!A754</f>
        <v/>
      </c>
      <c r="B754" s="2">
        <f>Cleaned_Data!B754</f>
        <v/>
      </c>
      <c r="C754" s="2">
        <f>Cleaned_Data!G754</f>
        <v/>
      </c>
      <c r="D754" s="2">
        <f>Cleaned_Data!I754</f>
        <v/>
      </c>
      <c r="E754" s="2">
        <f>Cleaned_Data!H754</f>
        <v/>
      </c>
      <c r="F754" s="2">
        <f>Cleaned_Data!F754</f>
        <v/>
      </c>
      <c r="G754" s="9">
        <f>SUMPRODUCT(($B$2:$B$1196=B754)*($F$2:$F$1196&lt;=F754))/SUMPRODUCT(($B$2:$B$1196=B754)*1)</f>
        <v/>
      </c>
      <c r="H754" s="2">
        <f>Cleaned_Data!J754</f>
        <v/>
      </c>
      <c r="I754" s="2">
        <f>Cleaned_Data!E754</f>
        <v/>
      </c>
      <c r="J754" s="2">
        <f>IF(C754="Yes",1,0)</f>
        <v/>
      </c>
      <c r="K754" s="2">
        <f>MIN(MAX(1-(D754-1)/4,0),1)</f>
        <v/>
      </c>
      <c r="L754" s="2">
        <f>MIN(E754/60,1)</f>
        <v/>
      </c>
      <c r="M754" s="2">
        <f>MIN(MAX(1-G754,0),1)</f>
        <v/>
      </c>
      <c r="N754" s="2">
        <f>MIN(MAX(1-(H754-1)/4,0),1)</f>
        <v/>
      </c>
      <c r="O754" s="2">
        <f>1-MIN(I754/8,1)</f>
        <v/>
      </c>
      <c r="P754" s="10">
        <f>ROUND(100*(J754*Assumptions!$B$6+K754*Assumptions!$B$7+L754*Assumptions!$B$8+M754*Assumptions!$B$9+N754*Assumptions!$B$10+O754*Assumptions!$B$11),1)</f>
        <v/>
      </c>
      <c r="Q754" s="2">
        <f>IF(P754&gt;=Assumptions!$B$14,"High",IF(P754&gt;=Assumptions!$B$15,"Medium","Low"))</f>
        <v/>
      </c>
      <c r="R754" s="2">
        <f>Cleaned_Data!L754</f>
        <v/>
      </c>
    </row>
    <row r="755">
      <c r="A755" s="2">
        <f>Cleaned_Data!A755</f>
        <v/>
      </c>
      <c r="B755" s="2">
        <f>Cleaned_Data!B755</f>
        <v/>
      </c>
      <c r="C755" s="2">
        <f>Cleaned_Data!G755</f>
        <v/>
      </c>
      <c r="D755" s="2">
        <f>Cleaned_Data!I755</f>
        <v/>
      </c>
      <c r="E755" s="2">
        <f>Cleaned_Data!H755</f>
        <v/>
      </c>
      <c r="F755" s="2">
        <f>Cleaned_Data!F755</f>
        <v/>
      </c>
      <c r="G755" s="9">
        <f>SUMPRODUCT(($B$2:$B$1196=B755)*($F$2:$F$1196&lt;=F755))/SUMPRODUCT(($B$2:$B$1196=B755)*1)</f>
        <v/>
      </c>
      <c r="H755" s="2">
        <f>Cleaned_Data!J755</f>
        <v/>
      </c>
      <c r="I755" s="2">
        <f>Cleaned_Data!E755</f>
        <v/>
      </c>
      <c r="J755" s="2">
        <f>IF(C755="Yes",1,0)</f>
        <v/>
      </c>
      <c r="K755" s="2">
        <f>MIN(MAX(1-(D755-1)/4,0),1)</f>
        <v/>
      </c>
      <c r="L755" s="2">
        <f>MIN(E755/60,1)</f>
        <v/>
      </c>
      <c r="M755" s="2">
        <f>MIN(MAX(1-G755,0),1)</f>
        <v/>
      </c>
      <c r="N755" s="2">
        <f>MIN(MAX(1-(H755-1)/4,0),1)</f>
        <v/>
      </c>
      <c r="O755" s="2">
        <f>1-MIN(I755/8,1)</f>
        <v/>
      </c>
      <c r="P755" s="10">
        <f>ROUND(100*(J755*Assumptions!$B$6+K755*Assumptions!$B$7+L755*Assumptions!$B$8+M755*Assumptions!$B$9+N755*Assumptions!$B$10+O755*Assumptions!$B$11),1)</f>
        <v/>
      </c>
      <c r="Q755" s="2">
        <f>IF(P755&gt;=Assumptions!$B$14,"High",IF(P755&gt;=Assumptions!$B$15,"Medium","Low"))</f>
        <v/>
      </c>
      <c r="R755" s="2">
        <f>Cleaned_Data!L755</f>
        <v/>
      </c>
    </row>
    <row r="756">
      <c r="A756" s="2">
        <f>Cleaned_Data!A756</f>
        <v/>
      </c>
      <c r="B756" s="2">
        <f>Cleaned_Data!B756</f>
        <v/>
      </c>
      <c r="C756" s="2">
        <f>Cleaned_Data!G756</f>
        <v/>
      </c>
      <c r="D756" s="2">
        <f>Cleaned_Data!I756</f>
        <v/>
      </c>
      <c r="E756" s="2">
        <f>Cleaned_Data!H756</f>
        <v/>
      </c>
      <c r="F756" s="2">
        <f>Cleaned_Data!F756</f>
        <v/>
      </c>
      <c r="G756" s="9">
        <f>SUMPRODUCT(($B$2:$B$1196=B756)*($F$2:$F$1196&lt;=F756))/SUMPRODUCT(($B$2:$B$1196=B756)*1)</f>
        <v/>
      </c>
      <c r="H756" s="2">
        <f>Cleaned_Data!J756</f>
        <v/>
      </c>
      <c r="I756" s="2">
        <f>Cleaned_Data!E756</f>
        <v/>
      </c>
      <c r="J756" s="2">
        <f>IF(C756="Yes",1,0)</f>
        <v/>
      </c>
      <c r="K756" s="2">
        <f>MIN(MAX(1-(D756-1)/4,0),1)</f>
        <v/>
      </c>
      <c r="L756" s="2">
        <f>MIN(E756/60,1)</f>
        <v/>
      </c>
      <c r="M756" s="2">
        <f>MIN(MAX(1-G756,0),1)</f>
        <v/>
      </c>
      <c r="N756" s="2">
        <f>MIN(MAX(1-(H756-1)/4,0),1)</f>
        <v/>
      </c>
      <c r="O756" s="2">
        <f>1-MIN(I756/8,1)</f>
        <v/>
      </c>
      <c r="P756" s="10">
        <f>ROUND(100*(J756*Assumptions!$B$6+K756*Assumptions!$B$7+L756*Assumptions!$B$8+M756*Assumptions!$B$9+N756*Assumptions!$B$10+O756*Assumptions!$B$11),1)</f>
        <v/>
      </c>
      <c r="Q756" s="2">
        <f>IF(P756&gt;=Assumptions!$B$14,"High",IF(P756&gt;=Assumptions!$B$15,"Medium","Low"))</f>
        <v/>
      </c>
      <c r="R756" s="2">
        <f>Cleaned_Data!L756</f>
        <v/>
      </c>
    </row>
    <row r="757">
      <c r="A757" s="2">
        <f>Cleaned_Data!A757</f>
        <v/>
      </c>
      <c r="B757" s="2">
        <f>Cleaned_Data!B757</f>
        <v/>
      </c>
      <c r="C757" s="2">
        <f>Cleaned_Data!G757</f>
        <v/>
      </c>
      <c r="D757" s="2">
        <f>Cleaned_Data!I757</f>
        <v/>
      </c>
      <c r="E757" s="2">
        <f>Cleaned_Data!H757</f>
        <v/>
      </c>
      <c r="F757" s="2">
        <f>Cleaned_Data!F757</f>
        <v/>
      </c>
      <c r="G757" s="9">
        <f>SUMPRODUCT(($B$2:$B$1196=B757)*($F$2:$F$1196&lt;=F757))/SUMPRODUCT(($B$2:$B$1196=B757)*1)</f>
        <v/>
      </c>
      <c r="H757" s="2">
        <f>Cleaned_Data!J757</f>
        <v/>
      </c>
      <c r="I757" s="2">
        <f>Cleaned_Data!E757</f>
        <v/>
      </c>
      <c r="J757" s="2">
        <f>IF(C757="Yes",1,0)</f>
        <v/>
      </c>
      <c r="K757" s="2">
        <f>MIN(MAX(1-(D757-1)/4,0),1)</f>
        <v/>
      </c>
      <c r="L757" s="2">
        <f>MIN(E757/60,1)</f>
        <v/>
      </c>
      <c r="M757" s="2">
        <f>MIN(MAX(1-G757,0),1)</f>
        <v/>
      </c>
      <c r="N757" s="2">
        <f>MIN(MAX(1-(H757-1)/4,0),1)</f>
        <v/>
      </c>
      <c r="O757" s="2">
        <f>1-MIN(I757/8,1)</f>
        <v/>
      </c>
      <c r="P757" s="10">
        <f>ROUND(100*(J757*Assumptions!$B$6+K757*Assumptions!$B$7+L757*Assumptions!$B$8+M757*Assumptions!$B$9+N757*Assumptions!$B$10+O757*Assumptions!$B$11),1)</f>
        <v/>
      </c>
      <c r="Q757" s="2">
        <f>IF(P757&gt;=Assumptions!$B$14,"High",IF(P757&gt;=Assumptions!$B$15,"Medium","Low"))</f>
        <v/>
      </c>
      <c r="R757" s="2">
        <f>Cleaned_Data!L757</f>
        <v/>
      </c>
    </row>
    <row r="758">
      <c r="A758" s="2">
        <f>Cleaned_Data!A758</f>
        <v/>
      </c>
      <c r="B758" s="2">
        <f>Cleaned_Data!B758</f>
        <v/>
      </c>
      <c r="C758" s="2">
        <f>Cleaned_Data!G758</f>
        <v/>
      </c>
      <c r="D758" s="2">
        <f>Cleaned_Data!I758</f>
        <v/>
      </c>
      <c r="E758" s="2">
        <f>Cleaned_Data!H758</f>
        <v/>
      </c>
      <c r="F758" s="2">
        <f>Cleaned_Data!F758</f>
        <v/>
      </c>
      <c r="G758" s="9">
        <f>SUMPRODUCT(($B$2:$B$1196=B758)*($F$2:$F$1196&lt;=F758))/SUMPRODUCT(($B$2:$B$1196=B758)*1)</f>
        <v/>
      </c>
      <c r="H758" s="2">
        <f>Cleaned_Data!J758</f>
        <v/>
      </c>
      <c r="I758" s="2">
        <f>Cleaned_Data!E758</f>
        <v/>
      </c>
      <c r="J758" s="2">
        <f>IF(C758="Yes",1,0)</f>
        <v/>
      </c>
      <c r="K758" s="2">
        <f>MIN(MAX(1-(D758-1)/4,0),1)</f>
        <v/>
      </c>
      <c r="L758" s="2">
        <f>MIN(E758/60,1)</f>
        <v/>
      </c>
      <c r="M758" s="2">
        <f>MIN(MAX(1-G758,0),1)</f>
        <v/>
      </c>
      <c r="N758" s="2">
        <f>MIN(MAX(1-(H758-1)/4,0),1)</f>
        <v/>
      </c>
      <c r="O758" s="2">
        <f>1-MIN(I758/8,1)</f>
        <v/>
      </c>
      <c r="P758" s="10">
        <f>ROUND(100*(J758*Assumptions!$B$6+K758*Assumptions!$B$7+L758*Assumptions!$B$8+M758*Assumptions!$B$9+N758*Assumptions!$B$10+O758*Assumptions!$B$11),1)</f>
        <v/>
      </c>
      <c r="Q758" s="2">
        <f>IF(P758&gt;=Assumptions!$B$14,"High",IF(P758&gt;=Assumptions!$B$15,"Medium","Low"))</f>
        <v/>
      </c>
      <c r="R758" s="2">
        <f>Cleaned_Data!L758</f>
        <v/>
      </c>
    </row>
    <row r="759">
      <c r="A759" s="2">
        <f>Cleaned_Data!A759</f>
        <v/>
      </c>
      <c r="B759" s="2">
        <f>Cleaned_Data!B759</f>
        <v/>
      </c>
      <c r="C759" s="2">
        <f>Cleaned_Data!G759</f>
        <v/>
      </c>
      <c r="D759" s="2">
        <f>Cleaned_Data!I759</f>
        <v/>
      </c>
      <c r="E759" s="2">
        <f>Cleaned_Data!H759</f>
        <v/>
      </c>
      <c r="F759" s="2">
        <f>Cleaned_Data!F759</f>
        <v/>
      </c>
      <c r="G759" s="9">
        <f>SUMPRODUCT(($B$2:$B$1196=B759)*($F$2:$F$1196&lt;=F759))/SUMPRODUCT(($B$2:$B$1196=B759)*1)</f>
        <v/>
      </c>
      <c r="H759" s="2">
        <f>Cleaned_Data!J759</f>
        <v/>
      </c>
      <c r="I759" s="2">
        <f>Cleaned_Data!E759</f>
        <v/>
      </c>
      <c r="J759" s="2">
        <f>IF(C759="Yes",1,0)</f>
        <v/>
      </c>
      <c r="K759" s="2">
        <f>MIN(MAX(1-(D759-1)/4,0),1)</f>
        <v/>
      </c>
      <c r="L759" s="2">
        <f>MIN(E759/60,1)</f>
        <v/>
      </c>
      <c r="M759" s="2">
        <f>MIN(MAX(1-G759,0),1)</f>
        <v/>
      </c>
      <c r="N759" s="2">
        <f>MIN(MAX(1-(H759-1)/4,0),1)</f>
        <v/>
      </c>
      <c r="O759" s="2">
        <f>1-MIN(I759/8,1)</f>
        <v/>
      </c>
      <c r="P759" s="10">
        <f>ROUND(100*(J759*Assumptions!$B$6+K759*Assumptions!$B$7+L759*Assumptions!$B$8+M759*Assumptions!$B$9+N759*Assumptions!$B$10+O759*Assumptions!$B$11),1)</f>
        <v/>
      </c>
      <c r="Q759" s="2">
        <f>IF(P759&gt;=Assumptions!$B$14,"High",IF(P759&gt;=Assumptions!$B$15,"Medium","Low"))</f>
        <v/>
      </c>
      <c r="R759" s="2">
        <f>Cleaned_Data!L759</f>
        <v/>
      </c>
    </row>
    <row r="760">
      <c r="A760" s="2">
        <f>Cleaned_Data!A760</f>
        <v/>
      </c>
      <c r="B760" s="2">
        <f>Cleaned_Data!B760</f>
        <v/>
      </c>
      <c r="C760" s="2">
        <f>Cleaned_Data!G760</f>
        <v/>
      </c>
      <c r="D760" s="2">
        <f>Cleaned_Data!I760</f>
        <v/>
      </c>
      <c r="E760" s="2">
        <f>Cleaned_Data!H760</f>
        <v/>
      </c>
      <c r="F760" s="2">
        <f>Cleaned_Data!F760</f>
        <v/>
      </c>
      <c r="G760" s="9">
        <f>SUMPRODUCT(($B$2:$B$1196=B760)*($F$2:$F$1196&lt;=F760))/SUMPRODUCT(($B$2:$B$1196=B760)*1)</f>
        <v/>
      </c>
      <c r="H760" s="2">
        <f>Cleaned_Data!J760</f>
        <v/>
      </c>
      <c r="I760" s="2">
        <f>Cleaned_Data!E760</f>
        <v/>
      </c>
      <c r="J760" s="2">
        <f>IF(C760="Yes",1,0)</f>
        <v/>
      </c>
      <c r="K760" s="2">
        <f>MIN(MAX(1-(D760-1)/4,0),1)</f>
        <v/>
      </c>
      <c r="L760" s="2">
        <f>MIN(E760/60,1)</f>
        <v/>
      </c>
      <c r="M760" s="2">
        <f>MIN(MAX(1-G760,0),1)</f>
        <v/>
      </c>
      <c r="N760" s="2">
        <f>MIN(MAX(1-(H760-1)/4,0),1)</f>
        <v/>
      </c>
      <c r="O760" s="2">
        <f>1-MIN(I760/8,1)</f>
        <v/>
      </c>
      <c r="P760" s="10">
        <f>ROUND(100*(J760*Assumptions!$B$6+K760*Assumptions!$B$7+L760*Assumptions!$B$8+M760*Assumptions!$B$9+N760*Assumptions!$B$10+O760*Assumptions!$B$11),1)</f>
        <v/>
      </c>
      <c r="Q760" s="2">
        <f>IF(P760&gt;=Assumptions!$B$14,"High",IF(P760&gt;=Assumptions!$B$15,"Medium","Low"))</f>
        <v/>
      </c>
      <c r="R760" s="2">
        <f>Cleaned_Data!L760</f>
        <v/>
      </c>
    </row>
    <row r="761">
      <c r="A761" s="2">
        <f>Cleaned_Data!A761</f>
        <v/>
      </c>
      <c r="B761" s="2">
        <f>Cleaned_Data!B761</f>
        <v/>
      </c>
      <c r="C761" s="2">
        <f>Cleaned_Data!G761</f>
        <v/>
      </c>
      <c r="D761" s="2">
        <f>Cleaned_Data!I761</f>
        <v/>
      </c>
      <c r="E761" s="2">
        <f>Cleaned_Data!H761</f>
        <v/>
      </c>
      <c r="F761" s="2">
        <f>Cleaned_Data!F761</f>
        <v/>
      </c>
      <c r="G761" s="9">
        <f>SUMPRODUCT(($B$2:$B$1196=B761)*($F$2:$F$1196&lt;=F761))/SUMPRODUCT(($B$2:$B$1196=B761)*1)</f>
        <v/>
      </c>
      <c r="H761" s="2">
        <f>Cleaned_Data!J761</f>
        <v/>
      </c>
      <c r="I761" s="2">
        <f>Cleaned_Data!E761</f>
        <v/>
      </c>
      <c r="J761" s="2">
        <f>IF(C761="Yes",1,0)</f>
        <v/>
      </c>
      <c r="K761" s="2">
        <f>MIN(MAX(1-(D761-1)/4,0),1)</f>
        <v/>
      </c>
      <c r="L761" s="2">
        <f>MIN(E761/60,1)</f>
        <v/>
      </c>
      <c r="M761" s="2">
        <f>MIN(MAX(1-G761,0),1)</f>
        <v/>
      </c>
      <c r="N761" s="2">
        <f>MIN(MAX(1-(H761-1)/4,0),1)</f>
        <v/>
      </c>
      <c r="O761" s="2">
        <f>1-MIN(I761/8,1)</f>
        <v/>
      </c>
      <c r="P761" s="10">
        <f>ROUND(100*(J761*Assumptions!$B$6+K761*Assumptions!$B$7+L761*Assumptions!$B$8+M761*Assumptions!$B$9+N761*Assumptions!$B$10+O761*Assumptions!$B$11),1)</f>
        <v/>
      </c>
      <c r="Q761" s="2">
        <f>IF(P761&gt;=Assumptions!$B$14,"High",IF(P761&gt;=Assumptions!$B$15,"Medium","Low"))</f>
        <v/>
      </c>
      <c r="R761" s="2">
        <f>Cleaned_Data!L761</f>
        <v/>
      </c>
    </row>
    <row r="762">
      <c r="A762" s="2">
        <f>Cleaned_Data!A762</f>
        <v/>
      </c>
      <c r="B762" s="2">
        <f>Cleaned_Data!B762</f>
        <v/>
      </c>
      <c r="C762" s="2">
        <f>Cleaned_Data!G762</f>
        <v/>
      </c>
      <c r="D762" s="2">
        <f>Cleaned_Data!I762</f>
        <v/>
      </c>
      <c r="E762" s="2">
        <f>Cleaned_Data!H762</f>
        <v/>
      </c>
      <c r="F762" s="2">
        <f>Cleaned_Data!F762</f>
        <v/>
      </c>
      <c r="G762" s="9">
        <f>SUMPRODUCT(($B$2:$B$1196=B762)*($F$2:$F$1196&lt;=F762))/SUMPRODUCT(($B$2:$B$1196=B762)*1)</f>
        <v/>
      </c>
      <c r="H762" s="2">
        <f>Cleaned_Data!J762</f>
        <v/>
      </c>
      <c r="I762" s="2">
        <f>Cleaned_Data!E762</f>
        <v/>
      </c>
      <c r="J762" s="2">
        <f>IF(C762="Yes",1,0)</f>
        <v/>
      </c>
      <c r="K762" s="2">
        <f>MIN(MAX(1-(D762-1)/4,0),1)</f>
        <v/>
      </c>
      <c r="L762" s="2">
        <f>MIN(E762/60,1)</f>
        <v/>
      </c>
      <c r="M762" s="2">
        <f>MIN(MAX(1-G762,0),1)</f>
        <v/>
      </c>
      <c r="N762" s="2">
        <f>MIN(MAX(1-(H762-1)/4,0),1)</f>
        <v/>
      </c>
      <c r="O762" s="2">
        <f>1-MIN(I762/8,1)</f>
        <v/>
      </c>
      <c r="P762" s="10">
        <f>ROUND(100*(J762*Assumptions!$B$6+K762*Assumptions!$B$7+L762*Assumptions!$B$8+M762*Assumptions!$B$9+N762*Assumptions!$B$10+O762*Assumptions!$B$11),1)</f>
        <v/>
      </c>
      <c r="Q762" s="2">
        <f>IF(P762&gt;=Assumptions!$B$14,"High",IF(P762&gt;=Assumptions!$B$15,"Medium","Low"))</f>
        <v/>
      </c>
      <c r="R762" s="2">
        <f>Cleaned_Data!L762</f>
        <v/>
      </c>
    </row>
    <row r="763">
      <c r="A763" s="2">
        <f>Cleaned_Data!A763</f>
        <v/>
      </c>
      <c r="B763" s="2">
        <f>Cleaned_Data!B763</f>
        <v/>
      </c>
      <c r="C763" s="2">
        <f>Cleaned_Data!G763</f>
        <v/>
      </c>
      <c r="D763" s="2">
        <f>Cleaned_Data!I763</f>
        <v/>
      </c>
      <c r="E763" s="2">
        <f>Cleaned_Data!H763</f>
        <v/>
      </c>
      <c r="F763" s="2">
        <f>Cleaned_Data!F763</f>
        <v/>
      </c>
      <c r="G763" s="9">
        <f>SUMPRODUCT(($B$2:$B$1196=B763)*($F$2:$F$1196&lt;=F763))/SUMPRODUCT(($B$2:$B$1196=B763)*1)</f>
        <v/>
      </c>
      <c r="H763" s="2">
        <f>Cleaned_Data!J763</f>
        <v/>
      </c>
      <c r="I763" s="2">
        <f>Cleaned_Data!E763</f>
        <v/>
      </c>
      <c r="J763" s="2">
        <f>IF(C763="Yes",1,0)</f>
        <v/>
      </c>
      <c r="K763" s="2">
        <f>MIN(MAX(1-(D763-1)/4,0),1)</f>
        <v/>
      </c>
      <c r="L763" s="2">
        <f>MIN(E763/60,1)</f>
        <v/>
      </c>
      <c r="M763" s="2">
        <f>MIN(MAX(1-G763,0),1)</f>
        <v/>
      </c>
      <c r="N763" s="2">
        <f>MIN(MAX(1-(H763-1)/4,0),1)</f>
        <v/>
      </c>
      <c r="O763" s="2">
        <f>1-MIN(I763/8,1)</f>
        <v/>
      </c>
      <c r="P763" s="10">
        <f>ROUND(100*(J763*Assumptions!$B$6+K763*Assumptions!$B$7+L763*Assumptions!$B$8+M763*Assumptions!$B$9+N763*Assumptions!$B$10+O763*Assumptions!$B$11),1)</f>
        <v/>
      </c>
      <c r="Q763" s="2">
        <f>IF(P763&gt;=Assumptions!$B$14,"High",IF(P763&gt;=Assumptions!$B$15,"Medium","Low"))</f>
        <v/>
      </c>
      <c r="R763" s="2">
        <f>Cleaned_Data!L763</f>
        <v/>
      </c>
    </row>
    <row r="764">
      <c r="A764" s="2">
        <f>Cleaned_Data!A764</f>
        <v/>
      </c>
      <c r="B764" s="2">
        <f>Cleaned_Data!B764</f>
        <v/>
      </c>
      <c r="C764" s="2">
        <f>Cleaned_Data!G764</f>
        <v/>
      </c>
      <c r="D764" s="2">
        <f>Cleaned_Data!I764</f>
        <v/>
      </c>
      <c r="E764" s="2">
        <f>Cleaned_Data!H764</f>
        <v/>
      </c>
      <c r="F764" s="2">
        <f>Cleaned_Data!F764</f>
        <v/>
      </c>
      <c r="G764" s="9">
        <f>SUMPRODUCT(($B$2:$B$1196=B764)*($F$2:$F$1196&lt;=F764))/SUMPRODUCT(($B$2:$B$1196=B764)*1)</f>
        <v/>
      </c>
      <c r="H764" s="2">
        <f>Cleaned_Data!J764</f>
        <v/>
      </c>
      <c r="I764" s="2">
        <f>Cleaned_Data!E764</f>
        <v/>
      </c>
      <c r="J764" s="2">
        <f>IF(C764="Yes",1,0)</f>
        <v/>
      </c>
      <c r="K764" s="2">
        <f>MIN(MAX(1-(D764-1)/4,0),1)</f>
        <v/>
      </c>
      <c r="L764" s="2">
        <f>MIN(E764/60,1)</f>
        <v/>
      </c>
      <c r="M764" s="2">
        <f>MIN(MAX(1-G764,0),1)</f>
        <v/>
      </c>
      <c r="N764" s="2">
        <f>MIN(MAX(1-(H764-1)/4,0),1)</f>
        <v/>
      </c>
      <c r="O764" s="2">
        <f>1-MIN(I764/8,1)</f>
        <v/>
      </c>
      <c r="P764" s="10">
        <f>ROUND(100*(J764*Assumptions!$B$6+K764*Assumptions!$B$7+L764*Assumptions!$B$8+M764*Assumptions!$B$9+N764*Assumptions!$B$10+O764*Assumptions!$B$11),1)</f>
        <v/>
      </c>
      <c r="Q764" s="2">
        <f>IF(P764&gt;=Assumptions!$B$14,"High",IF(P764&gt;=Assumptions!$B$15,"Medium","Low"))</f>
        <v/>
      </c>
      <c r="R764" s="2">
        <f>Cleaned_Data!L764</f>
        <v/>
      </c>
    </row>
    <row r="765">
      <c r="A765" s="2">
        <f>Cleaned_Data!A765</f>
        <v/>
      </c>
      <c r="B765" s="2">
        <f>Cleaned_Data!B765</f>
        <v/>
      </c>
      <c r="C765" s="2">
        <f>Cleaned_Data!G765</f>
        <v/>
      </c>
      <c r="D765" s="2">
        <f>Cleaned_Data!I765</f>
        <v/>
      </c>
      <c r="E765" s="2">
        <f>Cleaned_Data!H765</f>
        <v/>
      </c>
      <c r="F765" s="2">
        <f>Cleaned_Data!F765</f>
        <v/>
      </c>
      <c r="G765" s="9">
        <f>SUMPRODUCT(($B$2:$B$1196=B765)*($F$2:$F$1196&lt;=F765))/SUMPRODUCT(($B$2:$B$1196=B765)*1)</f>
        <v/>
      </c>
      <c r="H765" s="2">
        <f>Cleaned_Data!J765</f>
        <v/>
      </c>
      <c r="I765" s="2">
        <f>Cleaned_Data!E765</f>
        <v/>
      </c>
      <c r="J765" s="2">
        <f>IF(C765="Yes",1,0)</f>
        <v/>
      </c>
      <c r="K765" s="2">
        <f>MIN(MAX(1-(D765-1)/4,0),1)</f>
        <v/>
      </c>
      <c r="L765" s="2">
        <f>MIN(E765/60,1)</f>
        <v/>
      </c>
      <c r="M765" s="2">
        <f>MIN(MAX(1-G765,0),1)</f>
        <v/>
      </c>
      <c r="N765" s="2">
        <f>MIN(MAX(1-(H765-1)/4,0),1)</f>
        <v/>
      </c>
      <c r="O765" s="2">
        <f>1-MIN(I765/8,1)</f>
        <v/>
      </c>
      <c r="P765" s="10">
        <f>ROUND(100*(J765*Assumptions!$B$6+K765*Assumptions!$B$7+L765*Assumptions!$B$8+M765*Assumptions!$B$9+N765*Assumptions!$B$10+O765*Assumptions!$B$11),1)</f>
        <v/>
      </c>
      <c r="Q765" s="2">
        <f>IF(P765&gt;=Assumptions!$B$14,"High",IF(P765&gt;=Assumptions!$B$15,"Medium","Low"))</f>
        <v/>
      </c>
      <c r="R765" s="2">
        <f>Cleaned_Data!L765</f>
        <v/>
      </c>
    </row>
    <row r="766">
      <c r="A766" s="2">
        <f>Cleaned_Data!A766</f>
        <v/>
      </c>
      <c r="B766" s="2">
        <f>Cleaned_Data!B766</f>
        <v/>
      </c>
      <c r="C766" s="2">
        <f>Cleaned_Data!G766</f>
        <v/>
      </c>
      <c r="D766" s="2">
        <f>Cleaned_Data!I766</f>
        <v/>
      </c>
      <c r="E766" s="2">
        <f>Cleaned_Data!H766</f>
        <v/>
      </c>
      <c r="F766" s="2">
        <f>Cleaned_Data!F766</f>
        <v/>
      </c>
      <c r="G766" s="9">
        <f>SUMPRODUCT(($B$2:$B$1196=B766)*($F$2:$F$1196&lt;=F766))/SUMPRODUCT(($B$2:$B$1196=B766)*1)</f>
        <v/>
      </c>
      <c r="H766" s="2">
        <f>Cleaned_Data!J766</f>
        <v/>
      </c>
      <c r="I766" s="2">
        <f>Cleaned_Data!E766</f>
        <v/>
      </c>
      <c r="J766" s="2">
        <f>IF(C766="Yes",1,0)</f>
        <v/>
      </c>
      <c r="K766" s="2">
        <f>MIN(MAX(1-(D766-1)/4,0),1)</f>
        <v/>
      </c>
      <c r="L766" s="2">
        <f>MIN(E766/60,1)</f>
        <v/>
      </c>
      <c r="M766" s="2">
        <f>MIN(MAX(1-G766,0),1)</f>
        <v/>
      </c>
      <c r="N766" s="2">
        <f>MIN(MAX(1-(H766-1)/4,0),1)</f>
        <v/>
      </c>
      <c r="O766" s="2">
        <f>1-MIN(I766/8,1)</f>
        <v/>
      </c>
      <c r="P766" s="10">
        <f>ROUND(100*(J766*Assumptions!$B$6+K766*Assumptions!$B$7+L766*Assumptions!$B$8+M766*Assumptions!$B$9+N766*Assumptions!$B$10+O766*Assumptions!$B$11),1)</f>
        <v/>
      </c>
      <c r="Q766" s="2">
        <f>IF(P766&gt;=Assumptions!$B$14,"High",IF(P766&gt;=Assumptions!$B$15,"Medium","Low"))</f>
        <v/>
      </c>
      <c r="R766" s="2">
        <f>Cleaned_Data!L766</f>
        <v/>
      </c>
    </row>
    <row r="767">
      <c r="A767" s="2">
        <f>Cleaned_Data!A767</f>
        <v/>
      </c>
      <c r="B767" s="2">
        <f>Cleaned_Data!B767</f>
        <v/>
      </c>
      <c r="C767" s="2">
        <f>Cleaned_Data!G767</f>
        <v/>
      </c>
      <c r="D767" s="2">
        <f>Cleaned_Data!I767</f>
        <v/>
      </c>
      <c r="E767" s="2">
        <f>Cleaned_Data!H767</f>
        <v/>
      </c>
      <c r="F767" s="2">
        <f>Cleaned_Data!F767</f>
        <v/>
      </c>
      <c r="G767" s="9">
        <f>SUMPRODUCT(($B$2:$B$1196=B767)*($F$2:$F$1196&lt;=F767))/SUMPRODUCT(($B$2:$B$1196=B767)*1)</f>
        <v/>
      </c>
      <c r="H767" s="2">
        <f>Cleaned_Data!J767</f>
        <v/>
      </c>
      <c r="I767" s="2">
        <f>Cleaned_Data!E767</f>
        <v/>
      </c>
      <c r="J767" s="2">
        <f>IF(C767="Yes",1,0)</f>
        <v/>
      </c>
      <c r="K767" s="2">
        <f>MIN(MAX(1-(D767-1)/4,0),1)</f>
        <v/>
      </c>
      <c r="L767" s="2">
        <f>MIN(E767/60,1)</f>
        <v/>
      </c>
      <c r="M767" s="2">
        <f>MIN(MAX(1-G767,0),1)</f>
        <v/>
      </c>
      <c r="N767" s="2">
        <f>MIN(MAX(1-(H767-1)/4,0),1)</f>
        <v/>
      </c>
      <c r="O767" s="2">
        <f>1-MIN(I767/8,1)</f>
        <v/>
      </c>
      <c r="P767" s="10">
        <f>ROUND(100*(J767*Assumptions!$B$6+K767*Assumptions!$B$7+L767*Assumptions!$B$8+M767*Assumptions!$B$9+N767*Assumptions!$B$10+O767*Assumptions!$B$11),1)</f>
        <v/>
      </c>
      <c r="Q767" s="2">
        <f>IF(P767&gt;=Assumptions!$B$14,"High",IF(P767&gt;=Assumptions!$B$15,"Medium","Low"))</f>
        <v/>
      </c>
      <c r="R767" s="2">
        <f>Cleaned_Data!L767</f>
        <v/>
      </c>
    </row>
    <row r="768">
      <c r="A768" s="2">
        <f>Cleaned_Data!A768</f>
        <v/>
      </c>
      <c r="B768" s="2">
        <f>Cleaned_Data!B768</f>
        <v/>
      </c>
      <c r="C768" s="2">
        <f>Cleaned_Data!G768</f>
        <v/>
      </c>
      <c r="D768" s="2">
        <f>Cleaned_Data!I768</f>
        <v/>
      </c>
      <c r="E768" s="2">
        <f>Cleaned_Data!H768</f>
        <v/>
      </c>
      <c r="F768" s="2">
        <f>Cleaned_Data!F768</f>
        <v/>
      </c>
      <c r="G768" s="9">
        <f>SUMPRODUCT(($B$2:$B$1196=B768)*($F$2:$F$1196&lt;=F768))/SUMPRODUCT(($B$2:$B$1196=B768)*1)</f>
        <v/>
      </c>
      <c r="H768" s="2">
        <f>Cleaned_Data!J768</f>
        <v/>
      </c>
      <c r="I768" s="2">
        <f>Cleaned_Data!E768</f>
        <v/>
      </c>
      <c r="J768" s="2">
        <f>IF(C768="Yes",1,0)</f>
        <v/>
      </c>
      <c r="K768" s="2">
        <f>MIN(MAX(1-(D768-1)/4,0),1)</f>
        <v/>
      </c>
      <c r="L768" s="2">
        <f>MIN(E768/60,1)</f>
        <v/>
      </c>
      <c r="M768" s="2">
        <f>MIN(MAX(1-G768,0),1)</f>
        <v/>
      </c>
      <c r="N768" s="2">
        <f>MIN(MAX(1-(H768-1)/4,0),1)</f>
        <v/>
      </c>
      <c r="O768" s="2">
        <f>1-MIN(I768/8,1)</f>
        <v/>
      </c>
      <c r="P768" s="10">
        <f>ROUND(100*(J768*Assumptions!$B$6+K768*Assumptions!$B$7+L768*Assumptions!$B$8+M768*Assumptions!$B$9+N768*Assumptions!$B$10+O768*Assumptions!$B$11),1)</f>
        <v/>
      </c>
      <c r="Q768" s="2">
        <f>IF(P768&gt;=Assumptions!$B$14,"High",IF(P768&gt;=Assumptions!$B$15,"Medium","Low"))</f>
        <v/>
      </c>
      <c r="R768" s="2">
        <f>Cleaned_Data!L768</f>
        <v/>
      </c>
    </row>
    <row r="769">
      <c r="A769" s="2">
        <f>Cleaned_Data!A769</f>
        <v/>
      </c>
      <c r="B769" s="2">
        <f>Cleaned_Data!B769</f>
        <v/>
      </c>
      <c r="C769" s="2">
        <f>Cleaned_Data!G769</f>
        <v/>
      </c>
      <c r="D769" s="2">
        <f>Cleaned_Data!I769</f>
        <v/>
      </c>
      <c r="E769" s="2">
        <f>Cleaned_Data!H769</f>
        <v/>
      </c>
      <c r="F769" s="2">
        <f>Cleaned_Data!F769</f>
        <v/>
      </c>
      <c r="G769" s="9">
        <f>SUMPRODUCT(($B$2:$B$1196=B769)*($F$2:$F$1196&lt;=F769))/SUMPRODUCT(($B$2:$B$1196=B769)*1)</f>
        <v/>
      </c>
      <c r="H769" s="2">
        <f>Cleaned_Data!J769</f>
        <v/>
      </c>
      <c r="I769" s="2">
        <f>Cleaned_Data!E769</f>
        <v/>
      </c>
      <c r="J769" s="2">
        <f>IF(C769="Yes",1,0)</f>
        <v/>
      </c>
      <c r="K769" s="2">
        <f>MIN(MAX(1-(D769-1)/4,0),1)</f>
        <v/>
      </c>
      <c r="L769" s="2">
        <f>MIN(E769/60,1)</f>
        <v/>
      </c>
      <c r="M769" s="2">
        <f>MIN(MAX(1-G769,0),1)</f>
        <v/>
      </c>
      <c r="N769" s="2">
        <f>MIN(MAX(1-(H769-1)/4,0),1)</f>
        <v/>
      </c>
      <c r="O769" s="2">
        <f>1-MIN(I769/8,1)</f>
        <v/>
      </c>
      <c r="P769" s="10">
        <f>ROUND(100*(J769*Assumptions!$B$6+K769*Assumptions!$B$7+L769*Assumptions!$B$8+M769*Assumptions!$B$9+N769*Assumptions!$B$10+O769*Assumptions!$B$11),1)</f>
        <v/>
      </c>
      <c r="Q769" s="2">
        <f>IF(P769&gt;=Assumptions!$B$14,"High",IF(P769&gt;=Assumptions!$B$15,"Medium","Low"))</f>
        <v/>
      </c>
      <c r="R769" s="2">
        <f>Cleaned_Data!L769</f>
        <v/>
      </c>
    </row>
    <row r="770">
      <c r="A770" s="2">
        <f>Cleaned_Data!A770</f>
        <v/>
      </c>
      <c r="B770" s="2">
        <f>Cleaned_Data!B770</f>
        <v/>
      </c>
      <c r="C770" s="2">
        <f>Cleaned_Data!G770</f>
        <v/>
      </c>
      <c r="D770" s="2">
        <f>Cleaned_Data!I770</f>
        <v/>
      </c>
      <c r="E770" s="2">
        <f>Cleaned_Data!H770</f>
        <v/>
      </c>
      <c r="F770" s="2">
        <f>Cleaned_Data!F770</f>
        <v/>
      </c>
      <c r="G770" s="9">
        <f>SUMPRODUCT(($B$2:$B$1196=B770)*($F$2:$F$1196&lt;=F770))/SUMPRODUCT(($B$2:$B$1196=B770)*1)</f>
        <v/>
      </c>
      <c r="H770" s="2">
        <f>Cleaned_Data!J770</f>
        <v/>
      </c>
      <c r="I770" s="2">
        <f>Cleaned_Data!E770</f>
        <v/>
      </c>
      <c r="J770" s="2">
        <f>IF(C770="Yes",1,0)</f>
        <v/>
      </c>
      <c r="K770" s="2">
        <f>MIN(MAX(1-(D770-1)/4,0),1)</f>
        <v/>
      </c>
      <c r="L770" s="2">
        <f>MIN(E770/60,1)</f>
        <v/>
      </c>
      <c r="M770" s="2">
        <f>MIN(MAX(1-G770,0),1)</f>
        <v/>
      </c>
      <c r="N770" s="2">
        <f>MIN(MAX(1-(H770-1)/4,0),1)</f>
        <v/>
      </c>
      <c r="O770" s="2">
        <f>1-MIN(I770/8,1)</f>
        <v/>
      </c>
      <c r="P770" s="10">
        <f>ROUND(100*(J770*Assumptions!$B$6+K770*Assumptions!$B$7+L770*Assumptions!$B$8+M770*Assumptions!$B$9+N770*Assumptions!$B$10+O770*Assumptions!$B$11),1)</f>
        <v/>
      </c>
      <c r="Q770" s="2">
        <f>IF(P770&gt;=Assumptions!$B$14,"High",IF(P770&gt;=Assumptions!$B$15,"Medium","Low"))</f>
        <v/>
      </c>
      <c r="R770" s="2">
        <f>Cleaned_Data!L770</f>
        <v/>
      </c>
    </row>
    <row r="771">
      <c r="A771" s="2">
        <f>Cleaned_Data!A771</f>
        <v/>
      </c>
      <c r="B771" s="2">
        <f>Cleaned_Data!B771</f>
        <v/>
      </c>
      <c r="C771" s="2">
        <f>Cleaned_Data!G771</f>
        <v/>
      </c>
      <c r="D771" s="2">
        <f>Cleaned_Data!I771</f>
        <v/>
      </c>
      <c r="E771" s="2">
        <f>Cleaned_Data!H771</f>
        <v/>
      </c>
      <c r="F771" s="2">
        <f>Cleaned_Data!F771</f>
        <v/>
      </c>
      <c r="G771" s="9">
        <f>SUMPRODUCT(($B$2:$B$1196=B771)*($F$2:$F$1196&lt;=F771))/SUMPRODUCT(($B$2:$B$1196=B771)*1)</f>
        <v/>
      </c>
      <c r="H771" s="2">
        <f>Cleaned_Data!J771</f>
        <v/>
      </c>
      <c r="I771" s="2">
        <f>Cleaned_Data!E771</f>
        <v/>
      </c>
      <c r="J771" s="2">
        <f>IF(C771="Yes",1,0)</f>
        <v/>
      </c>
      <c r="K771" s="2">
        <f>MIN(MAX(1-(D771-1)/4,0),1)</f>
        <v/>
      </c>
      <c r="L771" s="2">
        <f>MIN(E771/60,1)</f>
        <v/>
      </c>
      <c r="M771" s="2">
        <f>MIN(MAX(1-G771,0),1)</f>
        <v/>
      </c>
      <c r="N771" s="2">
        <f>MIN(MAX(1-(H771-1)/4,0),1)</f>
        <v/>
      </c>
      <c r="O771" s="2">
        <f>1-MIN(I771/8,1)</f>
        <v/>
      </c>
      <c r="P771" s="10">
        <f>ROUND(100*(J771*Assumptions!$B$6+K771*Assumptions!$B$7+L771*Assumptions!$B$8+M771*Assumptions!$B$9+N771*Assumptions!$B$10+O771*Assumptions!$B$11),1)</f>
        <v/>
      </c>
      <c r="Q771" s="2">
        <f>IF(P771&gt;=Assumptions!$B$14,"High",IF(P771&gt;=Assumptions!$B$15,"Medium","Low"))</f>
        <v/>
      </c>
      <c r="R771" s="2">
        <f>Cleaned_Data!L771</f>
        <v/>
      </c>
    </row>
    <row r="772">
      <c r="A772" s="2">
        <f>Cleaned_Data!A772</f>
        <v/>
      </c>
      <c r="B772" s="2">
        <f>Cleaned_Data!B772</f>
        <v/>
      </c>
      <c r="C772" s="2">
        <f>Cleaned_Data!G772</f>
        <v/>
      </c>
      <c r="D772" s="2">
        <f>Cleaned_Data!I772</f>
        <v/>
      </c>
      <c r="E772" s="2">
        <f>Cleaned_Data!H772</f>
        <v/>
      </c>
      <c r="F772" s="2">
        <f>Cleaned_Data!F772</f>
        <v/>
      </c>
      <c r="G772" s="9">
        <f>SUMPRODUCT(($B$2:$B$1196=B772)*($F$2:$F$1196&lt;=F772))/SUMPRODUCT(($B$2:$B$1196=B772)*1)</f>
        <v/>
      </c>
      <c r="H772" s="2">
        <f>Cleaned_Data!J772</f>
        <v/>
      </c>
      <c r="I772" s="2">
        <f>Cleaned_Data!E772</f>
        <v/>
      </c>
      <c r="J772" s="2">
        <f>IF(C772="Yes",1,0)</f>
        <v/>
      </c>
      <c r="K772" s="2">
        <f>MIN(MAX(1-(D772-1)/4,0),1)</f>
        <v/>
      </c>
      <c r="L772" s="2">
        <f>MIN(E772/60,1)</f>
        <v/>
      </c>
      <c r="M772" s="2">
        <f>MIN(MAX(1-G772,0),1)</f>
        <v/>
      </c>
      <c r="N772" s="2">
        <f>MIN(MAX(1-(H772-1)/4,0),1)</f>
        <v/>
      </c>
      <c r="O772" s="2">
        <f>1-MIN(I772/8,1)</f>
        <v/>
      </c>
      <c r="P772" s="10">
        <f>ROUND(100*(J772*Assumptions!$B$6+K772*Assumptions!$B$7+L772*Assumptions!$B$8+M772*Assumptions!$B$9+N772*Assumptions!$B$10+O772*Assumptions!$B$11),1)</f>
        <v/>
      </c>
      <c r="Q772" s="2">
        <f>IF(P772&gt;=Assumptions!$B$14,"High",IF(P772&gt;=Assumptions!$B$15,"Medium","Low"))</f>
        <v/>
      </c>
      <c r="R772" s="2">
        <f>Cleaned_Data!L772</f>
        <v/>
      </c>
    </row>
    <row r="773">
      <c r="A773" s="2">
        <f>Cleaned_Data!A773</f>
        <v/>
      </c>
      <c r="B773" s="2">
        <f>Cleaned_Data!B773</f>
        <v/>
      </c>
      <c r="C773" s="2">
        <f>Cleaned_Data!G773</f>
        <v/>
      </c>
      <c r="D773" s="2">
        <f>Cleaned_Data!I773</f>
        <v/>
      </c>
      <c r="E773" s="2">
        <f>Cleaned_Data!H773</f>
        <v/>
      </c>
      <c r="F773" s="2">
        <f>Cleaned_Data!F773</f>
        <v/>
      </c>
      <c r="G773" s="9">
        <f>SUMPRODUCT(($B$2:$B$1196=B773)*($F$2:$F$1196&lt;=F773))/SUMPRODUCT(($B$2:$B$1196=B773)*1)</f>
        <v/>
      </c>
      <c r="H773" s="2">
        <f>Cleaned_Data!J773</f>
        <v/>
      </c>
      <c r="I773" s="2">
        <f>Cleaned_Data!E773</f>
        <v/>
      </c>
      <c r="J773" s="2">
        <f>IF(C773="Yes",1,0)</f>
        <v/>
      </c>
      <c r="K773" s="2">
        <f>MIN(MAX(1-(D773-1)/4,0),1)</f>
        <v/>
      </c>
      <c r="L773" s="2">
        <f>MIN(E773/60,1)</f>
        <v/>
      </c>
      <c r="M773" s="2">
        <f>MIN(MAX(1-G773,0),1)</f>
        <v/>
      </c>
      <c r="N773" s="2">
        <f>MIN(MAX(1-(H773-1)/4,0),1)</f>
        <v/>
      </c>
      <c r="O773" s="2">
        <f>1-MIN(I773/8,1)</f>
        <v/>
      </c>
      <c r="P773" s="10">
        <f>ROUND(100*(J773*Assumptions!$B$6+K773*Assumptions!$B$7+L773*Assumptions!$B$8+M773*Assumptions!$B$9+N773*Assumptions!$B$10+O773*Assumptions!$B$11),1)</f>
        <v/>
      </c>
      <c r="Q773" s="2">
        <f>IF(P773&gt;=Assumptions!$B$14,"High",IF(P773&gt;=Assumptions!$B$15,"Medium","Low"))</f>
        <v/>
      </c>
      <c r="R773" s="2">
        <f>Cleaned_Data!L773</f>
        <v/>
      </c>
    </row>
    <row r="774">
      <c r="A774" s="2">
        <f>Cleaned_Data!A774</f>
        <v/>
      </c>
      <c r="B774" s="2">
        <f>Cleaned_Data!B774</f>
        <v/>
      </c>
      <c r="C774" s="2">
        <f>Cleaned_Data!G774</f>
        <v/>
      </c>
      <c r="D774" s="2">
        <f>Cleaned_Data!I774</f>
        <v/>
      </c>
      <c r="E774" s="2">
        <f>Cleaned_Data!H774</f>
        <v/>
      </c>
      <c r="F774" s="2">
        <f>Cleaned_Data!F774</f>
        <v/>
      </c>
      <c r="G774" s="9">
        <f>SUMPRODUCT(($B$2:$B$1196=B774)*($F$2:$F$1196&lt;=F774))/SUMPRODUCT(($B$2:$B$1196=B774)*1)</f>
        <v/>
      </c>
      <c r="H774" s="2">
        <f>Cleaned_Data!J774</f>
        <v/>
      </c>
      <c r="I774" s="2">
        <f>Cleaned_Data!E774</f>
        <v/>
      </c>
      <c r="J774" s="2">
        <f>IF(C774="Yes",1,0)</f>
        <v/>
      </c>
      <c r="K774" s="2">
        <f>MIN(MAX(1-(D774-1)/4,0),1)</f>
        <v/>
      </c>
      <c r="L774" s="2">
        <f>MIN(E774/60,1)</f>
        <v/>
      </c>
      <c r="M774" s="2">
        <f>MIN(MAX(1-G774,0),1)</f>
        <v/>
      </c>
      <c r="N774" s="2">
        <f>MIN(MAX(1-(H774-1)/4,0),1)</f>
        <v/>
      </c>
      <c r="O774" s="2">
        <f>1-MIN(I774/8,1)</f>
        <v/>
      </c>
      <c r="P774" s="10">
        <f>ROUND(100*(J774*Assumptions!$B$6+K774*Assumptions!$B$7+L774*Assumptions!$B$8+M774*Assumptions!$B$9+N774*Assumptions!$B$10+O774*Assumptions!$B$11),1)</f>
        <v/>
      </c>
      <c r="Q774" s="2">
        <f>IF(P774&gt;=Assumptions!$B$14,"High",IF(P774&gt;=Assumptions!$B$15,"Medium","Low"))</f>
        <v/>
      </c>
      <c r="R774" s="2">
        <f>Cleaned_Data!L774</f>
        <v/>
      </c>
    </row>
    <row r="775">
      <c r="A775" s="2">
        <f>Cleaned_Data!A775</f>
        <v/>
      </c>
      <c r="B775" s="2">
        <f>Cleaned_Data!B775</f>
        <v/>
      </c>
      <c r="C775" s="2">
        <f>Cleaned_Data!G775</f>
        <v/>
      </c>
      <c r="D775" s="2">
        <f>Cleaned_Data!I775</f>
        <v/>
      </c>
      <c r="E775" s="2">
        <f>Cleaned_Data!H775</f>
        <v/>
      </c>
      <c r="F775" s="2">
        <f>Cleaned_Data!F775</f>
        <v/>
      </c>
      <c r="G775" s="9">
        <f>SUMPRODUCT(($B$2:$B$1196=B775)*($F$2:$F$1196&lt;=F775))/SUMPRODUCT(($B$2:$B$1196=B775)*1)</f>
        <v/>
      </c>
      <c r="H775" s="2">
        <f>Cleaned_Data!J775</f>
        <v/>
      </c>
      <c r="I775" s="2">
        <f>Cleaned_Data!E775</f>
        <v/>
      </c>
      <c r="J775" s="2">
        <f>IF(C775="Yes",1,0)</f>
        <v/>
      </c>
      <c r="K775" s="2">
        <f>MIN(MAX(1-(D775-1)/4,0),1)</f>
        <v/>
      </c>
      <c r="L775" s="2">
        <f>MIN(E775/60,1)</f>
        <v/>
      </c>
      <c r="M775" s="2">
        <f>MIN(MAX(1-G775,0),1)</f>
        <v/>
      </c>
      <c r="N775" s="2">
        <f>MIN(MAX(1-(H775-1)/4,0),1)</f>
        <v/>
      </c>
      <c r="O775" s="2">
        <f>1-MIN(I775/8,1)</f>
        <v/>
      </c>
      <c r="P775" s="10">
        <f>ROUND(100*(J775*Assumptions!$B$6+K775*Assumptions!$B$7+L775*Assumptions!$B$8+M775*Assumptions!$B$9+N775*Assumptions!$B$10+O775*Assumptions!$B$11),1)</f>
        <v/>
      </c>
      <c r="Q775" s="2">
        <f>IF(P775&gt;=Assumptions!$B$14,"High",IF(P775&gt;=Assumptions!$B$15,"Medium","Low"))</f>
        <v/>
      </c>
      <c r="R775" s="2">
        <f>Cleaned_Data!L775</f>
        <v/>
      </c>
    </row>
    <row r="776">
      <c r="A776" s="2">
        <f>Cleaned_Data!A776</f>
        <v/>
      </c>
      <c r="B776" s="2">
        <f>Cleaned_Data!B776</f>
        <v/>
      </c>
      <c r="C776" s="2">
        <f>Cleaned_Data!G776</f>
        <v/>
      </c>
      <c r="D776" s="2">
        <f>Cleaned_Data!I776</f>
        <v/>
      </c>
      <c r="E776" s="2">
        <f>Cleaned_Data!H776</f>
        <v/>
      </c>
      <c r="F776" s="2">
        <f>Cleaned_Data!F776</f>
        <v/>
      </c>
      <c r="G776" s="9">
        <f>SUMPRODUCT(($B$2:$B$1196=B776)*($F$2:$F$1196&lt;=F776))/SUMPRODUCT(($B$2:$B$1196=B776)*1)</f>
        <v/>
      </c>
      <c r="H776" s="2">
        <f>Cleaned_Data!J776</f>
        <v/>
      </c>
      <c r="I776" s="2">
        <f>Cleaned_Data!E776</f>
        <v/>
      </c>
      <c r="J776" s="2">
        <f>IF(C776="Yes",1,0)</f>
        <v/>
      </c>
      <c r="K776" s="2">
        <f>MIN(MAX(1-(D776-1)/4,0),1)</f>
        <v/>
      </c>
      <c r="L776" s="2">
        <f>MIN(E776/60,1)</f>
        <v/>
      </c>
      <c r="M776" s="2">
        <f>MIN(MAX(1-G776,0),1)</f>
        <v/>
      </c>
      <c r="N776" s="2">
        <f>MIN(MAX(1-(H776-1)/4,0),1)</f>
        <v/>
      </c>
      <c r="O776" s="2">
        <f>1-MIN(I776/8,1)</f>
        <v/>
      </c>
      <c r="P776" s="10">
        <f>ROUND(100*(J776*Assumptions!$B$6+K776*Assumptions!$B$7+L776*Assumptions!$B$8+M776*Assumptions!$B$9+N776*Assumptions!$B$10+O776*Assumptions!$B$11),1)</f>
        <v/>
      </c>
      <c r="Q776" s="2">
        <f>IF(P776&gt;=Assumptions!$B$14,"High",IF(P776&gt;=Assumptions!$B$15,"Medium","Low"))</f>
        <v/>
      </c>
      <c r="R776" s="2">
        <f>Cleaned_Data!L776</f>
        <v/>
      </c>
    </row>
    <row r="777">
      <c r="A777" s="2">
        <f>Cleaned_Data!A777</f>
        <v/>
      </c>
      <c r="B777" s="2">
        <f>Cleaned_Data!B777</f>
        <v/>
      </c>
      <c r="C777" s="2">
        <f>Cleaned_Data!G777</f>
        <v/>
      </c>
      <c r="D777" s="2">
        <f>Cleaned_Data!I777</f>
        <v/>
      </c>
      <c r="E777" s="2">
        <f>Cleaned_Data!H777</f>
        <v/>
      </c>
      <c r="F777" s="2">
        <f>Cleaned_Data!F777</f>
        <v/>
      </c>
      <c r="G777" s="9">
        <f>SUMPRODUCT(($B$2:$B$1196=B777)*($F$2:$F$1196&lt;=F777))/SUMPRODUCT(($B$2:$B$1196=B777)*1)</f>
        <v/>
      </c>
      <c r="H777" s="2">
        <f>Cleaned_Data!J777</f>
        <v/>
      </c>
      <c r="I777" s="2">
        <f>Cleaned_Data!E777</f>
        <v/>
      </c>
      <c r="J777" s="2">
        <f>IF(C777="Yes",1,0)</f>
        <v/>
      </c>
      <c r="K777" s="2">
        <f>MIN(MAX(1-(D777-1)/4,0),1)</f>
        <v/>
      </c>
      <c r="L777" s="2">
        <f>MIN(E777/60,1)</f>
        <v/>
      </c>
      <c r="M777" s="2">
        <f>MIN(MAX(1-G777,0),1)</f>
        <v/>
      </c>
      <c r="N777" s="2">
        <f>MIN(MAX(1-(H777-1)/4,0),1)</f>
        <v/>
      </c>
      <c r="O777" s="2">
        <f>1-MIN(I777/8,1)</f>
        <v/>
      </c>
      <c r="P777" s="10">
        <f>ROUND(100*(J777*Assumptions!$B$6+K777*Assumptions!$B$7+L777*Assumptions!$B$8+M777*Assumptions!$B$9+N777*Assumptions!$B$10+O777*Assumptions!$B$11),1)</f>
        <v/>
      </c>
      <c r="Q777" s="2">
        <f>IF(P777&gt;=Assumptions!$B$14,"High",IF(P777&gt;=Assumptions!$B$15,"Medium","Low"))</f>
        <v/>
      </c>
      <c r="R777" s="2">
        <f>Cleaned_Data!L777</f>
        <v/>
      </c>
    </row>
    <row r="778">
      <c r="A778" s="2">
        <f>Cleaned_Data!A778</f>
        <v/>
      </c>
      <c r="B778" s="2">
        <f>Cleaned_Data!B778</f>
        <v/>
      </c>
      <c r="C778" s="2">
        <f>Cleaned_Data!G778</f>
        <v/>
      </c>
      <c r="D778" s="2">
        <f>Cleaned_Data!I778</f>
        <v/>
      </c>
      <c r="E778" s="2">
        <f>Cleaned_Data!H778</f>
        <v/>
      </c>
      <c r="F778" s="2">
        <f>Cleaned_Data!F778</f>
        <v/>
      </c>
      <c r="G778" s="9">
        <f>SUMPRODUCT(($B$2:$B$1196=B778)*($F$2:$F$1196&lt;=F778))/SUMPRODUCT(($B$2:$B$1196=B778)*1)</f>
        <v/>
      </c>
      <c r="H778" s="2">
        <f>Cleaned_Data!J778</f>
        <v/>
      </c>
      <c r="I778" s="2">
        <f>Cleaned_Data!E778</f>
        <v/>
      </c>
      <c r="J778" s="2">
        <f>IF(C778="Yes",1,0)</f>
        <v/>
      </c>
      <c r="K778" s="2">
        <f>MIN(MAX(1-(D778-1)/4,0),1)</f>
        <v/>
      </c>
      <c r="L778" s="2">
        <f>MIN(E778/60,1)</f>
        <v/>
      </c>
      <c r="M778" s="2">
        <f>MIN(MAX(1-G778,0),1)</f>
        <v/>
      </c>
      <c r="N778" s="2">
        <f>MIN(MAX(1-(H778-1)/4,0),1)</f>
        <v/>
      </c>
      <c r="O778" s="2">
        <f>1-MIN(I778/8,1)</f>
        <v/>
      </c>
      <c r="P778" s="10">
        <f>ROUND(100*(J778*Assumptions!$B$6+K778*Assumptions!$B$7+L778*Assumptions!$B$8+M778*Assumptions!$B$9+N778*Assumptions!$B$10+O778*Assumptions!$B$11),1)</f>
        <v/>
      </c>
      <c r="Q778" s="2">
        <f>IF(P778&gt;=Assumptions!$B$14,"High",IF(P778&gt;=Assumptions!$B$15,"Medium","Low"))</f>
        <v/>
      </c>
      <c r="R778" s="2">
        <f>Cleaned_Data!L778</f>
        <v/>
      </c>
    </row>
    <row r="779">
      <c r="A779" s="2">
        <f>Cleaned_Data!A779</f>
        <v/>
      </c>
      <c r="B779" s="2">
        <f>Cleaned_Data!B779</f>
        <v/>
      </c>
      <c r="C779" s="2">
        <f>Cleaned_Data!G779</f>
        <v/>
      </c>
      <c r="D779" s="2">
        <f>Cleaned_Data!I779</f>
        <v/>
      </c>
      <c r="E779" s="2">
        <f>Cleaned_Data!H779</f>
        <v/>
      </c>
      <c r="F779" s="2">
        <f>Cleaned_Data!F779</f>
        <v/>
      </c>
      <c r="G779" s="9">
        <f>SUMPRODUCT(($B$2:$B$1196=B779)*($F$2:$F$1196&lt;=F779))/SUMPRODUCT(($B$2:$B$1196=B779)*1)</f>
        <v/>
      </c>
      <c r="H779" s="2">
        <f>Cleaned_Data!J779</f>
        <v/>
      </c>
      <c r="I779" s="2">
        <f>Cleaned_Data!E779</f>
        <v/>
      </c>
      <c r="J779" s="2">
        <f>IF(C779="Yes",1,0)</f>
        <v/>
      </c>
      <c r="K779" s="2">
        <f>MIN(MAX(1-(D779-1)/4,0),1)</f>
        <v/>
      </c>
      <c r="L779" s="2">
        <f>MIN(E779/60,1)</f>
        <v/>
      </c>
      <c r="M779" s="2">
        <f>MIN(MAX(1-G779,0),1)</f>
        <v/>
      </c>
      <c r="N779" s="2">
        <f>MIN(MAX(1-(H779-1)/4,0),1)</f>
        <v/>
      </c>
      <c r="O779" s="2">
        <f>1-MIN(I779/8,1)</f>
        <v/>
      </c>
      <c r="P779" s="10">
        <f>ROUND(100*(J779*Assumptions!$B$6+K779*Assumptions!$B$7+L779*Assumptions!$B$8+M779*Assumptions!$B$9+N779*Assumptions!$B$10+O779*Assumptions!$B$11),1)</f>
        <v/>
      </c>
      <c r="Q779" s="2">
        <f>IF(P779&gt;=Assumptions!$B$14,"High",IF(P779&gt;=Assumptions!$B$15,"Medium","Low"))</f>
        <v/>
      </c>
      <c r="R779" s="2">
        <f>Cleaned_Data!L779</f>
        <v/>
      </c>
    </row>
    <row r="780">
      <c r="A780" s="2">
        <f>Cleaned_Data!A780</f>
        <v/>
      </c>
      <c r="B780" s="2">
        <f>Cleaned_Data!B780</f>
        <v/>
      </c>
      <c r="C780" s="2">
        <f>Cleaned_Data!G780</f>
        <v/>
      </c>
      <c r="D780" s="2">
        <f>Cleaned_Data!I780</f>
        <v/>
      </c>
      <c r="E780" s="2">
        <f>Cleaned_Data!H780</f>
        <v/>
      </c>
      <c r="F780" s="2">
        <f>Cleaned_Data!F780</f>
        <v/>
      </c>
      <c r="G780" s="9">
        <f>SUMPRODUCT(($B$2:$B$1196=B780)*($F$2:$F$1196&lt;=F780))/SUMPRODUCT(($B$2:$B$1196=B780)*1)</f>
        <v/>
      </c>
      <c r="H780" s="2">
        <f>Cleaned_Data!J780</f>
        <v/>
      </c>
      <c r="I780" s="2">
        <f>Cleaned_Data!E780</f>
        <v/>
      </c>
      <c r="J780" s="2">
        <f>IF(C780="Yes",1,0)</f>
        <v/>
      </c>
      <c r="K780" s="2">
        <f>MIN(MAX(1-(D780-1)/4,0),1)</f>
        <v/>
      </c>
      <c r="L780" s="2">
        <f>MIN(E780/60,1)</f>
        <v/>
      </c>
      <c r="M780" s="2">
        <f>MIN(MAX(1-G780,0),1)</f>
        <v/>
      </c>
      <c r="N780" s="2">
        <f>MIN(MAX(1-(H780-1)/4,0),1)</f>
        <v/>
      </c>
      <c r="O780" s="2">
        <f>1-MIN(I780/8,1)</f>
        <v/>
      </c>
      <c r="P780" s="10">
        <f>ROUND(100*(J780*Assumptions!$B$6+K780*Assumptions!$B$7+L780*Assumptions!$B$8+M780*Assumptions!$B$9+N780*Assumptions!$B$10+O780*Assumptions!$B$11),1)</f>
        <v/>
      </c>
      <c r="Q780" s="2">
        <f>IF(P780&gt;=Assumptions!$B$14,"High",IF(P780&gt;=Assumptions!$B$15,"Medium","Low"))</f>
        <v/>
      </c>
      <c r="R780" s="2">
        <f>Cleaned_Data!L780</f>
        <v/>
      </c>
    </row>
    <row r="781">
      <c r="A781" s="2">
        <f>Cleaned_Data!A781</f>
        <v/>
      </c>
      <c r="B781" s="2">
        <f>Cleaned_Data!B781</f>
        <v/>
      </c>
      <c r="C781" s="2">
        <f>Cleaned_Data!G781</f>
        <v/>
      </c>
      <c r="D781" s="2">
        <f>Cleaned_Data!I781</f>
        <v/>
      </c>
      <c r="E781" s="2">
        <f>Cleaned_Data!H781</f>
        <v/>
      </c>
      <c r="F781" s="2">
        <f>Cleaned_Data!F781</f>
        <v/>
      </c>
      <c r="G781" s="9">
        <f>SUMPRODUCT(($B$2:$B$1196=B781)*($F$2:$F$1196&lt;=F781))/SUMPRODUCT(($B$2:$B$1196=B781)*1)</f>
        <v/>
      </c>
      <c r="H781" s="2">
        <f>Cleaned_Data!J781</f>
        <v/>
      </c>
      <c r="I781" s="2">
        <f>Cleaned_Data!E781</f>
        <v/>
      </c>
      <c r="J781" s="2">
        <f>IF(C781="Yes",1,0)</f>
        <v/>
      </c>
      <c r="K781" s="2">
        <f>MIN(MAX(1-(D781-1)/4,0),1)</f>
        <v/>
      </c>
      <c r="L781" s="2">
        <f>MIN(E781/60,1)</f>
        <v/>
      </c>
      <c r="M781" s="2">
        <f>MIN(MAX(1-G781,0),1)</f>
        <v/>
      </c>
      <c r="N781" s="2">
        <f>MIN(MAX(1-(H781-1)/4,0),1)</f>
        <v/>
      </c>
      <c r="O781" s="2">
        <f>1-MIN(I781/8,1)</f>
        <v/>
      </c>
      <c r="P781" s="10">
        <f>ROUND(100*(J781*Assumptions!$B$6+K781*Assumptions!$B$7+L781*Assumptions!$B$8+M781*Assumptions!$B$9+N781*Assumptions!$B$10+O781*Assumptions!$B$11),1)</f>
        <v/>
      </c>
      <c r="Q781" s="2">
        <f>IF(P781&gt;=Assumptions!$B$14,"High",IF(P781&gt;=Assumptions!$B$15,"Medium","Low"))</f>
        <v/>
      </c>
      <c r="R781" s="2">
        <f>Cleaned_Data!L781</f>
        <v/>
      </c>
    </row>
    <row r="782">
      <c r="A782" s="2">
        <f>Cleaned_Data!A782</f>
        <v/>
      </c>
      <c r="B782" s="2">
        <f>Cleaned_Data!B782</f>
        <v/>
      </c>
      <c r="C782" s="2">
        <f>Cleaned_Data!G782</f>
        <v/>
      </c>
      <c r="D782" s="2">
        <f>Cleaned_Data!I782</f>
        <v/>
      </c>
      <c r="E782" s="2">
        <f>Cleaned_Data!H782</f>
        <v/>
      </c>
      <c r="F782" s="2">
        <f>Cleaned_Data!F782</f>
        <v/>
      </c>
      <c r="G782" s="9">
        <f>SUMPRODUCT(($B$2:$B$1196=B782)*($F$2:$F$1196&lt;=F782))/SUMPRODUCT(($B$2:$B$1196=B782)*1)</f>
        <v/>
      </c>
      <c r="H782" s="2">
        <f>Cleaned_Data!J782</f>
        <v/>
      </c>
      <c r="I782" s="2">
        <f>Cleaned_Data!E782</f>
        <v/>
      </c>
      <c r="J782" s="2">
        <f>IF(C782="Yes",1,0)</f>
        <v/>
      </c>
      <c r="K782" s="2">
        <f>MIN(MAX(1-(D782-1)/4,0),1)</f>
        <v/>
      </c>
      <c r="L782" s="2">
        <f>MIN(E782/60,1)</f>
        <v/>
      </c>
      <c r="M782" s="2">
        <f>MIN(MAX(1-G782,0),1)</f>
        <v/>
      </c>
      <c r="N782" s="2">
        <f>MIN(MAX(1-(H782-1)/4,0),1)</f>
        <v/>
      </c>
      <c r="O782" s="2">
        <f>1-MIN(I782/8,1)</f>
        <v/>
      </c>
      <c r="P782" s="10">
        <f>ROUND(100*(J782*Assumptions!$B$6+K782*Assumptions!$B$7+L782*Assumptions!$B$8+M782*Assumptions!$B$9+N782*Assumptions!$B$10+O782*Assumptions!$B$11),1)</f>
        <v/>
      </c>
      <c r="Q782" s="2">
        <f>IF(P782&gt;=Assumptions!$B$14,"High",IF(P782&gt;=Assumptions!$B$15,"Medium","Low"))</f>
        <v/>
      </c>
      <c r="R782" s="2">
        <f>Cleaned_Data!L782</f>
        <v/>
      </c>
    </row>
    <row r="783">
      <c r="A783" s="2">
        <f>Cleaned_Data!A783</f>
        <v/>
      </c>
      <c r="B783" s="2">
        <f>Cleaned_Data!B783</f>
        <v/>
      </c>
      <c r="C783" s="2">
        <f>Cleaned_Data!G783</f>
        <v/>
      </c>
      <c r="D783" s="2">
        <f>Cleaned_Data!I783</f>
        <v/>
      </c>
      <c r="E783" s="2">
        <f>Cleaned_Data!H783</f>
        <v/>
      </c>
      <c r="F783" s="2">
        <f>Cleaned_Data!F783</f>
        <v/>
      </c>
      <c r="G783" s="9">
        <f>SUMPRODUCT(($B$2:$B$1196=B783)*($F$2:$F$1196&lt;=F783))/SUMPRODUCT(($B$2:$B$1196=B783)*1)</f>
        <v/>
      </c>
      <c r="H783" s="2">
        <f>Cleaned_Data!J783</f>
        <v/>
      </c>
      <c r="I783" s="2">
        <f>Cleaned_Data!E783</f>
        <v/>
      </c>
      <c r="J783" s="2">
        <f>IF(C783="Yes",1,0)</f>
        <v/>
      </c>
      <c r="K783" s="2">
        <f>MIN(MAX(1-(D783-1)/4,0),1)</f>
        <v/>
      </c>
      <c r="L783" s="2">
        <f>MIN(E783/60,1)</f>
        <v/>
      </c>
      <c r="M783" s="2">
        <f>MIN(MAX(1-G783,0),1)</f>
        <v/>
      </c>
      <c r="N783" s="2">
        <f>MIN(MAX(1-(H783-1)/4,0),1)</f>
        <v/>
      </c>
      <c r="O783" s="2">
        <f>1-MIN(I783/8,1)</f>
        <v/>
      </c>
      <c r="P783" s="10">
        <f>ROUND(100*(J783*Assumptions!$B$6+K783*Assumptions!$B$7+L783*Assumptions!$B$8+M783*Assumptions!$B$9+N783*Assumptions!$B$10+O783*Assumptions!$B$11),1)</f>
        <v/>
      </c>
      <c r="Q783" s="2">
        <f>IF(P783&gt;=Assumptions!$B$14,"High",IF(P783&gt;=Assumptions!$B$15,"Medium","Low"))</f>
        <v/>
      </c>
      <c r="R783" s="2">
        <f>Cleaned_Data!L783</f>
        <v/>
      </c>
    </row>
    <row r="784">
      <c r="A784" s="2">
        <f>Cleaned_Data!A784</f>
        <v/>
      </c>
      <c r="B784" s="2">
        <f>Cleaned_Data!B784</f>
        <v/>
      </c>
      <c r="C784" s="2">
        <f>Cleaned_Data!G784</f>
        <v/>
      </c>
      <c r="D784" s="2">
        <f>Cleaned_Data!I784</f>
        <v/>
      </c>
      <c r="E784" s="2">
        <f>Cleaned_Data!H784</f>
        <v/>
      </c>
      <c r="F784" s="2">
        <f>Cleaned_Data!F784</f>
        <v/>
      </c>
      <c r="G784" s="9">
        <f>SUMPRODUCT(($B$2:$B$1196=B784)*($F$2:$F$1196&lt;=F784))/SUMPRODUCT(($B$2:$B$1196=B784)*1)</f>
        <v/>
      </c>
      <c r="H784" s="2">
        <f>Cleaned_Data!J784</f>
        <v/>
      </c>
      <c r="I784" s="2">
        <f>Cleaned_Data!E784</f>
        <v/>
      </c>
      <c r="J784" s="2">
        <f>IF(C784="Yes",1,0)</f>
        <v/>
      </c>
      <c r="K784" s="2">
        <f>MIN(MAX(1-(D784-1)/4,0),1)</f>
        <v/>
      </c>
      <c r="L784" s="2">
        <f>MIN(E784/60,1)</f>
        <v/>
      </c>
      <c r="M784" s="2">
        <f>MIN(MAX(1-G784,0),1)</f>
        <v/>
      </c>
      <c r="N784" s="2">
        <f>MIN(MAX(1-(H784-1)/4,0),1)</f>
        <v/>
      </c>
      <c r="O784" s="2">
        <f>1-MIN(I784/8,1)</f>
        <v/>
      </c>
      <c r="P784" s="10">
        <f>ROUND(100*(J784*Assumptions!$B$6+K784*Assumptions!$B$7+L784*Assumptions!$B$8+M784*Assumptions!$B$9+N784*Assumptions!$B$10+O784*Assumptions!$B$11),1)</f>
        <v/>
      </c>
      <c r="Q784" s="2">
        <f>IF(P784&gt;=Assumptions!$B$14,"High",IF(P784&gt;=Assumptions!$B$15,"Medium","Low"))</f>
        <v/>
      </c>
      <c r="R784" s="2">
        <f>Cleaned_Data!L784</f>
        <v/>
      </c>
    </row>
    <row r="785">
      <c r="A785" s="2">
        <f>Cleaned_Data!A785</f>
        <v/>
      </c>
      <c r="B785" s="2">
        <f>Cleaned_Data!B785</f>
        <v/>
      </c>
      <c r="C785" s="2">
        <f>Cleaned_Data!G785</f>
        <v/>
      </c>
      <c r="D785" s="2">
        <f>Cleaned_Data!I785</f>
        <v/>
      </c>
      <c r="E785" s="2">
        <f>Cleaned_Data!H785</f>
        <v/>
      </c>
      <c r="F785" s="2">
        <f>Cleaned_Data!F785</f>
        <v/>
      </c>
      <c r="G785" s="9">
        <f>SUMPRODUCT(($B$2:$B$1196=B785)*($F$2:$F$1196&lt;=F785))/SUMPRODUCT(($B$2:$B$1196=B785)*1)</f>
        <v/>
      </c>
      <c r="H785" s="2">
        <f>Cleaned_Data!J785</f>
        <v/>
      </c>
      <c r="I785" s="2">
        <f>Cleaned_Data!E785</f>
        <v/>
      </c>
      <c r="J785" s="2">
        <f>IF(C785="Yes",1,0)</f>
        <v/>
      </c>
      <c r="K785" s="2">
        <f>MIN(MAX(1-(D785-1)/4,0),1)</f>
        <v/>
      </c>
      <c r="L785" s="2">
        <f>MIN(E785/60,1)</f>
        <v/>
      </c>
      <c r="M785" s="2">
        <f>MIN(MAX(1-G785,0),1)</f>
        <v/>
      </c>
      <c r="N785" s="2">
        <f>MIN(MAX(1-(H785-1)/4,0),1)</f>
        <v/>
      </c>
      <c r="O785" s="2">
        <f>1-MIN(I785/8,1)</f>
        <v/>
      </c>
      <c r="P785" s="10">
        <f>ROUND(100*(J785*Assumptions!$B$6+K785*Assumptions!$B$7+L785*Assumptions!$B$8+M785*Assumptions!$B$9+N785*Assumptions!$B$10+O785*Assumptions!$B$11),1)</f>
        <v/>
      </c>
      <c r="Q785" s="2">
        <f>IF(P785&gt;=Assumptions!$B$14,"High",IF(P785&gt;=Assumptions!$B$15,"Medium","Low"))</f>
        <v/>
      </c>
      <c r="R785" s="2">
        <f>Cleaned_Data!L785</f>
        <v/>
      </c>
    </row>
    <row r="786">
      <c r="A786" s="2">
        <f>Cleaned_Data!A786</f>
        <v/>
      </c>
      <c r="B786" s="2">
        <f>Cleaned_Data!B786</f>
        <v/>
      </c>
      <c r="C786" s="2">
        <f>Cleaned_Data!G786</f>
        <v/>
      </c>
      <c r="D786" s="2">
        <f>Cleaned_Data!I786</f>
        <v/>
      </c>
      <c r="E786" s="2">
        <f>Cleaned_Data!H786</f>
        <v/>
      </c>
      <c r="F786" s="2">
        <f>Cleaned_Data!F786</f>
        <v/>
      </c>
      <c r="G786" s="9">
        <f>SUMPRODUCT(($B$2:$B$1196=B786)*($F$2:$F$1196&lt;=F786))/SUMPRODUCT(($B$2:$B$1196=B786)*1)</f>
        <v/>
      </c>
      <c r="H786" s="2">
        <f>Cleaned_Data!J786</f>
        <v/>
      </c>
      <c r="I786" s="2">
        <f>Cleaned_Data!E786</f>
        <v/>
      </c>
      <c r="J786" s="2">
        <f>IF(C786="Yes",1,0)</f>
        <v/>
      </c>
      <c r="K786" s="2">
        <f>MIN(MAX(1-(D786-1)/4,0),1)</f>
        <v/>
      </c>
      <c r="L786" s="2">
        <f>MIN(E786/60,1)</f>
        <v/>
      </c>
      <c r="M786" s="2">
        <f>MIN(MAX(1-G786,0),1)</f>
        <v/>
      </c>
      <c r="N786" s="2">
        <f>MIN(MAX(1-(H786-1)/4,0),1)</f>
        <v/>
      </c>
      <c r="O786" s="2">
        <f>1-MIN(I786/8,1)</f>
        <v/>
      </c>
      <c r="P786" s="10">
        <f>ROUND(100*(J786*Assumptions!$B$6+K786*Assumptions!$B$7+L786*Assumptions!$B$8+M786*Assumptions!$B$9+N786*Assumptions!$B$10+O786*Assumptions!$B$11),1)</f>
        <v/>
      </c>
      <c r="Q786" s="2">
        <f>IF(P786&gt;=Assumptions!$B$14,"High",IF(P786&gt;=Assumptions!$B$15,"Medium","Low"))</f>
        <v/>
      </c>
      <c r="R786" s="2">
        <f>Cleaned_Data!L786</f>
        <v/>
      </c>
    </row>
    <row r="787">
      <c r="A787" s="2">
        <f>Cleaned_Data!A787</f>
        <v/>
      </c>
      <c r="B787" s="2">
        <f>Cleaned_Data!B787</f>
        <v/>
      </c>
      <c r="C787" s="2">
        <f>Cleaned_Data!G787</f>
        <v/>
      </c>
      <c r="D787" s="2">
        <f>Cleaned_Data!I787</f>
        <v/>
      </c>
      <c r="E787" s="2">
        <f>Cleaned_Data!H787</f>
        <v/>
      </c>
      <c r="F787" s="2">
        <f>Cleaned_Data!F787</f>
        <v/>
      </c>
      <c r="G787" s="9">
        <f>SUMPRODUCT(($B$2:$B$1196=B787)*($F$2:$F$1196&lt;=F787))/SUMPRODUCT(($B$2:$B$1196=B787)*1)</f>
        <v/>
      </c>
      <c r="H787" s="2">
        <f>Cleaned_Data!J787</f>
        <v/>
      </c>
      <c r="I787" s="2">
        <f>Cleaned_Data!E787</f>
        <v/>
      </c>
      <c r="J787" s="2">
        <f>IF(C787="Yes",1,0)</f>
        <v/>
      </c>
      <c r="K787" s="2">
        <f>MIN(MAX(1-(D787-1)/4,0),1)</f>
        <v/>
      </c>
      <c r="L787" s="2">
        <f>MIN(E787/60,1)</f>
        <v/>
      </c>
      <c r="M787" s="2">
        <f>MIN(MAX(1-G787,0),1)</f>
        <v/>
      </c>
      <c r="N787" s="2">
        <f>MIN(MAX(1-(H787-1)/4,0),1)</f>
        <v/>
      </c>
      <c r="O787" s="2">
        <f>1-MIN(I787/8,1)</f>
        <v/>
      </c>
      <c r="P787" s="10">
        <f>ROUND(100*(J787*Assumptions!$B$6+K787*Assumptions!$B$7+L787*Assumptions!$B$8+M787*Assumptions!$B$9+N787*Assumptions!$B$10+O787*Assumptions!$B$11),1)</f>
        <v/>
      </c>
      <c r="Q787" s="2">
        <f>IF(P787&gt;=Assumptions!$B$14,"High",IF(P787&gt;=Assumptions!$B$15,"Medium","Low"))</f>
        <v/>
      </c>
      <c r="R787" s="2">
        <f>Cleaned_Data!L787</f>
        <v/>
      </c>
    </row>
    <row r="788">
      <c r="A788" s="2">
        <f>Cleaned_Data!A788</f>
        <v/>
      </c>
      <c r="B788" s="2">
        <f>Cleaned_Data!B788</f>
        <v/>
      </c>
      <c r="C788" s="2">
        <f>Cleaned_Data!G788</f>
        <v/>
      </c>
      <c r="D788" s="2">
        <f>Cleaned_Data!I788</f>
        <v/>
      </c>
      <c r="E788" s="2">
        <f>Cleaned_Data!H788</f>
        <v/>
      </c>
      <c r="F788" s="2">
        <f>Cleaned_Data!F788</f>
        <v/>
      </c>
      <c r="G788" s="9">
        <f>SUMPRODUCT(($B$2:$B$1196=B788)*($F$2:$F$1196&lt;=F788))/SUMPRODUCT(($B$2:$B$1196=B788)*1)</f>
        <v/>
      </c>
      <c r="H788" s="2">
        <f>Cleaned_Data!J788</f>
        <v/>
      </c>
      <c r="I788" s="2">
        <f>Cleaned_Data!E788</f>
        <v/>
      </c>
      <c r="J788" s="2">
        <f>IF(C788="Yes",1,0)</f>
        <v/>
      </c>
      <c r="K788" s="2">
        <f>MIN(MAX(1-(D788-1)/4,0),1)</f>
        <v/>
      </c>
      <c r="L788" s="2">
        <f>MIN(E788/60,1)</f>
        <v/>
      </c>
      <c r="M788" s="2">
        <f>MIN(MAX(1-G788,0),1)</f>
        <v/>
      </c>
      <c r="N788" s="2">
        <f>MIN(MAX(1-(H788-1)/4,0),1)</f>
        <v/>
      </c>
      <c r="O788" s="2">
        <f>1-MIN(I788/8,1)</f>
        <v/>
      </c>
      <c r="P788" s="10">
        <f>ROUND(100*(J788*Assumptions!$B$6+K788*Assumptions!$B$7+L788*Assumptions!$B$8+M788*Assumptions!$B$9+N788*Assumptions!$B$10+O788*Assumptions!$B$11),1)</f>
        <v/>
      </c>
      <c r="Q788" s="2">
        <f>IF(P788&gt;=Assumptions!$B$14,"High",IF(P788&gt;=Assumptions!$B$15,"Medium","Low"))</f>
        <v/>
      </c>
      <c r="R788" s="2">
        <f>Cleaned_Data!L788</f>
        <v/>
      </c>
    </row>
    <row r="789">
      <c r="A789" s="2">
        <f>Cleaned_Data!A789</f>
        <v/>
      </c>
      <c r="B789" s="2">
        <f>Cleaned_Data!B789</f>
        <v/>
      </c>
      <c r="C789" s="2">
        <f>Cleaned_Data!G789</f>
        <v/>
      </c>
      <c r="D789" s="2">
        <f>Cleaned_Data!I789</f>
        <v/>
      </c>
      <c r="E789" s="2">
        <f>Cleaned_Data!H789</f>
        <v/>
      </c>
      <c r="F789" s="2">
        <f>Cleaned_Data!F789</f>
        <v/>
      </c>
      <c r="G789" s="9">
        <f>SUMPRODUCT(($B$2:$B$1196=B789)*($F$2:$F$1196&lt;=F789))/SUMPRODUCT(($B$2:$B$1196=B789)*1)</f>
        <v/>
      </c>
      <c r="H789" s="2">
        <f>Cleaned_Data!J789</f>
        <v/>
      </c>
      <c r="I789" s="2">
        <f>Cleaned_Data!E789</f>
        <v/>
      </c>
      <c r="J789" s="2">
        <f>IF(C789="Yes",1,0)</f>
        <v/>
      </c>
      <c r="K789" s="2">
        <f>MIN(MAX(1-(D789-1)/4,0),1)</f>
        <v/>
      </c>
      <c r="L789" s="2">
        <f>MIN(E789/60,1)</f>
        <v/>
      </c>
      <c r="M789" s="2">
        <f>MIN(MAX(1-G789,0),1)</f>
        <v/>
      </c>
      <c r="N789" s="2">
        <f>MIN(MAX(1-(H789-1)/4,0),1)</f>
        <v/>
      </c>
      <c r="O789" s="2">
        <f>1-MIN(I789/8,1)</f>
        <v/>
      </c>
      <c r="P789" s="10">
        <f>ROUND(100*(J789*Assumptions!$B$6+K789*Assumptions!$B$7+L789*Assumptions!$B$8+M789*Assumptions!$B$9+N789*Assumptions!$B$10+O789*Assumptions!$B$11),1)</f>
        <v/>
      </c>
      <c r="Q789" s="2">
        <f>IF(P789&gt;=Assumptions!$B$14,"High",IF(P789&gt;=Assumptions!$B$15,"Medium","Low"))</f>
        <v/>
      </c>
      <c r="R789" s="2">
        <f>Cleaned_Data!L789</f>
        <v/>
      </c>
    </row>
    <row r="790">
      <c r="A790" s="2">
        <f>Cleaned_Data!A790</f>
        <v/>
      </c>
      <c r="B790" s="2">
        <f>Cleaned_Data!B790</f>
        <v/>
      </c>
      <c r="C790" s="2">
        <f>Cleaned_Data!G790</f>
        <v/>
      </c>
      <c r="D790" s="2">
        <f>Cleaned_Data!I790</f>
        <v/>
      </c>
      <c r="E790" s="2">
        <f>Cleaned_Data!H790</f>
        <v/>
      </c>
      <c r="F790" s="2">
        <f>Cleaned_Data!F790</f>
        <v/>
      </c>
      <c r="G790" s="9">
        <f>SUMPRODUCT(($B$2:$B$1196=B790)*($F$2:$F$1196&lt;=F790))/SUMPRODUCT(($B$2:$B$1196=B790)*1)</f>
        <v/>
      </c>
      <c r="H790" s="2">
        <f>Cleaned_Data!J790</f>
        <v/>
      </c>
      <c r="I790" s="2">
        <f>Cleaned_Data!E790</f>
        <v/>
      </c>
      <c r="J790" s="2">
        <f>IF(C790="Yes",1,0)</f>
        <v/>
      </c>
      <c r="K790" s="2">
        <f>MIN(MAX(1-(D790-1)/4,0),1)</f>
        <v/>
      </c>
      <c r="L790" s="2">
        <f>MIN(E790/60,1)</f>
        <v/>
      </c>
      <c r="M790" s="2">
        <f>MIN(MAX(1-G790,0),1)</f>
        <v/>
      </c>
      <c r="N790" s="2">
        <f>MIN(MAX(1-(H790-1)/4,0),1)</f>
        <v/>
      </c>
      <c r="O790" s="2">
        <f>1-MIN(I790/8,1)</f>
        <v/>
      </c>
      <c r="P790" s="10">
        <f>ROUND(100*(J790*Assumptions!$B$6+K790*Assumptions!$B$7+L790*Assumptions!$B$8+M790*Assumptions!$B$9+N790*Assumptions!$B$10+O790*Assumptions!$B$11),1)</f>
        <v/>
      </c>
      <c r="Q790" s="2">
        <f>IF(P790&gt;=Assumptions!$B$14,"High",IF(P790&gt;=Assumptions!$B$15,"Medium","Low"))</f>
        <v/>
      </c>
      <c r="R790" s="2">
        <f>Cleaned_Data!L790</f>
        <v/>
      </c>
    </row>
    <row r="791">
      <c r="A791" s="2">
        <f>Cleaned_Data!A791</f>
        <v/>
      </c>
      <c r="B791" s="2">
        <f>Cleaned_Data!B791</f>
        <v/>
      </c>
      <c r="C791" s="2">
        <f>Cleaned_Data!G791</f>
        <v/>
      </c>
      <c r="D791" s="2">
        <f>Cleaned_Data!I791</f>
        <v/>
      </c>
      <c r="E791" s="2">
        <f>Cleaned_Data!H791</f>
        <v/>
      </c>
      <c r="F791" s="2">
        <f>Cleaned_Data!F791</f>
        <v/>
      </c>
      <c r="G791" s="9">
        <f>SUMPRODUCT(($B$2:$B$1196=B791)*($F$2:$F$1196&lt;=F791))/SUMPRODUCT(($B$2:$B$1196=B791)*1)</f>
        <v/>
      </c>
      <c r="H791" s="2">
        <f>Cleaned_Data!J791</f>
        <v/>
      </c>
      <c r="I791" s="2">
        <f>Cleaned_Data!E791</f>
        <v/>
      </c>
      <c r="J791" s="2">
        <f>IF(C791="Yes",1,0)</f>
        <v/>
      </c>
      <c r="K791" s="2">
        <f>MIN(MAX(1-(D791-1)/4,0),1)</f>
        <v/>
      </c>
      <c r="L791" s="2">
        <f>MIN(E791/60,1)</f>
        <v/>
      </c>
      <c r="M791" s="2">
        <f>MIN(MAX(1-G791,0),1)</f>
        <v/>
      </c>
      <c r="N791" s="2">
        <f>MIN(MAX(1-(H791-1)/4,0),1)</f>
        <v/>
      </c>
      <c r="O791" s="2">
        <f>1-MIN(I791/8,1)</f>
        <v/>
      </c>
      <c r="P791" s="10">
        <f>ROUND(100*(J791*Assumptions!$B$6+K791*Assumptions!$B$7+L791*Assumptions!$B$8+M791*Assumptions!$B$9+N791*Assumptions!$B$10+O791*Assumptions!$B$11),1)</f>
        <v/>
      </c>
      <c r="Q791" s="2">
        <f>IF(P791&gt;=Assumptions!$B$14,"High",IF(P791&gt;=Assumptions!$B$15,"Medium","Low"))</f>
        <v/>
      </c>
      <c r="R791" s="2">
        <f>Cleaned_Data!L791</f>
        <v/>
      </c>
    </row>
    <row r="792">
      <c r="A792" s="2">
        <f>Cleaned_Data!A792</f>
        <v/>
      </c>
      <c r="B792" s="2">
        <f>Cleaned_Data!B792</f>
        <v/>
      </c>
      <c r="C792" s="2">
        <f>Cleaned_Data!G792</f>
        <v/>
      </c>
      <c r="D792" s="2">
        <f>Cleaned_Data!I792</f>
        <v/>
      </c>
      <c r="E792" s="2">
        <f>Cleaned_Data!H792</f>
        <v/>
      </c>
      <c r="F792" s="2">
        <f>Cleaned_Data!F792</f>
        <v/>
      </c>
      <c r="G792" s="9">
        <f>SUMPRODUCT(($B$2:$B$1196=B792)*($F$2:$F$1196&lt;=F792))/SUMPRODUCT(($B$2:$B$1196=B792)*1)</f>
        <v/>
      </c>
      <c r="H792" s="2">
        <f>Cleaned_Data!J792</f>
        <v/>
      </c>
      <c r="I792" s="2">
        <f>Cleaned_Data!E792</f>
        <v/>
      </c>
      <c r="J792" s="2">
        <f>IF(C792="Yes",1,0)</f>
        <v/>
      </c>
      <c r="K792" s="2">
        <f>MIN(MAX(1-(D792-1)/4,0),1)</f>
        <v/>
      </c>
      <c r="L792" s="2">
        <f>MIN(E792/60,1)</f>
        <v/>
      </c>
      <c r="M792" s="2">
        <f>MIN(MAX(1-G792,0),1)</f>
        <v/>
      </c>
      <c r="N792" s="2">
        <f>MIN(MAX(1-(H792-1)/4,0),1)</f>
        <v/>
      </c>
      <c r="O792" s="2">
        <f>1-MIN(I792/8,1)</f>
        <v/>
      </c>
      <c r="P792" s="10">
        <f>ROUND(100*(J792*Assumptions!$B$6+K792*Assumptions!$B$7+L792*Assumptions!$B$8+M792*Assumptions!$B$9+N792*Assumptions!$B$10+O792*Assumptions!$B$11),1)</f>
        <v/>
      </c>
      <c r="Q792" s="2">
        <f>IF(P792&gt;=Assumptions!$B$14,"High",IF(P792&gt;=Assumptions!$B$15,"Medium","Low"))</f>
        <v/>
      </c>
      <c r="R792" s="2">
        <f>Cleaned_Data!L792</f>
        <v/>
      </c>
    </row>
    <row r="793">
      <c r="A793" s="2">
        <f>Cleaned_Data!A793</f>
        <v/>
      </c>
      <c r="B793" s="2">
        <f>Cleaned_Data!B793</f>
        <v/>
      </c>
      <c r="C793" s="2">
        <f>Cleaned_Data!G793</f>
        <v/>
      </c>
      <c r="D793" s="2">
        <f>Cleaned_Data!I793</f>
        <v/>
      </c>
      <c r="E793" s="2">
        <f>Cleaned_Data!H793</f>
        <v/>
      </c>
      <c r="F793" s="2">
        <f>Cleaned_Data!F793</f>
        <v/>
      </c>
      <c r="G793" s="9">
        <f>SUMPRODUCT(($B$2:$B$1196=B793)*($F$2:$F$1196&lt;=F793))/SUMPRODUCT(($B$2:$B$1196=B793)*1)</f>
        <v/>
      </c>
      <c r="H793" s="2">
        <f>Cleaned_Data!J793</f>
        <v/>
      </c>
      <c r="I793" s="2">
        <f>Cleaned_Data!E793</f>
        <v/>
      </c>
      <c r="J793" s="2">
        <f>IF(C793="Yes",1,0)</f>
        <v/>
      </c>
      <c r="K793" s="2">
        <f>MIN(MAX(1-(D793-1)/4,0),1)</f>
        <v/>
      </c>
      <c r="L793" s="2">
        <f>MIN(E793/60,1)</f>
        <v/>
      </c>
      <c r="M793" s="2">
        <f>MIN(MAX(1-G793,0),1)</f>
        <v/>
      </c>
      <c r="N793" s="2">
        <f>MIN(MAX(1-(H793-1)/4,0),1)</f>
        <v/>
      </c>
      <c r="O793" s="2">
        <f>1-MIN(I793/8,1)</f>
        <v/>
      </c>
      <c r="P793" s="10">
        <f>ROUND(100*(J793*Assumptions!$B$6+K793*Assumptions!$B$7+L793*Assumptions!$B$8+M793*Assumptions!$B$9+N793*Assumptions!$B$10+O793*Assumptions!$B$11),1)</f>
        <v/>
      </c>
      <c r="Q793" s="2">
        <f>IF(P793&gt;=Assumptions!$B$14,"High",IF(P793&gt;=Assumptions!$B$15,"Medium","Low"))</f>
        <v/>
      </c>
      <c r="R793" s="2">
        <f>Cleaned_Data!L793</f>
        <v/>
      </c>
    </row>
    <row r="794">
      <c r="A794" s="2">
        <f>Cleaned_Data!A794</f>
        <v/>
      </c>
      <c r="B794" s="2">
        <f>Cleaned_Data!B794</f>
        <v/>
      </c>
      <c r="C794" s="2">
        <f>Cleaned_Data!G794</f>
        <v/>
      </c>
      <c r="D794" s="2">
        <f>Cleaned_Data!I794</f>
        <v/>
      </c>
      <c r="E794" s="2">
        <f>Cleaned_Data!H794</f>
        <v/>
      </c>
      <c r="F794" s="2">
        <f>Cleaned_Data!F794</f>
        <v/>
      </c>
      <c r="G794" s="9">
        <f>SUMPRODUCT(($B$2:$B$1196=B794)*($F$2:$F$1196&lt;=F794))/SUMPRODUCT(($B$2:$B$1196=B794)*1)</f>
        <v/>
      </c>
      <c r="H794" s="2">
        <f>Cleaned_Data!J794</f>
        <v/>
      </c>
      <c r="I794" s="2">
        <f>Cleaned_Data!E794</f>
        <v/>
      </c>
      <c r="J794" s="2">
        <f>IF(C794="Yes",1,0)</f>
        <v/>
      </c>
      <c r="K794" s="2">
        <f>MIN(MAX(1-(D794-1)/4,0),1)</f>
        <v/>
      </c>
      <c r="L794" s="2">
        <f>MIN(E794/60,1)</f>
        <v/>
      </c>
      <c r="M794" s="2">
        <f>MIN(MAX(1-G794,0),1)</f>
        <v/>
      </c>
      <c r="N794" s="2">
        <f>MIN(MAX(1-(H794-1)/4,0),1)</f>
        <v/>
      </c>
      <c r="O794" s="2">
        <f>1-MIN(I794/8,1)</f>
        <v/>
      </c>
      <c r="P794" s="10">
        <f>ROUND(100*(J794*Assumptions!$B$6+K794*Assumptions!$B$7+L794*Assumptions!$B$8+M794*Assumptions!$B$9+N794*Assumptions!$B$10+O794*Assumptions!$B$11),1)</f>
        <v/>
      </c>
      <c r="Q794" s="2">
        <f>IF(P794&gt;=Assumptions!$B$14,"High",IF(P794&gt;=Assumptions!$B$15,"Medium","Low"))</f>
        <v/>
      </c>
      <c r="R794" s="2">
        <f>Cleaned_Data!L794</f>
        <v/>
      </c>
    </row>
    <row r="795">
      <c r="A795" s="2">
        <f>Cleaned_Data!A795</f>
        <v/>
      </c>
      <c r="B795" s="2">
        <f>Cleaned_Data!B795</f>
        <v/>
      </c>
      <c r="C795" s="2">
        <f>Cleaned_Data!G795</f>
        <v/>
      </c>
      <c r="D795" s="2">
        <f>Cleaned_Data!I795</f>
        <v/>
      </c>
      <c r="E795" s="2">
        <f>Cleaned_Data!H795</f>
        <v/>
      </c>
      <c r="F795" s="2">
        <f>Cleaned_Data!F795</f>
        <v/>
      </c>
      <c r="G795" s="9">
        <f>SUMPRODUCT(($B$2:$B$1196=B795)*($F$2:$F$1196&lt;=F795))/SUMPRODUCT(($B$2:$B$1196=B795)*1)</f>
        <v/>
      </c>
      <c r="H795" s="2">
        <f>Cleaned_Data!J795</f>
        <v/>
      </c>
      <c r="I795" s="2">
        <f>Cleaned_Data!E795</f>
        <v/>
      </c>
      <c r="J795" s="2">
        <f>IF(C795="Yes",1,0)</f>
        <v/>
      </c>
      <c r="K795" s="2">
        <f>MIN(MAX(1-(D795-1)/4,0),1)</f>
        <v/>
      </c>
      <c r="L795" s="2">
        <f>MIN(E795/60,1)</f>
        <v/>
      </c>
      <c r="M795" s="2">
        <f>MIN(MAX(1-G795,0),1)</f>
        <v/>
      </c>
      <c r="N795" s="2">
        <f>MIN(MAX(1-(H795-1)/4,0),1)</f>
        <v/>
      </c>
      <c r="O795" s="2">
        <f>1-MIN(I795/8,1)</f>
        <v/>
      </c>
      <c r="P795" s="10">
        <f>ROUND(100*(J795*Assumptions!$B$6+K795*Assumptions!$B$7+L795*Assumptions!$B$8+M795*Assumptions!$B$9+N795*Assumptions!$B$10+O795*Assumptions!$B$11),1)</f>
        <v/>
      </c>
      <c r="Q795" s="2">
        <f>IF(P795&gt;=Assumptions!$B$14,"High",IF(P795&gt;=Assumptions!$B$15,"Medium","Low"))</f>
        <v/>
      </c>
      <c r="R795" s="2">
        <f>Cleaned_Data!L795</f>
        <v/>
      </c>
    </row>
    <row r="796">
      <c r="A796" s="2">
        <f>Cleaned_Data!A796</f>
        <v/>
      </c>
      <c r="B796" s="2">
        <f>Cleaned_Data!B796</f>
        <v/>
      </c>
      <c r="C796" s="2">
        <f>Cleaned_Data!G796</f>
        <v/>
      </c>
      <c r="D796" s="2">
        <f>Cleaned_Data!I796</f>
        <v/>
      </c>
      <c r="E796" s="2">
        <f>Cleaned_Data!H796</f>
        <v/>
      </c>
      <c r="F796" s="2">
        <f>Cleaned_Data!F796</f>
        <v/>
      </c>
      <c r="G796" s="9">
        <f>SUMPRODUCT(($B$2:$B$1196=B796)*($F$2:$F$1196&lt;=F796))/SUMPRODUCT(($B$2:$B$1196=B796)*1)</f>
        <v/>
      </c>
      <c r="H796" s="2">
        <f>Cleaned_Data!J796</f>
        <v/>
      </c>
      <c r="I796" s="2">
        <f>Cleaned_Data!E796</f>
        <v/>
      </c>
      <c r="J796" s="2">
        <f>IF(C796="Yes",1,0)</f>
        <v/>
      </c>
      <c r="K796" s="2">
        <f>MIN(MAX(1-(D796-1)/4,0),1)</f>
        <v/>
      </c>
      <c r="L796" s="2">
        <f>MIN(E796/60,1)</f>
        <v/>
      </c>
      <c r="M796" s="2">
        <f>MIN(MAX(1-G796,0),1)</f>
        <v/>
      </c>
      <c r="N796" s="2">
        <f>MIN(MAX(1-(H796-1)/4,0),1)</f>
        <v/>
      </c>
      <c r="O796" s="2">
        <f>1-MIN(I796/8,1)</f>
        <v/>
      </c>
      <c r="P796" s="10">
        <f>ROUND(100*(J796*Assumptions!$B$6+K796*Assumptions!$B$7+L796*Assumptions!$B$8+M796*Assumptions!$B$9+N796*Assumptions!$B$10+O796*Assumptions!$B$11),1)</f>
        <v/>
      </c>
      <c r="Q796" s="2">
        <f>IF(P796&gt;=Assumptions!$B$14,"High",IF(P796&gt;=Assumptions!$B$15,"Medium","Low"))</f>
        <v/>
      </c>
      <c r="R796" s="2">
        <f>Cleaned_Data!L796</f>
        <v/>
      </c>
    </row>
    <row r="797">
      <c r="A797" s="2">
        <f>Cleaned_Data!A797</f>
        <v/>
      </c>
      <c r="B797" s="2">
        <f>Cleaned_Data!B797</f>
        <v/>
      </c>
      <c r="C797" s="2">
        <f>Cleaned_Data!G797</f>
        <v/>
      </c>
      <c r="D797" s="2">
        <f>Cleaned_Data!I797</f>
        <v/>
      </c>
      <c r="E797" s="2">
        <f>Cleaned_Data!H797</f>
        <v/>
      </c>
      <c r="F797" s="2">
        <f>Cleaned_Data!F797</f>
        <v/>
      </c>
      <c r="G797" s="9">
        <f>SUMPRODUCT(($B$2:$B$1196=B797)*($F$2:$F$1196&lt;=F797))/SUMPRODUCT(($B$2:$B$1196=B797)*1)</f>
        <v/>
      </c>
      <c r="H797" s="2">
        <f>Cleaned_Data!J797</f>
        <v/>
      </c>
      <c r="I797" s="2">
        <f>Cleaned_Data!E797</f>
        <v/>
      </c>
      <c r="J797" s="2">
        <f>IF(C797="Yes",1,0)</f>
        <v/>
      </c>
      <c r="K797" s="2">
        <f>MIN(MAX(1-(D797-1)/4,0),1)</f>
        <v/>
      </c>
      <c r="L797" s="2">
        <f>MIN(E797/60,1)</f>
        <v/>
      </c>
      <c r="M797" s="2">
        <f>MIN(MAX(1-G797,0),1)</f>
        <v/>
      </c>
      <c r="N797" s="2">
        <f>MIN(MAX(1-(H797-1)/4,0),1)</f>
        <v/>
      </c>
      <c r="O797" s="2">
        <f>1-MIN(I797/8,1)</f>
        <v/>
      </c>
      <c r="P797" s="10">
        <f>ROUND(100*(J797*Assumptions!$B$6+K797*Assumptions!$B$7+L797*Assumptions!$B$8+M797*Assumptions!$B$9+N797*Assumptions!$B$10+O797*Assumptions!$B$11),1)</f>
        <v/>
      </c>
      <c r="Q797" s="2">
        <f>IF(P797&gt;=Assumptions!$B$14,"High",IF(P797&gt;=Assumptions!$B$15,"Medium","Low"))</f>
        <v/>
      </c>
      <c r="R797" s="2">
        <f>Cleaned_Data!L797</f>
        <v/>
      </c>
    </row>
    <row r="798">
      <c r="A798" s="2">
        <f>Cleaned_Data!A798</f>
        <v/>
      </c>
      <c r="B798" s="2">
        <f>Cleaned_Data!B798</f>
        <v/>
      </c>
      <c r="C798" s="2">
        <f>Cleaned_Data!G798</f>
        <v/>
      </c>
      <c r="D798" s="2">
        <f>Cleaned_Data!I798</f>
        <v/>
      </c>
      <c r="E798" s="2">
        <f>Cleaned_Data!H798</f>
        <v/>
      </c>
      <c r="F798" s="2">
        <f>Cleaned_Data!F798</f>
        <v/>
      </c>
      <c r="G798" s="9">
        <f>SUMPRODUCT(($B$2:$B$1196=B798)*($F$2:$F$1196&lt;=F798))/SUMPRODUCT(($B$2:$B$1196=B798)*1)</f>
        <v/>
      </c>
      <c r="H798" s="2">
        <f>Cleaned_Data!J798</f>
        <v/>
      </c>
      <c r="I798" s="2">
        <f>Cleaned_Data!E798</f>
        <v/>
      </c>
      <c r="J798" s="2">
        <f>IF(C798="Yes",1,0)</f>
        <v/>
      </c>
      <c r="K798" s="2">
        <f>MIN(MAX(1-(D798-1)/4,0),1)</f>
        <v/>
      </c>
      <c r="L798" s="2">
        <f>MIN(E798/60,1)</f>
        <v/>
      </c>
      <c r="M798" s="2">
        <f>MIN(MAX(1-G798,0),1)</f>
        <v/>
      </c>
      <c r="N798" s="2">
        <f>MIN(MAX(1-(H798-1)/4,0),1)</f>
        <v/>
      </c>
      <c r="O798" s="2">
        <f>1-MIN(I798/8,1)</f>
        <v/>
      </c>
      <c r="P798" s="10">
        <f>ROUND(100*(J798*Assumptions!$B$6+K798*Assumptions!$B$7+L798*Assumptions!$B$8+M798*Assumptions!$B$9+N798*Assumptions!$B$10+O798*Assumptions!$B$11),1)</f>
        <v/>
      </c>
      <c r="Q798" s="2">
        <f>IF(P798&gt;=Assumptions!$B$14,"High",IF(P798&gt;=Assumptions!$B$15,"Medium","Low"))</f>
        <v/>
      </c>
      <c r="R798" s="2">
        <f>Cleaned_Data!L798</f>
        <v/>
      </c>
    </row>
    <row r="799">
      <c r="A799" s="2">
        <f>Cleaned_Data!A799</f>
        <v/>
      </c>
      <c r="B799" s="2">
        <f>Cleaned_Data!B799</f>
        <v/>
      </c>
      <c r="C799" s="2">
        <f>Cleaned_Data!G799</f>
        <v/>
      </c>
      <c r="D799" s="2">
        <f>Cleaned_Data!I799</f>
        <v/>
      </c>
      <c r="E799" s="2">
        <f>Cleaned_Data!H799</f>
        <v/>
      </c>
      <c r="F799" s="2">
        <f>Cleaned_Data!F799</f>
        <v/>
      </c>
      <c r="G799" s="9">
        <f>SUMPRODUCT(($B$2:$B$1196=B799)*($F$2:$F$1196&lt;=F799))/SUMPRODUCT(($B$2:$B$1196=B799)*1)</f>
        <v/>
      </c>
      <c r="H799" s="2">
        <f>Cleaned_Data!J799</f>
        <v/>
      </c>
      <c r="I799" s="2">
        <f>Cleaned_Data!E799</f>
        <v/>
      </c>
      <c r="J799" s="2">
        <f>IF(C799="Yes",1,0)</f>
        <v/>
      </c>
      <c r="K799" s="2">
        <f>MIN(MAX(1-(D799-1)/4,0),1)</f>
        <v/>
      </c>
      <c r="L799" s="2">
        <f>MIN(E799/60,1)</f>
        <v/>
      </c>
      <c r="M799" s="2">
        <f>MIN(MAX(1-G799,0),1)</f>
        <v/>
      </c>
      <c r="N799" s="2">
        <f>MIN(MAX(1-(H799-1)/4,0),1)</f>
        <v/>
      </c>
      <c r="O799" s="2">
        <f>1-MIN(I799/8,1)</f>
        <v/>
      </c>
      <c r="P799" s="10">
        <f>ROUND(100*(J799*Assumptions!$B$6+K799*Assumptions!$B$7+L799*Assumptions!$B$8+M799*Assumptions!$B$9+N799*Assumptions!$B$10+O799*Assumptions!$B$11),1)</f>
        <v/>
      </c>
      <c r="Q799" s="2">
        <f>IF(P799&gt;=Assumptions!$B$14,"High",IF(P799&gt;=Assumptions!$B$15,"Medium","Low"))</f>
        <v/>
      </c>
      <c r="R799" s="2">
        <f>Cleaned_Data!L799</f>
        <v/>
      </c>
    </row>
    <row r="800">
      <c r="A800" s="2">
        <f>Cleaned_Data!A800</f>
        <v/>
      </c>
      <c r="B800" s="2">
        <f>Cleaned_Data!B800</f>
        <v/>
      </c>
      <c r="C800" s="2">
        <f>Cleaned_Data!G800</f>
        <v/>
      </c>
      <c r="D800" s="2">
        <f>Cleaned_Data!I800</f>
        <v/>
      </c>
      <c r="E800" s="2">
        <f>Cleaned_Data!H800</f>
        <v/>
      </c>
      <c r="F800" s="2">
        <f>Cleaned_Data!F800</f>
        <v/>
      </c>
      <c r="G800" s="9">
        <f>SUMPRODUCT(($B$2:$B$1196=B800)*($F$2:$F$1196&lt;=F800))/SUMPRODUCT(($B$2:$B$1196=B800)*1)</f>
        <v/>
      </c>
      <c r="H800" s="2">
        <f>Cleaned_Data!J800</f>
        <v/>
      </c>
      <c r="I800" s="2">
        <f>Cleaned_Data!E800</f>
        <v/>
      </c>
      <c r="J800" s="2">
        <f>IF(C800="Yes",1,0)</f>
        <v/>
      </c>
      <c r="K800" s="2">
        <f>MIN(MAX(1-(D800-1)/4,0),1)</f>
        <v/>
      </c>
      <c r="L800" s="2">
        <f>MIN(E800/60,1)</f>
        <v/>
      </c>
      <c r="M800" s="2">
        <f>MIN(MAX(1-G800,0),1)</f>
        <v/>
      </c>
      <c r="N800" s="2">
        <f>MIN(MAX(1-(H800-1)/4,0),1)</f>
        <v/>
      </c>
      <c r="O800" s="2">
        <f>1-MIN(I800/8,1)</f>
        <v/>
      </c>
      <c r="P800" s="10">
        <f>ROUND(100*(J800*Assumptions!$B$6+K800*Assumptions!$B$7+L800*Assumptions!$B$8+M800*Assumptions!$B$9+N800*Assumptions!$B$10+O800*Assumptions!$B$11),1)</f>
        <v/>
      </c>
      <c r="Q800" s="2">
        <f>IF(P800&gt;=Assumptions!$B$14,"High",IF(P800&gt;=Assumptions!$B$15,"Medium","Low"))</f>
        <v/>
      </c>
      <c r="R800" s="2">
        <f>Cleaned_Data!L800</f>
        <v/>
      </c>
    </row>
    <row r="801">
      <c r="A801" s="2">
        <f>Cleaned_Data!A801</f>
        <v/>
      </c>
      <c r="B801" s="2">
        <f>Cleaned_Data!B801</f>
        <v/>
      </c>
      <c r="C801" s="2">
        <f>Cleaned_Data!G801</f>
        <v/>
      </c>
      <c r="D801" s="2">
        <f>Cleaned_Data!I801</f>
        <v/>
      </c>
      <c r="E801" s="2">
        <f>Cleaned_Data!H801</f>
        <v/>
      </c>
      <c r="F801" s="2">
        <f>Cleaned_Data!F801</f>
        <v/>
      </c>
      <c r="G801" s="9">
        <f>SUMPRODUCT(($B$2:$B$1196=B801)*($F$2:$F$1196&lt;=F801))/SUMPRODUCT(($B$2:$B$1196=B801)*1)</f>
        <v/>
      </c>
      <c r="H801" s="2">
        <f>Cleaned_Data!J801</f>
        <v/>
      </c>
      <c r="I801" s="2">
        <f>Cleaned_Data!E801</f>
        <v/>
      </c>
      <c r="J801" s="2">
        <f>IF(C801="Yes",1,0)</f>
        <v/>
      </c>
      <c r="K801" s="2">
        <f>MIN(MAX(1-(D801-1)/4,0),1)</f>
        <v/>
      </c>
      <c r="L801" s="2">
        <f>MIN(E801/60,1)</f>
        <v/>
      </c>
      <c r="M801" s="2">
        <f>MIN(MAX(1-G801,0),1)</f>
        <v/>
      </c>
      <c r="N801" s="2">
        <f>MIN(MAX(1-(H801-1)/4,0),1)</f>
        <v/>
      </c>
      <c r="O801" s="2">
        <f>1-MIN(I801/8,1)</f>
        <v/>
      </c>
      <c r="P801" s="10">
        <f>ROUND(100*(J801*Assumptions!$B$6+K801*Assumptions!$B$7+L801*Assumptions!$B$8+M801*Assumptions!$B$9+N801*Assumptions!$B$10+O801*Assumptions!$B$11),1)</f>
        <v/>
      </c>
      <c r="Q801" s="2">
        <f>IF(P801&gt;=Assumptions!$B$14,"High",IF(P801&gt;=Assumptions!$B$15,"Medium","Low"))</f>
        <v/>
      </c>
      <c r="R801" s="2">
        <f>Cleaned_Data!L801</f>
        <v/>
      </c>
    </row>
    <row r="802">
      <c r="A802" s="2">
        <f>Cleaned_Data!A802</f>
        <v/>
      </c>
      <c r="B802" s="2">
        <f>Cleaned_Data!B802</f>
        <v/>
      </c>
      <c r="C802" s="2">
        <f>Cleaned_Data!G802</f>
        <v/>
      </c>
      <c r="D802" s="2">
        <f>Cleaned_Data!I802</f>
        <v/>
      </c>
      <c r="E802" s="2">
        <f>Cleaned_Data!H802</f>
        <v/>
      </c>
      <c r="F802" s="2">
        <f>Cleaned_Data!F802</f>
        <v/>
      </c>
      <c r="G802" s="9">
        <f>SUMPRODUCT(($B$2:$B$1196=B802)*($F$2:$F$1196&lt;=F802))/SUMPRODUCT(($B$2:$B$1196=B802)*1)</f>
        <v/>
      </c>
      <c r="H802" s="2">
        <f>Cleaned_Data!J802</f>
        <v/>
      </c>
      <c r="I802" s="2">
        <f>Cleaned_Data!E802</f>
        <v/>
      </c>
      <c r="J802" s="2">
        <f>IF(C802="Yes",1,0)</f>
        <v/>
      </c>
      <c r="K802" s="2">
        <f>MIN(MAX(1-(D802-1)/4,0),1)</f>
        <v/>
      </c>
      <c r="L802" s="2">
        <f>MIN(E802/60,1)</f>
        <v/>
      </c>
      <c r="M802" s="2">
        <f>MIN(MAX(1-G802,0),1)</f>
        <v/>
      </c>
      <c r="N802" s="2">
        <f>MIN(MAX(1-(H802-1)/4,0),1)</f>
        <v/>
      </c>
      <c r="O802" s="2">
        <f>1-MIN(I802/8,1)</f>
        <v/>
      </c>
      <c r="P802" s="10">
        <f>ROUND(100*(J802*Assumptions!$B$6+K802*Assumptions!$B$7+L802*Assumptions!$B$8+M802*Assumptions!$B$9+N802*Assumptions!$B$10+O802*Assumptions!$B$11),1)</f>
        <v/>
      </c>
      <c r="Q802" s="2">
        <f>IF(P802&gt;=Assumptions!$B$14,"High",IF(P802&gt;=Assumptions!$B$15,"Medium","Low"))</f>
        <v/>
      </c>
      <c r="R802" s="2">
        <f>Cleaned_Data!L802</f>
        <v/>
      </c>
    </row>
    <row r="803">
      <c r="A803" s="2">
        <f>Cleaned_Data!A803</f>
        <v/>
      </c>
      <c r="B803" s="2">
        <f>Cleaned_Data!B803</f>
        <v/>
      </c>
      <c r="C803" s="2">
        <f>Cleaned_Data!G803</f>
        <v/>
      </c>
      <c r="D803" s="2">
        <f>Cleaned_Data!I803</f>
        <v/>
      </c>
      <c r="E803" s="2">
        <f>Cleaned_Data!H803</f>
        <v/>
      </c>
      <c r="F803" s="2">
        <f>Cleaned_Data!F803</f>
        <v/>
      </c>
      <c r="G803" s="9">
        <f>SUMPRODUCT(($B$2:$B$1196=B803)*($F$2:$F$1196&lt;=F803))/SUMPRODUCT(($B$2:$B$1196=B803)*1)</f>
        <v/>
      </c>
      <c r="H803" s="2">
        <f>Cleaned_Data!J803</f>
        <v/>
      </c>
      <c r="I803" s="2">
        <f>Cleaned_Data!E803</f>
        <v/>
      </c>
      <c r="J803" s="2">
        <f>IF(C803="Yes",1,0)</f>
        <v/>
      </c>
      <c r="K803" s="2">
        <f>MIN(MAX(1-(D803-1)/4,0),1)</f>
        <v/>
      </c>
      <c r="L803" s="2">
        <f>MIN(E803/60,1)</f>
        <v/>
      </c>
      <c r="M803" s="2">
        <f>MIN(MAX(1-G803,0),1)</f>
        <v/>
      </c>
      <c r="N803" s="2">
        <f>MIN(MAX(1-(H803-1)/4,0),1)</f>
        <v/>
      </c>
      <c r="O803" s="2">
        <f>1-MIN(I803/8,1)</f>
        <v/>
      </c>
      <c r="P803" s="10">
        <f>ROUND(100*(J803*Assumptions!$B$6+K803*Assumptions!$B$7+L803*Assumptions!$B$8+M803*Assumptions!$B$9+N803*Assumptions!$B$10+O803*Assumptions!$B$11),1)</f>
        <v/>
      </c>
      <c r="Q803" s="2">
        <f>IF(P803&gt;=Assumptions!$B$14,"High",IF(P803&gt;=Assumptions!$B$15,"Medium","Low"))</f>
        <v/>
      </c>
      <c r="R803" s="2">
        <f>Cleaned_Data!L803</f>
        <v/>
      </c>
    </row>
    <row r="804">
      <c r="A804" s="2">
        <f>Cleaned_Data!A804</f>
        <v/>
      </c>
      <c r="B804" s="2">
        <f>Cleaned_Data!B804</f>
        <v/>
      </c>
      <c r="C804" s="2">
        <f>Cleaned_Data!G804</f>
        <v/>
      </c>
      <c r="D804" s="2">
        <f>Cleaned_Data!I804</f>
        <v/>
      </c>
      <c r="E804" s="2">
        <f>Cleaned_Data!H804</f>
        <v/>
      </c>
      <c r="F804" s="2">
        <f>Cleaned_Data!F804</f>
        <v/>
      </c>
      <c r="G804" s="9">
        <f>SUMPRODUCT(($B$2:$B$1196=B804)*($F$2:$F$1196&lt;=F804))/SUMPRODUCT(($B$2:$B$1196=B804)*1)</f>
        <v/>
      </c>
      <c r="H804" s="2">
        <f>Cleaned_Data!J804</f>
        <v/>
      </c>
      <c r="I804" s="2">
        <f>Cleaned_Data!E804</f>
        <v/>
      </c>
      <c r="J804" s="2">
        <f>IF(C804="Yes",1,0)</f>
        <v/>
      </c>
      <c r="K804" s="2">
        <f>MIN(MAX(1-(D804-1)/4,0),1)</f>
        <v/>
      </c>
      <c r="L804" s="2">
        <f>MIN(E804/60,1)</f>
        <v/>
      </c>
      <c r="M804" s="2">
        <f>MIN(MAX(1-G804,0),1)</f>
        <v/>
      </c>
      <c r="N804" s="2">
        <f>MIN(MAX(1-(H804-1)/4,0),1)</f>
        <v/>
      </c>
      <c r="O804" s="2">
        <f>1-MIN(I804/8,1)</f>
        <v/>
      </c>
      <c r="P804" s="10">
        <f>ROUND(100*(J804*Assumptions!$B$6+K804*Assumptions!$B$7+L804*Assumptions!$B$8+M804*Assumptions!$B$9+N804*Assumptions!$B$10+O804*Assumptions!$B$11),1)</f>
        <v/>
      </c>
      <c r="Q804" s="2">
        <f>IF(P804&gt;=Assumptions!$B$14,"High",IF(P804&gt;=Assumptions!$B$15,"Medium","Low"))</f>
        <v/>
      </c>
      <c r="R804" s="2">
        <f>Cleaned_Data!L804</f>
        <v/>
      </c>
    </row>
    <row r="805">
      <c r="A805" s="2">
        <f>Cleaned_Data!A805</f>
        <v/>
      </c>
      <c r="B805" s="2">
        <f>Cleaned_Data!B805</f>
        <v/>
      </c>
      <c r="C805" s="2">
        <f>Cleaned_Data!G805</f>
        <v/>
      </c>
      <c r="D805" s="2">
        <f>Cleaned_Data!I805</f>
        <v/>
      </c>
      <c r="E805" s="2">
        <f>Cleaned_Data!H805</f>
        <v/>
      </c>
      <c r="F805" s="2">
        <f>Cleaned_Data!F805</f>
        <v/>
      </c>
      <c r="G805" s="9">
        <f>SUMPRODUCT(($B$2:$B$1196=B805)*($F$2:$F$1196&lt;=F805))/SUMPRODUCT(($B$2:$B$1196=B805)*1)</f>
        <v/>
      </c>
      <c r="H805" s="2">
        <f>Cleaned_Data!J805</f>
        <v/>
      </c>
      <c r="I805" s="2">
        <f>Cleaned_Data!E805</f>
        <v/>
      </c>
      <c r="J805" s="2">
        <f>IF(C805="Yes",1,0)</f>
        <v/>
      </c>
      <c r="K805" s="2">
        <f>MIN(MAX(1-(D805-1)/4,0),1)</f>
        <v/>
      </c>
      <c r="L805" s="2">
        <f>MIN(E805/60,1)</f>
        <v/>
      </c>
      <c r="M805" s="2">
        <f>MIN(MAX(1-G805,0),1)</f>
        <v/>
      </c>
      <c r="N805" s="2">
        <f>MIN(MAX(1-(H805-1)/4,0),1)</f>
        <v/>
      </c>
      <c r="O805" s="2">
        <f>1-MIN(I805/8,1)</f>
        <v/>
      </c>
      <c r="P805" s="10">
        <f>ROUND(100*(J805*Assumptions!$B$6+K805*Assumptions!$B$7+L805*Assumptions!$B$8+M805*Assumptions!$B$9+N805*Assumptions!$B$10+O805*Assumptions!$B$11),1)</f>
        <v/>
      </c>
      <c r="Q805" s="2">
        <f>IF(P805&gt;=Assumptions!$B$14,"High",IF(P805&gt;=Assumptions!$B$15,"Medium","Low"))</f>
        <v/>
      </c>
      <c r="R805" s="2">
        <f>Cleaned_Data!L805</f>
        <v/>
      </c>
    </row>
    <row r="806">
      <c r="A806" s="2">
        <f>Cleaned_Data!A806</f>
        <v/>
      </c>
      <c r="B806" s="2">
        <f>Cleaned_Data!B806</f>
        <v/>
      </c>
      <c r="C806" s="2">
        <f>Cleaned_Data!G806</f>
        <v/>
      </c>
      <c r="D806" s="2">
        <f>Cleaned_Data!I806</f>
        <v/>
      </c>
      <c r="E806" s="2">
        <f>Cleaned_Data!H806</f>
        <v/>
      </c>
      <c r="F806" s="2">
        <f>Cleaned_Data!F806</f>
        <v/>
      </c>
      <c r="G806" s="9">
        <f>SUMPRODUCT(($B$2:$B$1196=B806)*($F$2:$F$1196&lt;=F806))/SUMPRODUCT(($B$2:$B$1196=B806)*1)</f>
        <v/>
      </c>
      <c r="H806" s="2">
        <f>Cleaned_Data!J806</f>
        <v/>
      </c>
      <c r="I806" s="2">
        <f>Cleaned_Data!E806</f>
        <v/>
      </c>
      <c r="J806" s="2">
        <f>IF(C806="Yes",1,0)</f>
        <v/>
      </c>
      <c r="K806" s="2">
        <f>MIN(MAX(1-(D806-1)/4,0),1)</f>
        <v/>
      </c>
      <c r="L806" s="2">
        <f>MIN(E806/60,1)</f>
        <v/>
      </c>
      <c r="M806" s="2">
        <f>MIN(MAX(1-G806,0),1)</f>
        <v/>
      </c>
      <c r="N806" s="2">
        <f>MIN(MAX(1-(H806-1)/4,0),1)</f>
        <v/>
      </c>
      <c r="O806" s="2">
        <f>1-MIN(I806/8,1)</f>
        <v/>
      </c>
      <c r="P806" s="10">
        <f>ROUND(100*(J806*Assumptions!$B$6+K806*Assumptions!$B$7+L806*Assumptions!$B$8+M806*Assumptions!$B$9+N806*Assumptions!$B$10+O806*Assumptions!$B$11),1)</f>
        <v/>
      </c>
      <c r="Q806" s="2">
        <f>IF(P806&gt;=Assumptions!$B$14,"High",IF(P806&gt;=Assumptions!$B$15,"Medium","Low"))</f>
        <v/>
      </c>
      <c r="R806" s="2">
        <f>Cleaned_Data!L806</f>
        <v/>
      </c>
    </row>
    <row r="807">
      <c r="A807" s="2">
        <f>Cleaned_Data!A807</f>
        <v/>
      </c>
      <c r="B807" s="2">
        <f>Cleaned_Data!B807</f>
        <v/>
      </c>
      <c r="C807" s="2">
        <f>Cleaned_Data!G807</f>
        <v/>
      </c>
      <c r="D807" s="2">
        <f>Cleaned_Data!I807</f>
        <v/>
      </c>
      <c r="E807" s="2">
        <f>Cleaned_Data!H807</f>
        <v/>
      </c>
      <c r="F807" s="2">
        <f>Cleaned_Data!F807</f>
        <v/>
      </c>
      <c r="G807" s="9">
        <f>SUMPRODUCT(($B$2:$B$1196=B807)*($F$2:$F$1196&lt;=F807))/SUMPRODUCT(($B$2:$B$1196=B807)*1)</f>
        <v/>
      </c>
      <c r="H807" s="2">
        <f>Cleaned_Data!J807</f>
        <v/>
      </c>
      <c r="I807" s="2">
        <f>Cleaned_Data!E807</f>
        <v/>
      </c>
      <c r="J807" s="2">
        <f>IF(C807="Yes",1,0)</f>
        <v/>
      </c>
      <c r="K807" s="2">
        <f>MIN(MAX(1-(D807-1)/4,0),1)</f>
        <v/>
      </c>
      <c r="L807" s="2">
        <f>MIN(E807/60,1)</f>
        <v/>
      </c>
      <c r="M807" s="2">
        <f>MIN(MAX(1-G807,0),1)</f>
        <v/>
      </c>
      <c r="N807" s="2">
        <f>MIN(MAX(1-(H807-1)/4,0),1)</f>
        <v/>
      </c>
      <c r="O807" s="2">
        <f>1-MIN(I807/8,1)</f>
        <v/>
      </c>
      <c r="P807" s="10">
        <f>ROUND(100*(J807*Assumptions!$B$6+K807*Assumptions!$B$7+L807*Assumptions!$B$8+M807*Assumptions!$B$9+N807*Assumptions!$B$10+O807*Assumptions!$B$11),1)</f>
        <v/>
      </c>
      <c r="Q807" s="2">
        <f>IF(P807&gt;=Assumptions!$B$14,"High",IF(P807&gt;=Assumptions!$B$15,"Medium","Low"))</f>
        <v/>
      </c>
      <c r="R807" s="2">
        <f>Cleaned_Data!L807</f>
        <v/>
      </c>
    </row>
    <row r="808">
      <c r="A808" s="2">
        <f>Cleaned_Data!A808</f>
        <v/>
      </c>
      <c r="B808" s="2">
        <f>Cleaned_Data!B808</f>
        <v/>
      </c>
      <c r="C808" s="2">
        <f>Cleaned_Data!G808</f>
        <v/>
      </c>
      <c r="D808" s="2">
        <f>Cleaned_Data!I808</f>
        <v/>
      </c>
      <c r="E808" s="2">
        <f>Cleaned_Data!H808</f>
        <v/>
      </c>
      <c r="F808" s="2">
        <f>Cleaned_Data!F808</f>
        <v/>
      </c>
      <c r="G808" s="9">
        <f>SUMPRODUCT(($B$2:$B$1196=B808)*($F$2:$F$1196&lt;=F808))/SUMPRODUCT(($B$2:$B$1196=B808)*1)</f>
        <v/>
      </c>
      <c r="H808" s="2">
        <f>Cleaned_Data!J808</f>
        <v/>
      </c>
      <c r="I808" s="2">
        <f>Cleaned_Data!E808</f>
        <v/>
      </c>
      <c r="J808" s="2">
        <f>IF(C808="Yes",1,0)</f>
        <v/>
      </c>
      <c r="K808" s="2">
        <f>MIN(MAX(1-(D808-1)/4,0),1)</f>
        <v/>
      </c>
      <c r="L808" s="2">
        <f>MIN(E808/60,1)</f>
        <v/>
      </c>
      <c r="M808" s="2">
        <f>MIN(MAX(1-G808,0),1)</f>
        <v/>
      </c>
      <c r="N808" s="2">
        <f>MIN(MAX(1-(H808-1)/4,0),1)</f>
        <v/>
      </c>
      <c r="O808" s="2">
        <f>1-MIN(I808/8,1)</f>
        <v/>
      </c>
      <c r="P808" s="10">
        <f>ROUND(100*(J808*Assumptions!$B$6+K808*Assumptions!$B$7+L808*Assumptions!$B$8+M808*Assumptions!$B$9+N808*Assumptions!$B$10+O808*Assumptions!$B$11),1)</f>
        <v/>
      </c>
      <c r="Q808" s="2">
        <f>IF(P808&gt;=Assumptions!$B$14,"High",IF(P808&gt;=Assumptions!$B$15,"Medium","Low"))</f>
        <v/>
      </c>
      <c r="R808" s="2">
        <f>Cleaned_Data!L808</f>
        <v/>
      </c>
    </row>
    <row r="809">
      <c r="A809" s="2">
        <f>Cleaned_Data!A809</f>
        <v/>
      </c>
      <c r="B809" s="2">
        <f>Cleaned_Data!B809</f>
        <v/>
      </c>
      <c r="C809" s="2">
        <f>Cleaned_Data!G809</f>
        <v/>
      </c>
      <c r="D809" s="2">
        <f>Cleaned_Data!I809</f>
        <v/>
      </c>
      <c r="E809" s="2">
        <f>Cleaned_Data!H809</f>
        <v/>
      </c>
      <c r="F809" s="2">
        <f>Cleaned_Data!F809</f>
        <v/>
      </c>
      <c r="G809" s="9">
        <f>SUMPRODUCT(($B$2:$B$1196=B809)*($F$2:$F$1196&lt;=F809))/SUMPRODUCT(($B$2:$B$1196=B809)*1)</f>
        <v/>
      </c>
      <c r="H809" s="2">
        <f>Cleaned_Data!J809</f>
        <v/>
      </c>
      <c r="I809" s="2">
        <f>Cleaned_Data!E809</f>
        <v/>
      </c>
      <c r="J809" s="2">
        <f>IF(C809="Yes",1,0)</f>
        <v/>
      </c>
      <c r="K809" s="2">
        <f>MIN(MAX(1-(D809-1)/4,0),1)</f>
        <v/>
      </c>
      <c r="L809" s="2">
        <f>MIN(E809/60,1)</f>
        <v/>
      </c>
      <c r="M809" s="2">
        <f>MIN(MAX(1-G809,0),1)</f>
        <v/>
      </c>
      <c r="N809" s="2">
        <f>MIN(MAX(1-(H809-1)/4,0),1)</f>
        <v/>
      </c>
      <c r="O809" s="2">
        <f>1-MIN(I809/8,1)</f>
        <v/>
      </c>
      <c r="P809" s="10">
        <f>ROUND(100*(J809*Assumptions!$B$6+K809*Assumptions!$B$7+L809*Assumptions!$B$8+M809*Assumptions!$B$9+N809*Assumptions!$B$10+O809*Assumptions!$B$11),1)</f>
        <v/>
      </c>
      <c r="Q809" s="2">
        <f>IF(P809&gt;=Assumptions!$B$14,"High",IF(P809&gt;=Assumptions!$B$15,"Medium","Low"))</f>
        <v/>
      </c>
      <c r="R809" s="2">
        <f>Cleaned_Data!L809</f>
        <v/>
      </c>
    </row>
    <row r="810">
      <c r="A810" s="2">
        <f>Cleaned_Data!A810</f>
        <v/>
      </c>
      <c r="B810" s="2">
        <f>Cleaned_Data!B810</f>
        <v/>
      </c>
      <c r="C810" s="2">
        <f>Cleaned_Data!G810</f>
        <v/>
      </c>
      <c r="D810" s="2">
        <f>Cleaned_Data!I810</f>
        <v/>
      </c>
      <c r="E810" s="2">
        <f>Cleaned_Data!H810</f>
        <v/>
      </c>
      <c r="F810" s="2">
        <f>Cleaned_Data!F810</f>
        <v/>
      </c>
      <c r="G810" s="9">
        <f>SUMPRODUCT(($B$2:$B$1196=B810)*($F$2:$F$1196&lt;=F810))/SUMPRODUCT(($B$2:$B$1196=B810)*1)</f>
        <v/>
      </c>
      <c r="H810" s="2">
        <f>Cleaned_Data!J810</f>
        <v/>
      </c>
      <c r="I810" s="2">
        <f>Cleaned_Data!E810</f>
        <v/>
      </c>
      <c r="J810" s="2">
        <f>IF(C810="Yes",1,0)</f>
        <v/>
      </c>
      <c r="K810" s="2">
        <f>MIN(MAX(1-(D810-1)/4,0),1)</f>
        <v/>
      </c>
      <c r="L810" s="2">
        <f>MIN(E810/60,1)</f>
        <v/>
      </c>
      <c r="M810" s="2">
        <f>MIN(MAX(1-G810,0),1)</f>
        <v/>
      </c>
      <c r="N810" s="2">
        <f>MIN(MAX(1-(H810-1)/4,0),1)</f>
        <v/>
      </c>
      <c r="O810" s="2">
        <f>1-MIN(I810/8,1)</f>
        <v/>
      </c>
      <c r="P810" s="10">
        <f>ROUND(100*(J810*Assumptions!$B$6+K810*Assumptions!$B$7+L810*Assumptions!$B$8+M810*Assumptions!$B$9+N810*Assumptions!$B$10+O810*Assumptions!$B$11),1)</f>
        <v/>
      </c>
      <c r="Q810" s="2">
        <f>IF(P810&gt;=Assumptions!$B$14,"High",IF(P810&gt;=Assumptions!$B$15,"Medium","Low"))</f>
        <v/>
      </c>
      <c r="R810" s="2">
        <f>Cleaned_Data!L810</f>
        <v/>
      </c>
    </row>
    <row r="811">
      <c r="A811" s="2">
        <f>Cleaned_Data!A811</f>
        <v/>
      </c>
      <c r="B811" s="2">
        <f>Cleaned_Data!B811</f>
        <v/>
      </c>
      <c r="C811" s="2">
        <f>Cleaned_Data!G811</f>
        <v/>
      </c>
      <c r="D811" s="2">
        <f>Cleaned_Data!I811</f>
        <v/>
      </c>
      <c r="E811" s="2">
        <f>Cleaned_Data!H811</f>
        <v/>
      </c>
      <c r="F811" s="2">
        <f>Cleaned_Data!F811</f>
        <v/>
      </c>
      <c r="G811" s="9">
        <f>SUMPRODUCT(($B$2:$B$1196=B811)*($F$2:$F$1196&lt;=F811))/SUMPRODUCT(($B$2:$B$1196=B811)*1)</f>
        <v/>
      </c>
      <c r="H811" s="2">
        <f>Cleaned_Data!J811</f>
        <v/>
      </c>
      <c r="I811" s="2">
        <f>Cleaned_Data!E811</f>
        <v/>
      </c>
      <c r="J811" s="2">
        <f>IF(C811="Yes",1,0)</f>
        <v/>
      </c>
      <c r="K811" s="2">
        <f>MIN(MAX(1-(D811-1)/4,0),1)</f>
        <v/>
      </c>
      <c r="L811" s="2">
        <f>MIN(E811/60,1)</f>
        <v/>
      </c>
      <c r="M811" s="2">
        <f>MIN(MAX(1-G811,0),1)</f>
        <v/>
      </c>
      <c r="N811" s="2">
        <f>MIN(MAX(1-(H811-1)/4,0),1)</f>
        <v/>
      </c>
      <c r="O811" s="2">
        <f>1-MIN(I811/8,1)</f>
        <v/>
      </c>
      <c r="P811" s="10">
        <f>ROUND(100*(J811*Assumptions!$B$6+K811*Assumptions!$B$7+L811*Assumptions!$B$8+M811*Assumptions!$B$9+N811*Assumptions!$B$10+O811*Assumptions!$B$11),1)</f>
        <v/>
      </c>
      <c r="Q811" s="2">
        <f>IF(P811&gt;=Assumptions!$B$14,"High",IF(P811&gt;=Assumptions!$B$15,"Medium","Low"))</f>
        <v/>
      </c>
      <c r="R811" s="2">
        <f>Cleaned_Data!L811</f>
        <v/>
      </c>
    </row>
    <row r="812">
      <c r="A812" s="2">
        <f>Cleaned_Data!A812</f>
        <v/>
      </c>
      <c r="B812" s="2">
        <f>Cleaned_Data!B812</f>
        <v/>
      </c>
      <c r="C812" s="2">
        <f>Cleaned_Data!G812</f>
        <v/>
      </c>
      <c r="D812" s="2">
        <f>Cleaned_Data!I812</f>
        <v/>
      </c>
      <c r="E812" s="2">
        <f>Cleaned_Data!H812</f>
        <v/>
      </c>
      <c r="F812" s="2">
        <f>Cleaned_Data!F812</f>
        <v/>
      </c>
      <c r="G812" s="9">
        <f>SUMPRODUCT(($B$2:$B$1196=B812)*($F$2:$F$1196&lt;=F812))/SUMPRODUCT(($B$2:$B$1196=B812)*1)</f>
        <v/>
      </c>
      <c r="H812" s="2">
        <f>Cleaned_Data!J812</f>
        <v/>
      </c>
      <c r="I812" s="2">
        <f>Cleaned_Data!E812</f>
        <v/>
      </c>
      <c r="J812" s="2">
        <f>IF(C812="Yes",1,0)</f>
        <v/>
      </c>
      <c r="K812" s="2">
        <f>MIN(MAX(1-(D812-1)/4,0),1)</f>
        <v/>
      </c>
      <c r="L812" s="2">
        <f>MIN(E812/60,1)</f>
        <v/>
      </c>
      <c r="M812" s="2">
        <f>MIN(MAX(1-G812,0),1)</f>
        <v/>
      </c>
      <c r="N812" s="2">
        <f>MIN(MAX(1-(H812-1)/4,0),1)</f>
        <v/>
      </c>
      <c r="O812" s="2">
        <f>1-MIN(I812/8,1)</f>
        <v/>
      </c>
      <c r="P812" s="10">
        <f>ROUND(100*(J812*Assumptions!$B$6+K812*Assumptions!$B$7+L812*Assumptions!$B$8+M812*Assumptions!$B$9+N812*Assumptions!$B$10+O812*Assumptions!$B$11),1)</f>
        <v/>
      </c>
      <c r="Q812" s="2">
        <f>IF(P812&gt;=Assumptions!$B$14,"High",IF(P812&gt;=Assumptions!$B$15,"Medium","Low"))</f>
        <v/>
      </c>
      <c r="R812" s="2">
        <f>Cleaned_Data!L812</f>
        <v/>
      </c>
    </row>
    <row r="813">
      <c r="A813" s="2">
        <f>Cleaned_Data!A813</f>
        <v/>
      </c>
      <c r="B813" s="2">
        <f>Cleaned_Data!B813</f>
        <v/>
      </c>
      <c r="C813" s="2">
        <f>Cleaned_Data!G813</f>
        <v/>
      </c>
      <c r="D813" s="2">
        <f>Cleaned_Data!I813</f>
        <v/>
      </c>
      <c r="E813" s="2">
        <f>Cleaned_Data!H813</f>
        <v/>
      </c>
      <c r="F813" s="2">
        <f>Cleaned_Data!F813</f>
        <v/>
      </c>
      <c r="G813" s="9">
        <f>SUMPRODUCT(($B$2:$B$1196=B813)*($F$2:$F$1196&lt;=F813))/SUMPRODUCT(($B$2:$B$1196=B813)*1)</f>
        <v/>
      </c>
      <c r="H813" s="2">
        <f>Cleaned_Data!J813</f>
        <v/>
      </c>
      <c r="I813" s="2">
        <f>Cleaned_Data!E813</f>
        <v/>
      </c>
      <c r="J813" s="2">
        <f>IF(C813="Yes",1,0)</f>
        <v/>
      </c>
      <c r="K813" s="2">
        <f>MIN(MAX(1-(D813-1)/4,0),1)</f>
        <v/>
      </c>
      <c r="L813" s="2">
        <f>MIN(E813/60,1)</f>
        <v/>
      </c>
      <c r="M813" s="2">
        <f>MIN(MAX(1-G813,0),1)</f>
        <v/>
      </c>
      <c r="N813" s="2">
        <f>MIN(MAX(1-(H813-1)/4,0),1)</f>
        <v/>
      </c>
      <c r="O813" s="2">
        <f>1-MIN(I813/8,1)</f>
        <v/>
      </c>
      <c r="P813" s="10">
        <f>ROUND(100*(J813*Assumptions!$B$6+K813*Assumptions!$B$7+L813*Assumptions!$B$8+M813*Assumptions!$B$9+N813*Assumptions!$B$10+O813*Assumptions!$B$11),1)</f>
        <v/>
      </c>
      <c r="Q813" s="2">
        <f>IF(P813&gt;=Assumptions!$B$14,"High",IF(P813&gt;=Assumptions!$B$15,"Medium","Low"))</f>
        <v/>
      </c>
      <c r="R813" s="2">
        <f>Cleaned_Data!L813</f>
        <v/>
      </c>
    </row>
    <row r="814">
      <c r="A814" s="2">
        <f>Cleaned_Data!A814</f>
        <v/>
      </c>
      <c r="B814" s="2">
        <f>Cleaned_Data!B814</f>
        <v/>
      </c>
      <c r="C814" s="2">
        <f>Cleaned_Data!G814</f>
        <v/>
      </c>
      <c r="D814" s="2">
        <f>Cleaned_Data!I814</f>
        <v/>
      </c>
      <c r="E814" s="2">
        <f>Cleaned_Data!H814</f>
        <v/>
      </c>
      <c r="F814" s="2">
        <f>Cleaned_Data!F814</f>
        <v/>
      </c>
      <c r="G814" s="9">
        <f>SUMPRODUCT(($B$2:$B$1196=B814)*($F$2:$F$1196&lt;=F814))/SUMPRODUCT(($B$2:$B$1196=B814)*1)</f>
        <v/>
      </c>
      <c r="H814" s="2">
        <f>Cleaned_Data!J814</f>
        <v/>
      </c>
      <c r="I814" s="2">
        <f>Cleaned_Data!E814</f>
        <v/>
      </c>
      <c r="J814" s="2">
        <f>IF(C814="Yes",1,0)</f>
        <v/>
      </c>
      <c r="K814" s="2">
        <f>MIN(MAX(1-(D814-1)/4,0),1)</f>
        <v/>
      </c>
      <c r="L814" s="2">
        <f>MIN(E814/60,1)</f>
        <v/>
      </c>
      <c r="M814" s="2">
        <f>MIN(MAX(1-G814,0),1)</f>
        <v/>
      </c>
      <c r="N814" s="2">
        <f>MIN(MAX(1-(H814-1)/4,0),1)</f>
        <v/>
      </c>
      <c r="O814" s="2">
        <f>1-MIN(I814/8,1)</f>
        <v/>
      </c>
      <c r="P814" s="10">
        <f>ROUND(100*(J814*Assumptions!$B$6+K814*Assumptions!$B$7+L814*Assumptions!$B$8+M814*Assumptions!$B$9+N814*Assumptions!$B$10+O814*Assumptions!$B$11),1)</f>
        <v/>
      </c>
      <c r="Q814" s="2">
        <f>IF(P814&gt;=Assumptions!$B$14,"High",IF(P814&gt;=Assumptions!$B$15,"Medium","Low"))</f>
        <v/>
      </c>
      <c r="R814" s="2">
        <f>Cleaned_Data!L814</f>
        <v/>
      </c>
    </row>
    <row r="815">
      <c r="A815" s="2">
        <f>Cleaned_Data!A815</f>
        <v/>
      </c>
      <c r="B815" s="2">
        <f>Cleaned_Data!B815</f>
        <v/>
      </c>
      <c r="C815" s="2">
        <f>Cleaned_Data!G815</f>
        <v/>
      </c>
      <c r="D815" s="2">
        <f>Cleaned_Data!I815</f>
        <v/>
      </c>
      <c r="E815" s="2">
        <f>Cleaned_Data!H815</f>
        <v/>
      </c>
      <c r="F815" s="2">
        <f>Cleaned_Data!F815</f>
        <v/>
      </c>
      <c r="G815" s="9">
        <f>SUMPRODUCT(($B$2:$B$1196=B815)*($F$2:$F$1196&lt;=F815))/SUMPRODUCT(($B$2:$B$1196=B815)*1)</f>
        <v/>
      </c>
      <c r="H815" s="2">
        <f>Cleaned_Data!J815</f>
        <v/>
      </c>
      <c r="I815" s="2">
        <f>Cleaned_Data!E815</f>
        <v/>
      </c>
      <c r="J815" s="2">
        <f>IF(C815="Yes",1,0)</f>
        <v/>
      </c>
      <c r="K815" s="2">
        <f>MIN(MAX(1-(D815-1)/4,0),1)</f>
        <v/>
      </c>
      <c r="L815" s="2">
        <f>MIN(E815/60,1)</f>
        <v/>
      </c>
      <c r="M815" s="2">
        <f>MIN(MAX(1-G815,0),1)</f>
        <v/>
      </c>
      <c r="N815" s="2">
        <f>MIN(MAX(1-(H815-1)/4,0),1)</f>
        <v/>
      </c>
      <c r="O815" s="2">
        <f>1-MIN(I815/8,1)</f>
        <v/>
      </c>
      <c r="P815" s="10">
        <f>ROUND(100*(J815*Assumptions!$B$6+K815*Assumptions!$B$7+L815*Assumptions!$B$8+M815*Assumptions!$B$9+N815*Assumptions!$B$10+O815*Assumptions!$B$11),1)</f>
        <v/>
      </c>
      <c r="Q815" s="2">
        <f>IF(P815&gt;=Assumptions!$B$14,"High",IF(P815&gt;=Assumptions!$B$15,"Medium","Low"))</f>
        <v/>
      </c>
      <c r="R815" s="2">
        <f>Cleaned_Data!L815</f>
        <v/>
      </c>
    </row>
    <row r="816">
      <c r="A816" s="2">
        <f>Cleaned_Data!A816</f>
        <v/>
      </c>
      <c r="B816" s="2">
        <f>Cleaned_Data!B816</f>
        <v/>
      </c>
      <c r="C816" s="2">
        <f>Cleaned_Data!G816</f>
        <v/>
      </c>
      <c r="D816" s="2">
        <f>Cleaned_Data!I816</f>
        <v/>
      </c>
      <c r="E816" s="2">
        <f>Cleaned_Data!H816</f>
        <v/>
      </c>
      <c r="F816" s="2">
        <f>Cleaned_Data!F816</f>
        <v/>
      </c>
      <c r="G816" s="9">
        <f>SUMPRODUCT(($B$2:$B$1196=B816)*($F$2:$F$1196&lt;=F816))/SUMPRODUCT(($B$2:$B$1196=B816)*1)</f>
        <v/>
      </c>
      <c r="H816" s="2">
        <f>Cleaned_Data!J816</f>
        <v/>
      </c>
      <c r="I816" s="2">
        <f>Cleaned_Data!E816</f>
        <v/>
      </c>
      <c r="J816" s="2">
        <f>IF(C816="Yes",1,0)</f>
        <v/>
      </c>
      <c r="K816" s="2">
        <f>MIN(MAX(1-(D816-1)/4,0),1)</f>
        <v/>
      </c>
      <c r="L816" s="2">
        <f>MIN(E816/60,1)</f>
        <v/>
      </c>
      <c r="M816" s="2">
        <f>MIN(MAX(1-G816,0),1)</f>
        <v/>
      </c>
      <c r="N816" s="2">
        <f>MIN(MAX(1-(H816-1)/4,0),1)</f>
        <v/>
      </c>
      <c r="O816" s="2">
        <f>1-MIN(I816/8,1)</f>
        <v/>
      </c>
      <c r="P816" s="10">
        <f>ROUND(100*(J816*Assumptions!$B$6+K816*Assumptions!$B$7+L816*Assumptions!$B$8+M816*Assumptions!$B$9+N816*Assumptions!$B$10+O816*Assumptions!$B$11),1)</f>
        <v/>
      </c>
      <c r="Q816" s="2">
        <f>IF(P816&gt;=Assumptions!$B$14,"High",IF(P816&gt;=Assumptions!$B$15,"Medium","Low"))</f>
        <v/>
      </c>
      <c r="R816" s="2">
        <f>Cleaned_Data!L816</f>
        <v/>
      </c>
    </row>
    <row r="817">
      <c r="A817" s="2">
        <f>Cleaned_Data!A817</f>
        <v/>
      </c>
      <c r="B817" s="2">
        <f>Cleaned_Data!B817</f>
        <v/>
      </c>
      <c r="C817" s="2">
        <f>Cleaned_Data!G817</f>
        <v/>
      </c>
      <c r="D817" s="2">
        <f>Cleaned_Data!I817</f>
        <v/>
      </c>
      <c r="E817" s="2">
        <f>Cleaned_Data!H817</f>
        <v/>
      </c>
      <c r="F817" s="2">
        <f>Cleaned_Data!F817</f>
        <v/>
      </c>
      <c r="G817" s="9">
        <f>SUMPRODUCT(($B$2:$B$1196=B817)*($F$2:$F$1196&lt;=F817))/SUMPRODUCT(($B$2:$B$1196=B817)*1)</f>
        <v/>
      </c>
      <c r="H817" s="2">
        <f>Cleaned_Data!J817</f>
        <v/>
      </c>
      <c r="I817" s="2">
        <f>Cleaned_Data!E817</f>
        <v/>
      </c>
      <c r="J817" s="2">
        <f>IF(C817="Yes",1,0)</f>
        <v/>
      </c>
      <c r="K817" s="2">
        <f>MIN(MAX(1-(D817-1)/4,0),1)</f>
        <v/>
      </c>
      <c r="L817" s="2">
        <f>MIN(E817/60,1)</f>
        <v/>
      </c>
      <c r="M817" s="2">
        <f>MIN(MAX(1-G817,0),1)</f>
        <v/>
      </c>
      <c r="N817" s="2">
        <f>MIN(MAX(1-(H817-1)/4,0),1)</f>
        <v/>
      </c>
      <c r="O817" s="2">
        <f>1-MIN(I817/8,1)</f>
        <v/>
      </c>
      <c r="P817" s="10">
        <f>ROUND(100*(J817*Assumptions!$B$6+K817*Assumptions!$B$7+L817*Assumptions!$B$8+M817*Assumptions!$B$9+N817*Assumptions!$B$10+O817*Assumptions!$B$11),1)</f>
        <v/>
      </c>
      <c r="Q817" s="2">
        <f>IF(P817&gt;=Assumptions!$B$14,"High",IF(P817&gt;=Assumptions!$B$15,"Medium","Low"))</f>
        <v/>
      </c>
      <c r="R817" s="2">
        <f>Cleaned_Data!L817</f>
        <v/>
      </c>
    </row>
    <row r="818">
      <c r="A818" s="2">
        <f>Cleaned_Data!A818</f>
        <v/>
      </c>
      <c r="B818" s="2">
        <f>Cleaned_Data!B818</f>
        <v/>
      </c>
      <c r="C818" s="2">
        <f>Cleaned_Data!G818</f>
        <v/>
      </c>
      <c r="D818" s="2">
        <f>Cleaned_Data!I818</f>
        <v/>
      </c>
      <c r="E818" s="2">
        <f>Cleaned_Data!H818</f>
        <v/>
      </c>
      <c r="F818" s="2">
        <f>Cleaned_Data!F818</f>
        <v/>
      </c>
      <c r="G818" s="9">
        <f>SUMPRODUCT(($B$2:$B$1196=B818)*($F$2:$F$1196&lt;=F818))/SUMPRODUCT(($B$2:$B$1196=B818)*1)</f>
        <v/>
      </c>
      <c r="H818" s="2">
        <f>Cleaned_Data!J818</f>
        <v/>
      </c>
      <c r="I818" s="2">
        <f>Cleaned_Data!E818</f>
        <v/>
      </c>
      <c r="J818" s="2">
        <f>IF(C818="Yes",1,0)</f>
        <v/>
      </c>
      <c r="K818" s="2">
        <f>MIN(MAX(1-(D818-1)/4,0),1)</f>
        <v/>
      </c>
      <c r="L818" s="2">
        <f>MIN(E818/60,1)</f>
        <v/>
      </c>
      <c r="M818" s="2">
        <f>MIN(MAX(1-G818,0),1)</f>
        <v/>
      </c>
      <c r="N818" s="2">
        <f>MIN(MAX(1-(H818-1)/4,0),1)</f>
        <v/>
      </c>
      <c r="O818" s="2">
        <f>1-MIN(I818/8,1)</f>
        <v/>
      </c>
      <c r="P818" s="10">
        <f>ROUND(100*(J818*Assumptions!$B$6+K818*Assumptions!$B$7+L818*Assumptions!$B$8+M818*Assumptions!$B$9+N818*Assumptions!$B$10+O818*Assumptions!$B$11),1)</f>
        <v/>
      </c>
      <c r="Q818" s="2">
        <f>IF(P818&gt;=Assumptions!$B$14,"High",IF(P818&gt;=Assumptions!$B$15,"Medium","Low"))</f>
        <v/>
      </c>
      <c r="R818" s="2">
        <f>Cleaned_Data!L818</f>
        <v/>
      </c>
    </row>
    <row r="819">
      <c r="A819" s="2">
        <f>Cleaned_Data!A819</f>
        <v/>
      </c>
      <c r="B819" s="2">
        <f>Cleaned_Data!B819</f>
        <v/>
      </c>
      <c r="C819" s="2">
        <f>Cleaned_Data!G819</f>
        <v/>
      </c>
      <c r="D819" s="2">
        <f>Cleaned_Data!I819</f>
        <v/>
      </c>
      <c r="E819" s="2">
        <f>Cleaned_Data!H819</f>
        <v/>
      </c>
      <c r="F819" s="2">
        <f>Cleaned_Data!F819</f>
        <v/>
      </c>
      <c r="G819" s="9">
        <f>SUMPRODUCT(($B$2:$B$1196=B819)*($F$2:$F$1196&lt;=F819))/SUMPRODUCT(($B$2:$B$1196=B819)*1)</f>
        <v/>
      </c>
      <c r="H819" s="2">
        <f>Cleaned_Data!J819</f>
        <v/>
      </c>
      <c r="I819" s="2">
        <f>Cleaned_Data!E819</f>
        <v/>
      </c>
      <c r="J819" s="2">
        <f>IF(C819="Yes",1,0)</f>
        <v/>
      </c>
      <c r="K819" s="2">
        <f>MIN(MAX(1-(D819-1)/4,0),1)</f>
        <v/>
      </c>
      <c r="L819" s="2">
        <f>MIN(E819/60,1)</f>
        <v/>
      </c>
      <c r="M819" s="2">
        <f>MIN(MAX(1-G819,0),1)</f>
        <v/>
      </c>
      <c r="N819" s="2">
        <f>MIN(MAX(1-(H819-1)/4,0),1)</f>
        <v/>
      </c>
      <c r="O819" s="2">
        <f>1-MIN(I819/8,1)</f>
        <v/>
      </c>
      <c r="P819" s="10">
        <f>ROUND(100*(J819*Assumptions!$B$6+K819*Assumptions!$B$7+L819*Assumptions!$B$8+M819*Assumptions!$B$9+N819*Assumptions!$B$10+O819*Assumptions!$B$11),1)</f>
        <v/>
      </c>
      <c r="Q819" s="2">
        <f>IF(P819&gt;=Assumptions!$B$14,"High",IF(P819&gt;=Assumptions!$B$15,"Medium","Low"))</f>
        <v/>
      </c>
      <c r="R819" s="2">
        <f>Cleaned_Data!L819</f>
        <v/>
      </c>
    </row>
    <row r="820">
      <c r="A820" s="2">
        <f>Cleaned_Data!A820</f>
        <v/>
      </c>
      <c r="B820" s="2">
        <f>Cleaned_Data!B820</f>
        <v/>
      </c>
      <c r="C820" s="2">
        <f>Cleaned_Data!G820</f>
        <v/>
      </c>
      <c r="D820" s="2">
        <f>Cleaned_Data!I820</f>
        <v/>
      </c>
      <c r="E820" s="2">
        <f>Cleaned_Data!H820</f>
        <v/>
      </c>
      <c r="F820" s="2">
        <f>Cleaned_Data!F820</f>
        <v/>
      </c>
      <c r="G820" s="9">
        <f>SUMPRODUCT(($B$2:$B$1196=B820)*($F$2:$F$1196&lt;=F820))/SUMPRODUCT(($B$2:$B$1196=B820)*1)</f>
        <v/>
      </c>
      <c r="H820" s="2">
        <f>Cleaned_Data!J820</f>
        <v/>
      </c>
      <c r="I820" s="2">
        <f>Cleaned_Data!E820</f>
        <v/>
      </c>
      <c r="J820" s="2">
        <f>IF(C820="Yes",1,0)</f>
        <v/>
      </c>
      <c r="K820" s="2">
        <f>MIN(MAX(1-(D820-1)/4,0),1)</f>
        <v/>
      </c>
      <c r="L820" s="2">
        <f>MIN(E820/60,1)</f>
        <v/>
      </c>
      <c r="M820" s="2">
        <f>MIN(MAX(1-G820,0),1)</f>
        <v/>
      </c>
      <c r="N820" s="2">
        <f>MIN(MAX(1-(H820-1)/4,0),1)</f>
        <v/>
      </c>
      <c r="O820" s="2">
        <f>1-MIN(I820/8,1)</f>
        <v/>
      </c>
      <c r="P820" s="10">
        <f>ROUND(100*(J820*Assumptions!$B$6+K820*Assumptions!$B$7+L820*Assumptions!$B$8+M820*Assumptions!$B$9+N820*Assumptions!$B$10+O820*Assumptions!$B$11),1)</f>
        <v/>
      </c>
      <c r="Q820" s="2">
        <f>IF(P820&gt;=Assumptions!$B$14,"High",IF(P820&gt;=Assumptions!$B$15,"Medium","Low"))</f>
        <v/>
      </c>
      <c r="R820" s="2">
        <f>Cleaned_Data!L820</f>
        <v/>
      </c>
    </row>
    <row r="821">
      <c r="A821" s="2">
        <f>Cleaned_Data!A821</f>
        <v/>
      </c>
      <c r="B821" s="2">
        <f>Cleaned_Data!B821</f>
        <v/>
      </c>
      <c r="C821" s="2">
        <f>Cleaned_Data!G821</f>
        <v/>
      </c>
      <c r="D821" s="2">
        <f>Cleaned_Data!I821</f>
        <v/>
      </c>
      <c r="E821" s="2">
        <f>Cleaned_Data!H821</f>
        <v/>
      </c>
      <c r="F821" s="2">
        <f>Cleaned_Data!F821</f>
        <v/>
      </c>
      <c r="G821" s="9">
        <f>SUMPRODUCT(($B$2:$B$1196=B821)*($F$2:$F$1196&lt;=F821))/SUMPRODUCT(($B$2:$B$1196=B821)*1)</f>
        <v/>
      </c>
      <c r="H821" s="2">
        <f>Cleaned_Data!J821</f>
        <v/>
      </c>
      <c r="I821" s="2">
        <f>Cleaned_Data!E821</f>
        <v/>
      </c>
      <c r="J821" s="2">
        <f>IF(C821="Yes",1,0)</f>
        <v/>
      </c>
      <c r="K821" s="2">
        <f>MIN(MAX(1-(D821-1)/4,0),1)</f>
        <v/>
      </c>
      <c r="L821" s="2">
        <f>MIN(E821/60,1)</f>
        <v/>
      </c>
      <c r="M821" s="2">
        <f>MIN(MAX(1-G821,0),1)</f>
        <v/>
      </c>
      <c r="N821" s="2">
        <f>MIN(MAX(1-(H821-1)/4,0),1)</f>
        <v/>
      </c>
      <c r="O821" s="2">
        <f>1-MIN(I821/8,1)</f>
        <v/>
      </c>
      <c r="P821" s="10">
        <f>ROUND(100*(J821*Assumptions!$B$6+K821*Assumptions!$B$7+L821*Assumptions!$B$8+M821*Assumptions!$B$9+N821*Assumptions!$B$10+O821*Assumptions!$B$11),1)</f>
        <v/>
      </c>
      <c r="Q821" s="2">
        <f>IF(P821&gt;=Assumptions!$B$14,"High",IF(P821&gt;=Assumptions!$B$15,"Medium","Low"))</f>
        <v/>
      </c>
      <c r="R821" s="2">
        <f>Cleaned_Data!L821</f>
        <v/>
      </c>
    </row>
    <row r="822">
      <c r="A822" s="2">
        <f>Cleaned_Data!A822</f>
        <v/>
      </c>
      <c r="B822" s="2">
        <f>Cleaned_Data!B822</f>
        <v/>
      </c>
      <c r="C822" s="2">
        <f>Cleaned_Data!G822</f>
        <v/>
      </c>
      <c r="D822" s="2">
        <f>Cleaned_Data!I822</f>
        <v/>
      </c>
      <c r="E822" s="2">
        <f>Cleaned_Data!H822</f>
        <v/>
      </c>
      <c r="F822" s="2">
        <f>Cleaned_Data!F822</f>
        <v/>
      </c>
      <c r="G822" s="9">
        <f>SUMPRODUCT(($B$2:$B$1196=B822)*($F$2:$F$1196&lt;=F822))/SUMPRODUCT(($B$2:$B$1196=B822)*1)</f>
        <v/>
      </c>
      <c r="H822" s="2">
        <f>Cleaned_Data!J822</f>
        <v/>
      </c>
      <c r="I822" s="2">
        <f>Cleaned_Data!E822</f>
        <v/>
      </c>
      <c r="J822" s="2">
        <f>IF(C822="Yes",1,0)</f>
        <v/>
      </c>
      <c r="K822" s="2">
        <f>MIN(MAX(1-(D822-1)/4,0),1)</f>
        <v/>
      </c>
      <c r="L822" s="2">
        <f>MIN(E822/60,1)</f>
        <v/>
      </c>
      <c r="M822" s="2">
        <f>MIN(MAX(1-G822,0),1)</f>
        <v/>
      </c>
      <c r="N822" s="2">
        <f>MIN(MAX(1-(H822-1)/4,0),1)</f>
        <v/>
      </c>
      <c r="O822" s="2">
        <f>1-MIN(I822/8,1)</f>
        <v/>
      </c>
      <c r="P822" s="10">
        <f>ROUND(100*(J822*Assumptions!$B$6+K822*Assumptions!$B$7+L822*Assumptions!$B$8+M822*Assumptions!$B$9+N822*Assumptions!$B$10+O822*Assumptions!$B$11),1)</f>
        <v/>
      </c>
      <c r="Q822" s="2">
        <f>IF(P822&gt;=Assumptions!$B$14,"High",IF(P822&gt;=Assumptions!$B$15,"Medium","Low"))</f>
        <v/>
      </c>
      <c r="R822" s="2">
        <f>Cleaned_Data!L822</f>
        <v/>
      </c>
    </row>
    <row r="823">
      <c r="A823" s="2">
        <f>Cleaned_Data!A823</f>
        <v/>
      </c>
      <c r="B823" s="2">
        <f>Cleaned_Data!B823</f>
        <v/>
      </c>
      <c r="C823" s="2">
        <f>Cleaned_Data!G823</f>
        <v/>
      </c>
      <c r="D823" s="2">
        <f>Cleaned_Data!I823</f>
        <v/>
      </c>
      <c r="E823" s="2">
        <f>Cleaned_Data!H823</f>
        <v/>
      </c>
      <c r="F823" s="2">
        <f>Cleaned_Data!F823</f>
        <v/>
      </c>
      <c r="G823" s="9">
        <f>SUMPRODUCT(($B$2:$B$1196=B823)*($F$2:$F$1196&lt;=F823))/SUMPRODUCT(($B$2:$B$1196=B823)*1)</f>
        <v/>
      </c>
      <c r="H823" s="2">
        <f>Cleaned_Data!J823</f>
        <v/>
      </c>
      <c r="I823" s="2">
        <f>Cleaned_Data!E823</f>
        <v/>
      </c>
      <c r="J823" s="2">
        <f>IF(C823="Yes",1,0)</f>
        <v/>
      </c>
      <c r="K823" s="2">
        <f>MIN(MAX(1-(D823-1)/4,0),1)</f>
        <v/>
      </c>
      <c r="L823" s="2">
        <f>MIN(E823/60,1)</f>
        <v/>
      </c>
      <c r="M823" s="2">
        <f>MIN(MAX(1-G823,0),1)</f>
        <v/>
      </c>
      <c r="N823" s="2">
        <f>MIN(MAX(1-(H823-1)/4,0),1)</f>
        <v/>
      </c>
      <c r="O823" s="2">
        <f>1-MIN(I823/8,1)</f>
        <v/>
      </c>
      <c r="P823" s="10">
        <f>ROUND(100*(J823*Assumptions!$B$6+K823*Assumptions!$B$7+L823*Assumptions!$B$8+M823*Assumptions!$B$9+N823*Assumptions!$B$10+O823*Assumptions!$B$11),1)</f>
        <v/>
      </c>
      <c r="Q823" s="2">
        <f>IF(P823&gt;=Assumptions!$B$14,"High",IF(P823&gt;=Assumptions!$B$15,"Medium","Low"))</f>
        <v/>
      </c>
      <c r="R823" s="2">
        <f>Cleaned_Data!L823</f>
        <v/>
      </c>
    </row>
    <row r="824">
      <c r="A824" s="2">
        <f>Cleaned_Data!A824</f>
        <v/>
      </c>
      <c r="B824" s="2">
        <f>Cleaned_Data!B824</f>
        <v/>
      </c>
      <c r="C824" s="2">
        <f>Cleaned_Data!G824</f>
        <v/>
      </c>
      <c r="D824" s="2">
        <f>Cleaned_Data!I824</f>
        <v/>
      </c>
      <c r="E824" s="2">
        <f>Cleaned_Data!H824</f>
        <v/>
      </c>
      <c r="F824" s="2">
        <f>Cleaned_Data!F824</f>
        <v/>
      </c>
      <c r="G824" s="9">
        <f>SUMPRODUCT(($B$2:$B$1196=B824)*($F$2:$F$1196&lt;=F824))/SUMPRODUCT(($B$2:$B$1196=B824)*1)</f>
        <v/>
      </c>
      <c r="H824" s="2">
        <f>Cleaned_Data!J824</f>
        <v/>
      </c>
      <c r="I824" s="2">
        <f>Cleaned_Data!E824</f>
        <v/>
      </c>
      <c r="J824" s="2">
        <f>IF(C824="Yes",1,0)</f>
        <v/>
      </c>
      <c r="K824" s="2">
        <f>MIN(MAX(1-(D824-1)/4,0),1)</f>
        <v/>
      </c>
      <c r="L824" s="2">
        <f>MIN(E824/60,1)</f>
        <v/>
      </c>
      <c r="M824" s="2">
        <f>MIN(MAX(1-G824,0),1)</f>
        <v/>
      </c>
      <c r="N824" s="2">
        <f>MIN(MAX(1-(H824-1)/4,0),1)</f>
        <v/>
      </c>
      <c r="O824" s="2">
        <f>1-MIN(I824/8,1)</f>
        <v/>
      </c>
      <c r="P824" s="10">
        <f>ROUND(100*(J824*Assumptions!$B$6+K824*Assumptions!$B$7+L824*Assumptions!$B$8+M824*Assumptions!$B$9+N824*Assumptions!$B$10+O824*Assumptions!$B$11),1)</f>
        <v/>
      </c>
      <c r="Q824" s="2">
        <f>IF(P824&gt;=Assumptions!$B$14,"High",IF(P824&gt;=Assumptions!$B$15,"Medium","Low"))</f>
        <v/>
      </c>
      <c r="R824" s="2">
        <f>Cleaned_Data!L824</f>
        <v/>
      </c>
    </row>
    <row r="825">
      <c r="A825" s="2">
        <f>Cleaned_Data!A825</f>
        <v/>
      </c>
      <c r="B825" s="2">
        <f>Cleaned_Data!B825</f>
        <v/>
      </c>
      <c r="C825" s="2">
        <f>Cleaned_Data!G825</f>
        <v/>
      </c>
      <c r="D825" s="2">
        <f>Cleaned_Data!I825</f>
        <v/>
      </c>
      <c r="E825" s="2">
        <f>Cleaned_Data!H825</f>
        <v/>
      </c>
      <c r="F825" s="2">
        <f>Cleaned_Data!F825</f>
        <v/>
      </c>
      <c r="G825" s="9">
        <f>SUMPRODUCT(($B$2:$B$1196=B825)*($F$2:$F$1196&lt;=F825))/SUMPRODUCT(($B$2:$B$1196=B825)*1)</f>
        <v/>
      </c>
      <c r="H825" s="2">
        <f>Cleaned_Data!J825</f>
        <v/>
      </c>
      <c r="I825" s="2">
        <f>Cleaned_Data!E825</f>
        <v/>
      </c>
      <c r="J825" s="2">
        <f>IF(C825="Yes",1,0)</f>
        <v/>
      </c>
      <c r="K825" s="2">
        <f>MIN(MAX(1-(D825-1)/4,0),1)</f>
        <v/>
      </c>
      <c r="L825" s="2">
        <f>MIN(E825/60,1)</f>
        <v/>
      </c>
      <c r="M825" s="2">
        <f>MIN(MAX(1-G825,0),1)</f>
        <v/>
      </c>
      <c r="N825" s="2">
        <f>MIN(MAX(1-(H825-1)/4,0),1)</f>
        <v/>
      </c>
      <c r="O825" s="2">
        <f>1-MIN(I825/8,1)</f>
        <v/>
      </c>
      <c r="P825" s="10">
        <f>ROUND(100*(J825*Assumptions!$B$6+K825*Assumptions!$B$7+L825*Assumptions!$B$8+M825*Assumptions!$B$9+N825*Assumptions!$B$10+O825*Assumptions!$B$11),1)</f>
        <v/>
      </c>
      <c r="Q825" s="2">
        <f>IF(P825&gt;=Assumptions!$B$14,"High",IF(P825&gt;=Assumptions!$B$15,"Medium","Low"))</f>
        <v/>
      </c>
      <c r="R825" s="2">
        <f>Cleaned_Data!L825</f>
        <v/>
      </c>
    </row>
    <row r="826">
      <c r="A826" s="2">
        <f>Cleaned_Data!A826</f>
        <v/>
      </c>
      <c r="B826" s="2">
        <f>Cleaned_Data!B826</f>
        <v/>
      </c>
      <c r="C826" s="2">
        <f>Cleaned_Data!G826</f>
        <v/>
      </c>
      <c r="D826" s="2">
        <f>Cleaned_Data!I826</f>
        <v/>
      </c>
      <c r="E826" s="2">
        <f>Cleaned_Data!H826</f>
        <v/>
      </c>
      <c r="F826" s="2">
        <f>Cleaned_Data!F826</f>
        <v/>
      </c>
      <c r="G826" s="9">
        <f>SUMPRODUCT(($B$2:$B$1196=B826)*($F$2:$F$1196&lt;=F826))/SUMPRODUCT(($B$2:$B$1196=B826)*1)</f>
        <v/>
      </c>
      <c r="H826" s="2">
        <f>Cleaned_Data!J826</f>
        <v/>
      </c>
      <c r="I826" s="2">
        <f>Cleaned_Data!E826</f>
        <v/>
      </c>
      <c r="J826" s="2">
        <f>IF(C826="Yes",1,0)</f>
        <v/>
      </c>
      <c r="K826" s="2">
        <f>MIN(MAX(1-(D826-1)/4,0),1)</f>
        <v/>
      </c>
      <c r="L826" s="2">
        <f>MIN(E826/60,1)</f>
        <v/>
      </c>
      <c r="M826" s="2">
        <f>MIN(MAX(1-G826,0),1)</f>
        <v/>
      </c>
      <c r="N826" s="2">
        <f>MIN(MAX(1-(H826-1)/4,0),1)</f>
        <v/>
      </c>
      <c r="O826" s="2">
        <f>1-MIN(I826/8,1)</f>
        <v/>
      </c>
      <c r="P826" s="10">
        <f>ROUND(100*(J826*Assumptions!$B$6+K826*Assumptions!$B$7+L826*Assumptions!$B$8+M826*Assumptions!$B$9+N826*Assumptions!$B$10+O826*Assumptions!$B$11),1)</f>
        <v/>
      </c>
      <c r="Q826" s="2">
        <f>IF(P826&gt;=Assumptions!$B$14,"High",IF(P826&gt;=Assumptions!$B$15,"Medium","Low"))</f>
        <v/>
      </c>
      <c r="R826" s="2">
        <f>Cleaned_Data!L826</f>
        <v/>
      </c>
    </row>
    <row r="827">
      <c r="A827" s="2">
        <f>Cleaned_Data!A827</f>
        <v/>
      </c>
      <c r="B827" s="2">
        <f>Cleaned_Data!B827</f>
        <v/>
      </c>
      <c r="C827" s="2">
        <f>Cleaned_Data!G827</f>
        <v/>
      </c>
      <c r="D827" s="2">
        <f>Cleaned_Data!I827</f>
        <v/>
      </c>
      <c r="E827" s="2">
        <f>Cleaned_Data!H827</f>
        <v/>
      </c>
      <c r="F827" s="2">
        <f>Cleaned_Data!F827</f>
        <v/>
      </c>
      <c r="G827" s="9">
        <f>SUMPRODUCT(($B$2:$B$1196=B827)*($F$2:$F$1196&lt;=F827))/SUMPRODUCT(($B$2:$B$1196=B827)*1)</f>
        <v/>
      </c>
      <c r="H827" s="2">
        <f>Cleaned_Data!J827</f>
        <v/>
      </c>
      <c r="I827" s="2">
        <f>Cleaned_Data!E827</f>
        <v/>
      </c>
      <c r="J827" s="2">
        <f>IF(C827="Yes",1,0)</f>
        <v/>
      </c>
      <c r="K827" s="2">
        <f>MIN(MAX(1-(D827-1)/4,0),1)</f>
        <v/>
      </c>
      <c r="L827" s="2">
        <f>MIN(E827/60,1)</f>
        <v/>
      </c>
      <c r="M827" s="2">
        <f>MIN(MAX(1-G827,0),1)</f>
        <v/>
      </c>
      <c r="N827" s="2">
        <f>MIN(MAX(1-(H827-1)/4,0),1)</f>
        <v/>
      </c>
      <c r="O827" s="2">
        <f>1-MIN(I827/8,1)</f>
        <v/>
      </c>
      <c r="P827" s="10">
        <f>ROUND(100*(J827*Assumptions!$B$6+K827*Assumptions!$B$7+L827*Assumptions!$B$8+M827*Assumptions!$B$9+N827*Assumptions!$B$10+O827*Assumptions!$B$11),1)</f>
        <v/>
      </c>
      <c r="Q827" s="2">
        <f>IF(P827&gt;=Assumptions!$B$14,"High",IF(P827&gt;=Assumptions!$B$15,"Medium","Low"))</f>
        <v/>
      </c>
      <c r="R827" s="2">
        <f>Cleaned_Data!L827</f>
        <v/>
      </c>
    </row>
    <row r="828">
      <c r="A828" s="2">
        <f>Cleaned_Data!A828</f>
        <v/>
      </c>
      <c r="B828" s="2">
        <f>Cleaned_Data!B828</f>
        <v/>
      </c>
      <c r="C828" s="2">
        <f>Cleaned_Data!G828</f>
        <v/>
      </c>
      <c r="D828" s="2">
        <f>Cleaned_Data!I828</f>
        <v/>
      </c>
      <c r="E828" s="2">
        <f>Cleaned_Data!H828</f>
        <v/>
      </c>
      <c r="F828" s="2">
        <f>Cleaned_Data!F828</f>
        <v/>
      </c>
      <c r="G828" s="9">
        <f>SUMPRODUCT(($B$2:$B$1196=B828)*($F$2:$F$1196&lt;=F828))/SUMPRODUCT(($B$2:$B$1196=B828)*1)</f>
        <v/>
      </c>
      <c r="H828" s="2">
        <f>Cleaned_Data!J828</f>
        <v/>
      </c>
      <c r="I828" s="2">
        <f>Cleaned_Data!E828</f>
        <v/>
      </c>
      <c r="J828" s="2">
        <f>IF(C828="Yes",1,0)</f>
        <v/>
      </c>
      <c r="K828" s="2">
        <f>MIN(MAX(1-(D828-1)/4,0),1)</f>
        <v/>
      </c>
      <c r="L828" s="2">
        <f>MIN(E828/60,1)</f>
        <v/>
      </c>
      <c r="M828" s="2">
        <f>MIN(MAX(1-G828,0),1)</f>
        <v/>
      </c>
      <c r="N828" s="2">
        <f>MIN(MAX(1-(H828-1)/4,0),1)</f>
        <v/>
      </c>
      <c r="O828" s="2">
        <f>1-MIN(I828/8,1)</f>
        <v/>
      </c>
      <c r="P828" s="10">
        <f>ROUND(100*(J828*Assumptions!$B$6+K828*Assumptions!$B$7+L828*Assumptions!$B$8+M828*Assumptions!$B$9+N828*Assumptions!$B$10+O828*Assumptions!$B$11),1)</f>
        <v/>
      </c>
      <c r="Q828" s="2">
        <f>IF(P828&gt;=Assumptions!$B$14,"High",IF(P828&gt;=Assumptions!$B$15,"Medium","Low"))</f>
        <v/>
      </c>
      <c r="R828" s="2">
        <f>Cleaned_Data!L828</f>
        <v/>
      </c>
    </row>
    <row r="829">
      <c r="A829" s="2">
        <f>Cleaned_Data!A829</f>
        <v/>
      </c>
      <c r="B829" s="2">
        <f>Cleaned_Data!B829</f>
        <v/>
      </c>
      <c r="C829" s="2">
        <f>Cleaned_Data!G829</f>
        <v/>
      </c>
      <c r="D829" s="2">
        <f>Cleaned_Data!I829</f>
        <v/>
      </c>
      <c r="E829" s="2">
        <f>Cleaned_Data!H829</f>
        <v/>
      </c>
      <c r="F829" s="2">
        <f>Cleaned_Data!F829</f>
        <v/>
      </c>
      <c r="G829" s="9">
        <f>SUMPRODUCT(($B$2:$B$1196=B829)*($F$2:$F$1196&lt;=F829))/SUMPRODUCT(($B$2:$B$1196=B829)*1)</f>
        <v/>
      </c>
      <c r="H829" s="2">
        <f>Cleaned_Data!J829</f>
        <v/>
      </c>
      <c r="I829" s="2">
        <f>Cleaned_Data!E829</f>
        <v/>
      </c>
      <c r="J829" s="2">
        <f>IF(C829="Yes",1,0)</f>
        <v/>
      </c>
      <c r="K829" s="2">
        <f>MIN(MAX(1-(D829-1)/4,0),1)</f>
        <v/>
      </c>
      <c r="L829" s="2">
        <f>MIN(E829/60,1)</f>
        <v/>
      </c>
      <c r="M829" s="2">
        <f>MIN(MAX(1-G829,0),1)</f>
        <v/>
      </c>
      <c r="N829" s="2">
        <f>MIN(MAX(1-(H829-1)/4,0),1)</f>
        <v/>
      </c>
      <c r="O829" s="2">
        <f>1-MIN(I829/8,1)</f>
        <v/>
      </c>
      <c r="P829" s="10">
        <f>ROUND(100*(J829*Assumptions!$B$6+K829*Assumptions!$B$7+L829*Assumptions!$B$8+M829*Assumptions!$B$9+N829*Assumptions!$B$10+O829*Assumptions!$B$11),1)</f>
        <v/>
      </c>
      <c r="Q829" s="2">
        <f>IF(P829&gt;=Assumptions!$B$14,"High",IF(P829&gt;=Assumptions!$B$15,"Medium","Low"))</f>
        <v/>
      </c>
      <c r="R829" s="2">
        <f>Cleaned_Data!L829</f>
        <v/>
      </c>
    </row>
    <row r="830">
      <c r="A830" s="2">
        <f>Cleaned_Data!A830</f>
        <v/>
      </c>
      <c r="B830" s="2">
        <f>Cleaned_Data!B830</f>
        <v/>
      </c>
      <c r="C830" s="2">
        <f>Cleaned_Data!G830</f>
        <v/>
      </c>
      <c r="D830" s="2">
        <f>Cleaned_Data!I830</f>
        <v/>
      </c>
      <c r="E830" s="2">
        <f>Cleaned_Data!H830</f>
        <v/>
      </c>
      <c r="F830" s="2">
        <f>Cleaned_Data!F830</f>
        <v/>
      </c>
      <c r="G830" s="9">
        <f>SUMPRODUCT(($B$2:$B$1196=B830)*($F$2:$F$1196&lt;=F830))/SUMPRODUCT(($B$2:$B$1196=B830)*1)</f>
        <v/>
      </c>
      <c r="H830" s="2">
        <f>Cleaned_Data!J830</f>
        <v/>
      </c>
      <c r="I830" s="2">
        <f>Cleaned_Data!E830</f>
        <v/>
      </c>
      <c r="J830" s="2">
        <f>IF(C830="Yes",1,0)</f>
        <v/>
      </c>
      <c r="K830" s="2">
        <f>MIN(MAX(1-(D830-1)/4,0),1)</f>
        <v/>
      </c>
      <c r="L830" s="2">
        <f>MIN(E830/60,1)</f>
        <v/>
      </c>
      <c r="M830" s="2">
        <f>MIN(MAX(1-G830,0),1)</f>
        <v/>
      </c>
      <c r="N830" s="2">
        <f>MIN(MAX(1-(H830-1)/4,0),1)</f>
        <v/>
      </c>
      <c r="O830" s="2">
        <f>1-MIN(I830/8,1)</f>
        <v/>
      </c>
      <c r="P830" s="10">
        <f>ROUND(100*(J830*Assumptions!$B$6+K830*Assumptions!$B$7+L830*Assumptions!$B$8+M830*Assumptions!$B$9+N830*Assumptions!$B$10+O830*Assumptions!$B$11),1)</f>
        <v/>
      </c>
      <c r="Q830" s="2">
        <f>IF(P830&gt;=Assumptions!$B$14,"High",IF(P830&gt;=Assumptions!$B$15,"Medium","Low"))</f>
        <v/>
      </c>
      <c r="R830" s="2">
        <f>Cleaned_Data!L830</f>
        <v/>
      </c>
    </row>
    <row r="831">
      <c r="A831" s="2">
        <f>Cleaned_Data!A831</f>
        <v/>
      </c>
      <c r="B831" s="2">
        <f>Cleaned_Data!B831</f>
        <v/>
      </c>
      <c r="C831" s="2">
        <f>Cleaned_Data!G831</f>
        <v/>
      </c>
      <c r="D831" s="2">
        <f>Cleaned_Data!I831</f>
        <v/>
      </c>
      <c r="E831" s="2">
        <f>Cleaned_Data!H831</f>
        <v/>
      </c>
      <c r="F831" s="2">
        <f>Cleaned_Data!F831</f>
        <v/>
      </c>
      <c r="G831" s="9">
        <f>SUMPRODUCT(($B$2:$B$1196=B831)*($F$2:$F$1196&lt;=F831))/SUMPRODUCT(($B$2:$B$1196=B831)*1)</f>
        <v/>
      </c>
      <c r="H831" s="2">
        <f>Cleaned_Data!J831</f>
        <v/>
      </c>
      <c r="I831" s="2">
        <f>Cleaned_Data!E831</f>
        <v/>
      </c>
      <c r="J831" s="2">
        <f>IF(C831="Yes",1,0)</f>
        <v/>
      </c>
      <c r="K831" s="2">
        <f>MIN(MAX(1-(D831-1)/4,0),1)</f>
        <v/>
      </c>
      <c r="L831" s="2">
        <f>MIN(E831/60,1)</f>
        <v/>
      </c>
      <c r="M831" s="2">
        <f>MIN(MAX(1-G831,0),1)</f>
        <v/>
      </c>
      <c r="N831" s="2">
        <f>MIN(MAX(1-(H831-1)/4,0),1)</f>
        <v/>
      </c>
      <c r="O831" s="2">
        <f>1-MIN(I831/8,1)</f>
        <v/>
      </c>
      <c r="P831" s="10">
        <f>ROUND(100*(J831*Assumptions!$B$6+K831*Assumptions!$B$7+L831*Assumptions!$B$8+M831*Assumptions!$B$9+N831*Assumptions!$B$10+O831*Assumptions!$B$11),1)</f>
        <v/>
      </c>
      <c r="Q831" s="2">
        <f>IF(P831&gt;=Assumptions!$B$14,"High",IF(P831&gt;=Assumptions!$B$15,"Medium","Low"))</f>
        <v/>
      </c>
      <c r="R831" s="2">
        <f>Cleaned_Data!L831</f>
        <v/>
      </c>
    </row>
    <row r="832">
      <c r="A832" s="2">
        <f>Cleaned_Data!A832</f>
        <v/>
      </c>
      <c r="B832" s="2">
        <f>Cleaned_Data!B832</f>
        <v/>
      </c>
      <c r="C832" s="2">
        <f>Cleaned_Data!G832</f>
        <v/>
      </c>
      <c r="D832" s="2">
        <f>Cleaned_Data!I832</f>
        <v/>
      </c>
      <c r="E832" s="2">
        <f>Cleaned_Data!H832</f>
        <v/>
      </c>
      <c r="F832" s="2">
        <f>Cleaned_Data!F832</f>
        <v/>
      </c>
      <c r="G832" s="9">
        <f>SUMPRODUCT(($B$2:$B$1196=B832)*($F$2:$F$1196&lt;=F832))/SUMPRODUCT(($B$2:$B$1196=B832)*1)</f>
        <v/>
      </c>
      <c r="H832" s="2">
        <f>Cleaned_Data!J832</f>
        <v/>
      </c>
      <c r="I832" s="2">
        <f>Cleaned_Data!E832</f>
        <v/>
      </c>
      <c r="J832" s="2">
        <f>IF(C832="Yes",1,0)</f>
        <v/>
      </c>
      <c r="K832" s="2">
        <f>MIN(MAX(1-(D832-1)/4,0),1)</f>
        <v/>
      </c>
      <c r="L832" s="2">
        <f>MIN(E832/60,1)</f>
        <v/>
      </c>
      <c r="M832" s="2">
        <f>MIN(MAX(1-G832,0),1)</f>
        <v/>
      </c>
      <c r="N832" s="2">
        <f>MIN(MAX(1-(H832-1)/4,0),1)</f>
        <v/>
      </c>
      <c r="O832" s="2">
        <f>1-MIN(I832/8,1)</f>
        <v/>
      </c>
      <c r="P832" s="10">
        <f>ROUND(100*(J832*Assumptions!$B$6+K832*Assumptions!$B$7+L832*Assumptions!$B$8+M832*Assumptions!$B$9+N832*Assumptions!$B$10+O832*Assumptions!$B$11),1)</f>
        <v/>
      </c>
      <c r="Q832" s="2">
        <f>IF(P832&gt;=Assumptions!$B$14,"High",IF(P832&gt;=Assumptions!$B$15,"Medium","Low"))</f>
        <v/>
      </c>
      <c r="R832" s="2">
        <f>Cleaned_Data!L832</f>
        <v/>
      </c>
    </row>
    <row r="833">
      <c r="A833" s="2">
        <f>Cleaned_Data!A833</f>
        <v/>
      </c>
      <c r="B833" s="2">
        <f>Cleaned_Data!B833</f>
        <v/>
      </c>
      <c r="C833" s="2">
        <f>Cleaned_Data!G833</f>
        <v/>
      </c>
      <c r="D833" s="2">
        <f>Cleaned_Data!I833</f>
        <v/>
      </c>
      <c r="E833" s="2">
        <f>Cleaned_Data!H833</f>
        <v/>
      </c>
      <c r="F833" s="2">
        <f>Cleaned_Data!F833</f>
        <v/>
      </c>
      <c r="G833" s="9">
        <f>SUMPRODUCT(($B$2:$B$1196=B833)*($F$2:$F$1196&lt;=F833))/SUMPRODUCT(($B$2:$B$1196=B833)*1)</f>
        <v/>
      </c>
      <c r="H833" s="2">
        <f>Cleaned_Data!J833</f>
        <v/>
      </c>
      <c r="I833" s="2">
        <f>Cleaned_Data!E833</f>
        <v/>
      </c>
      <c r="J833" s="2">
        <f>IF(C833="Yes",1,0)</f>
        <v/>
      </c>
      <c r="K833" s="2">
        <f>MIN(MAX(1-(D833-1)/4,0),1)</f>
        <v/>
      </c>
      <c r="L833" s="2">
        <f>MIN(E833/60,1)</f>
        <v/>
      </c>
      <c r="M833" s="2">
        <f>MIN(MAX(1-G833,0),1)</f>
        <v/>
      </c>
      <c r="N833" s="2">
        <f>MIN(MAX(1-(H833-1)/4,0),1)</f>
        <v/>
      </c>
      <c r="O833" s="2">
        <f>1-MIN(I833/8,1)</f>
        <v/>
      </c>
      <c r="P833" s="10">
        <f>ROUND(100*(J833*Assumptions!$B$6+K833*Assumptions!$B$7+L833*Assumptions!$B$8+M833*Assumptions!$B$9+N833*Assumptions!$B$10+O833*Assumptions!$B$11),1)</f>
        <v/>
      </c>
      <c r="Q833" s="2">
        <f>IF(P833&gt;=Assumptions!$B$14,"High",IF(P833&gt;=Assumptions!$B$15,"Medium","Low"))</f>
        <v/>
      </c>
      <c r="R833" s="2">
        <f>Cleaned_Data!L833</f>
        <v/>
      </c>
    </row>
    <row r="834">
      <c r="A834" s="2">
        <f>Cleaned_Data!A834</f>
        <v/>
      </c>
      <c r="B834" s="2">
        <f>Cleaned_Data!B834</f>
        <v/>
      </c>
      <c r="C834" s="2">
        <f>Cleaned_Data!G834</f>
        <v/>
      </c>
      <c r="D834" s="2">
        <f>Cleaned_Data!I834</f>
        <v/>
      </c>
      <c r="E834" s="2">
        <f>Cleaned_Data!H834</f>
        <v/>
      </c>
      <c r="F834" s="2">
        <f>Cleaned_Data!F834</f>
        <v/>
      </c>
      <c r="G834" s="9">
        <f>SUMPRODUCT(($B$2:$B$1196=B834)*($F$2:$F$1196&lt;=F834))/SUMPRODUCT(($B$2:$B$1196=B834)*1)</f>
        <v/>
      </c>
      <c r="H834" s="2">
        <f>Cleaned_Data!J834</f>
        <v/>
      </c>
      <c r="I834" s="2">
        <f>Cleaned_Data!E834</f>
        <v/>
      </c>
      <c r="J834" s="2">
        <f>IF(C834="Yes",1,0)</f>
        <v/>
      </c>
      <c r="K834" s="2">
        <f>MIN(MAX(1-(D834-1)/4,0),1)</f>
        <v/>
      </c>
      <c r="L834" s="2">
        <f>MIN(E834/60,1)</f>
        <v/>
      </c>
      <c r="M834" s="2">
        <f>MIN(MAX(1-G834,0),1)</f>
        <v/>
      </c>
      <c r="N834" s="2">
        <f>MIN(MAX(1-(H834-1)/4,0),1)</f>
        <v/>
      </c>
      <c r="O834" s="2">
        <f>1-MIN(I834/8,1)</f>
        <v/>
      </c>
      <c r="P834" s="10">
        <f>ROUND(100*(J834*Assumptions!$B$6+K834*Assumptions!$B$7+L834*Assumptions!$B$8+M834*Assumptions!$B$9+N834*Assumptions!$B$10+O834*Assumptions!$B$11),1)</f>
        <v/>
      </c>
      <c r="Q834" s="2">
        <f>IF(P834&gt;=Assumptions!$B$14,"High",IF(P834&gt;=Assumptions!$B$15,"Medium","Low"))</f>
        <v/>
      </c>
      <c r="R834" s="2">
        <f>Cleaned_Data!L834</f>
        <v/>
      </c>
    </row>
    <row r="835">
      <c r="A835" s="2">
        <f>Cleaned_Data!A835</f>
        <v/>
      </c>
      <c r="B835" s="2">
        <f>Cleaned_Data!B835</f>
        <v/>
      </c>
      <c r="C835" s="2">
        <f>Cleaned_Data!G835</f>
        <v/>
      </c>
      <c r="D835" s="2">
        <f>Cleaned_Data!I835</f>
        <v/>
      </c>
      <c r="E835" s="2">
        <f>Cleaned_Data!H835</f>
        <v/>
      </c>
      <c r="F835" s="2">
        <f>Cleaned_Data!F835</f>
        <v/>
      </c>
      <c r="G835" s="9">
        <f>SUMPRODUCT(($B$2:$B$1196=B835)*($F$2:$F$1196&lt;=F835))/SUMPRODUCT(($B$2:$B$1196=B835)*1)</f>
        <v/>
      </c>
      <c r="H835" s="2">
        <f>Cleaned_Data!J835</f>
        <v/>
      </c>
      <c r="I835" s="2">
        <f>Cleaned_Data!E835</f>
        <v/>
      </c>
      <c r="J835" s="2">
        <f>IF(C835="Yes",1,0)</f>
        <v/>
      </c>
      <c r="K835" s="2">
        <f>MIN(MAX(1-(D835-1)/4,0),1)</f>
        <v/>
      </c>
      <c r="L835" s="2">
        <f>MIN(E835/60,1)</f>
        <v/>
      </c>
      <c r="M835" s="2">
        <f>MIN(MAX(1-G835,0),1)</f>
        <v/>
      </c>
      <c r="N835" s="2">
        <f>MIN(MAX(1-(H835-1)/4,0),1)</f>
        <v/>
      </c>
      <c r="O835" s="2">
        <f>1-MIN(I835/8,1)</f>
        <v/>
      </c>
      <c r="P835" s="10">
        <f>ROUND(100*(J835*Assumptions!$B$6+K835*Assumptions!$B$7+L835*Assumptions!$B$8+M835*Assumptions!$B$9+N835*Assumptions!$B$10+O835*Assumptions!$B$11),1)</f>
        <v/>
      </c>
      <c r="Q835" s="2">
        <f>IF(P835&gt;=Assumptions!$B$14,"High",IF(P835&gt;=Assumptions!$B$15,"Medium","Low"))</f>
        <v/>
      </c>
      <c r="R835" s="2">
        <f>Cleaned_Data!L835</f>
        <v/>
      </c>
    </row>
    <row r="836">
      <c r="A836" s="2">
        <f>Cleaned_Data!A836</f>
        <v/>
      </c>
      <c r="B836" s="2">
        <f>Cleaned_Data!B836</f>
        <v/>
      </c>
      <c r="C836" s="2">
        <f>Cleaned_Data!G836</f>
        <v/>
      </c>
      <c r="D836" s="2">
        <f>Cleaned_Data!I836</f>
        <v/>
      </c>
      <c r="E836" s="2">
        <f>Cleaned_Data!H836</f>
        <v/>
      </c>
      <c r="F836" s="2">
        <f>Cleaned_Data!F836</f>
        <v/>
      </c>
      <c r="G836" s="9">
        <f>SUMPRODUCT(($B$2:$B$1196=B836)*($F$2:$F$1196&lt;=F836))/SUMPRODUCT(($B$2:$B$1196=B836)*1)</f>
        <v/>
      </c>
      <c r="H836" s="2">
        <f>Cleaned_Data!J836</f>
        <v/>
      </c>
      <c r="I836" s="2">
        <f>Cleaned_Data!E836</f>
        <v/>
      </c>
      <c r="J836" s="2">
        <f>IF(C836="Yes",1,0)</f>
        <v/>
      </c>
      <c r="K836" s="2">
        <f>MIN(MAX(1-(D836-1)/4,0),1)</f>
        <v/>
      </c>
      <c r="L836" s="2">
        <f>MIN(E836/60,1)</f>
        <v/>
      </c>
      <c r="M836" s="2">
        <f>MIN(MAX(1-G836,0),1)</f>
        <v/>
      </c>
      <c r="N836" s="2">
        <f>MIN(MAX(1-(H836-1)/4,0),1)</f>
        <v/>
      </c>
      <c r="O836" s="2">
        <f>1-MIN(I836/8,1)</f>
        <v/>
      </c>
      <c r="P836" s="10">
        <f>ROUND(100*(J836*Assumptions!$B$6+K836*Assumptions!$B$7+L836*Assumptions!$B$8+M836*Assumptions!$B$9+N836*Assumptions!$B$10+O836*Assumptions!$B$11),1)</f>
        <v/>
      </c>
      <c r="Q836" s="2">
        <f>IF(P836&gt;=Assumptions!$B$14,"High",IF(P836&gt;=Assumptions!$B$15,"Medium","Low"))</f>
        <v/>
      </c>
      <c r="R836" s="2">
        <f>Cleaned_Data!L836</f>
        <v/>
      </c>
    </row>
    <row r="837">
      <c r="A837" s="2">
        <f>Cleaned_Data!A837</f>
        <v/>
      </c>
      <c r="B837" s="2">
        <f>Cleaned_Data!B837</f>
        <v/>
      </c>
      <c r="C837" s="2">
        <f>Cleaned_Data!G837</f>
        <v/>
      </c>
      <c r="D837" s="2">
        <f>Cleaned_Data!I837</f>
        <v/>
      </c>
      <c r="E837" s="2">
        <f>Cleaned_Data!H837</f>
        <v/>
      </c>
      <c r="F837" s="2">
        <f>Cleaned_Data!F837</f>
        <v/>
      </c>
      <c r="G837" s="9">
        <f>SUMPRODUCT(($B$2:$B$1196=B837)*($F$2:$F$1196&lt;=F837))/SUMPRODUCT(($B$2:$B$1196=B837)*1)</f>
        <v/>
      </c>
      <c r="H837" s="2">
        <f>Cleaned_Data!J837</f>
        <v/>
      </c>
      <c r="I837" s="2">
        <f>Cleaned_Data!E837</f>
        <v/>
      </c>
      <c r="J837" s="2">
        <f>IF(C837="Yes",1,0)</f>
        <v/>
      </c>
      <c r="K837" s="2">
        <f>MIN(MAX(1-(D837-1)/4,0),1)</f>
        <v/>
      </c>
      <c r="L837" s="2">
        <f>MIN(E837/60,1)</f>
        <v/>
      </c>
      <c r="M837" s="2">
        <f>MIN(MAX(1-G837,0),1)</f>
        <v/>
      </c>
      <c r="N837" s="2">
        <f>MIN(MAX(1-(H837-1)/4,0),1)</f>
        <v/>
      </c>
      <c r="O837" s="2">
        <f>1-MIN(I837/8,1)</f>
        <v/>
      </c>
      <c r="P837" s="10">
        <f>ROUND(100*(J837*Assumptions!$B$6+K837*Assumptions!$B$7+L837*Assumptions!$B$8+M837*Assumptions!$B$9+N837*Assumptions!$B$10+O837*Assumptions!$B$11),1)</f>
        <v/>
      </c>
      <c r="Q837" s="2">
        <f>IF(P837&gt;=Assumptions!$B$14,"High",IF(P837&gt;=Assumptions!$B$15,"Medium","Low"))</f>
        <v/>
      </c>
      <c r="R837" s="2">
        <f>Cleaned_Data!L837</f>
        <v/>
      </c>
    </row>
    <row r="838">
      <c r="A838" s="2">
        <f>Cleaned_Data!A838</f>
        <v/>
      </c>
      <c r="B838" s="2">
        <f>Cleaned_Data!B838</f>
        <v/>
      </c>
      <c r="C838" s="2">
        <f>Cleaned_Data!G838</f>
        <v/>
      </c>
      <c r="D838" s="2">
        <f>Cleaned_Data!I838</f>
        <v/>
      </c>
      <c r="E838" s="2">
        <f>Cleaned_Data!H838</f>
        <v/>
      </c>
      <c r="F838" s="2">
        <f>Cleaned_Data!F838</f>
        <v/>
      </c>
      <c r="G838" s="9">
        <f>SUMPRODUCT(($B$2:$B$1196=B838)*($F$2:$F$1196&lt;=F838))/SUMPRODUCT(($B$2:$B$1196=B838)*1)</f>
        <v/>
      </c>
      <c r="H838" s="2">
        <f>Cleaned_Data!J838</f>
        <v/>
      </c>
      <c r="I838" s="2">
        <f>Cleaned_Data!E838</f>
        <v/>
      </c>
      <c r="J838" s="2">
        <f>IF(C838="Yes",1,0)</f>
        <v/>
      </c>
      <c r="K838" s="2">
        <f>MIN(MAX(1-(D838-1)/4,0),1)</f>
        <v/>
      </c>
      <c r="L838" s="2">
        <f>MIN(E838/60,1)</f>
        <v/>
      </c>
      <c r="M838" s="2">
        <f>MIN(MAX(1-G838,0),1)</f>
        <v/>
      </c>
      <c r="N838" s="2">
        <f>MIN(MAX(1-(H838-1)/4,0),1)</f>
        <v/>
      </c>
      <c r="O838" s="2">
        <f>1-MIN(I838/8,1)</f>
        <v/>
      </c>
      <c r="P838" s="10">
        <f>ROUND(100*(J838*Assumptions!$B$6+K838*Assumptions!$B$7+L838*Assumptions!$B$8+M838*Assumptions!$B$9+N838*Assumptions!$B$10+O838*Assumptions!$B$11),1)</f>
        <v/>
      </c>
      <c r="Q838" s="2">
        <f>IF(P838&gt;=Assumptions!$B$14,"High",IF(P838&gt;=Assumptions!$B$15,"Medium","Low"))</f>
        <v/>
      </c>
      <c r="R838" s="2">
        <f>Cleaned_Data!L838</f>
        <v/>
      </c>
    </row>
    <row r="839">
      <c r="A839" s="2">
        <f>Cleaned_Data!A839</f>
        <v/>
      </c>
      <c r="B839" s="2">
        <f>Cleaned_Data!B839</f>
        <v/>
      </c>
      <c r="C839" s="2">
        <f>Cleaned_Data!G839</f>
        <v/>
      </c>
      <c r="D839" s="2">
        <f>Cleaned_Data!I839</f>
        <v/>
      </c>
      <c r="E839" s="2">
        <f>Cleaned_Data!H839</f>
        <v/>
      </c>
      <c r="F839" s="2">
        <f>Cleaned_Data!F839</f>
        <v/>
      </c>
      <c r="G839" s="9">
        <f>SUMPRODUCT(($B$2:$B$1196=B839)*($F$2:$F$1196&lt;=F839))/SUMPRODUCT(($B$2:$B$1196=B839)*1)</f>
        <v/>
      </c>
      <c r="H839" s="2">
        <f>Cleaned_Data!J839</f>
        <v/>
      </c>
      <c r="I839" s="2">
        <f>Cleaned_Data!E839</f>
        <v/>
      </c>
      <c r="J839" s="2">
        <f>IF(C839="Yes",1,0)</f>
        <v/>
      </c>
      <c r="K839" s="2">
        <f>MIN(MAX(1-(D839-1)/4,0),1)</f>
        <v/>
      </c>
      <c r="L839" s="2">
        <f>MIN(E839/60,1)</f>
        <v/>
      </c>
      <c r="M839" s="2">
        <f>MIN(MAX(1-G839,0),1)</f>
        <v/>
      </c>
      <c r="N839" s="2">
        <f>MIN(MAX(1-(H839-1)/4,0),1)</f>
        <v/>
      </c>
      <c r="O839" s="2">
        <f>1-MIN(I839/8,1)</f>
        <v/>
      </c>
      <c r="P839" s="10">
        <f>ROUND(100*(J839*Assumptions!$B$6+K839*Assumptions!$B$7+L839*Assumptions!$B$8+M839*Assumptions!$B$9+N839*Assumptions!$B$10+O839*Assumptions!$B$11),1)</f>
        <v/>
      </c>
      <c r="Q839" s="2">
        <f>IF(P839&gt;=Assumptions!$B$14,"High",IF(P839&gt;=Assumptions!$B$15,"Medium","Low"))</f>
        <v/>
      </c>
      <c r="R839" s="2">
        <f>Cleaned_Data!L839</f>
        <v/>
      </c>
    </row>
    <row r="840">
      <c r="A840" s="2">
        <f>Cleaned_Data!A840</f>
        <v/>
      </c>
      <c r="B840" s="2">
        <f>Cleaned_Data!B840</f>
        <v/>
      </c>
      <c r="C840" s="2">
        <f>Cleaned_Data!G840</f>
        <v/>
      </c>
      <c r="D840" s="2">
        <f>Cleaned_Data!I840</f>
        <v/>
      </c>
      <c r="E840" s="2">
        <f>Cleaned_Data!H840</f>
        <v/>
      </c>
      <c r="F840" s="2">
        <f>Cleaned_Data!F840</f>
        <v/>
      </c>
      <c r="G840" s="9">
        <f>SUMPRODUCT(($B$2:$B$1196=B840)*($F$2:$F$1196&lt;=F840))/SUMPRODUCT(($B$2:$B$1196=B840)*1)</f>
        <v/>
      </c>
      <c r="H840" s="2">
        <f>Cleaned_Data!J840</f>
        <v/>
      </c>
      <c r="I840" s="2">
        <f>Cleaned_Data!E840</f>
        <v/>
      </c>
      <c r="J840" s="2">
        <f>IF(C840="Yes",1,0)</f>
        <v/>
      </c>
      <c r="K840" s="2">
        <f>MIN(MAX(1-(D840-1)/4,0),1)</f>
        <v/>
      </c>
      <c r="L840" s="2">
        <f>MIN(E840/60,1)</f>
        <v/>
      </c>
      <c r="M840" s="2">
        <f>MIN(MAX(1-G840,0),1)</f>
        <v/>
      </c>
      <c r="N840" s="2">
        <f>MIN(MAX(1-(H840-1)/4,0),1)</f>
        <v/>
      </c>
      <c r="O840" s="2">
        <f>1-MIN(I840/8,1)</f>
        <v/>
      </c>
      <c r="P840" s="10">
        <f>ROUND(100*(J840*Assumptions!$B$6+K840*Assumptions!$B$7+L840*Assumptions!$B$8+M840*Assumptions!$B$9+N840*Assumptions!$B$10+O840*Assumptions!$B$11),1)</f>
        <v/>
      </c>
      <c r="Q840" s="2">
        <f>IF(P840&gt;=Assumptions!$B$14,"High",IF(P840&gt;=Assumptions!$B$15,"Medium","Low"))</f>
        <v/>
      </c>
      <c r="R840" s="2">
        <f>Cleaned_Data!L840</f>
        <v/>
      </c>
    </row>
    <row r="841">
      <c r="A841" s="2">
        <f>Cleaned_Data!A841</f>
        <v/>
      </c>
      <c r="B841" s="2">
        <f>Cleaned_Data!B841</f>
        <v/>
      </c>
      <c r="C841" s="2">
        <f>Cleaned_Data!G841</f>
        <v/>
      </c>
      <c r="D841" s="2">
        <f>Cleaned_Data!I841</f>
        <v/>
      </c>
      <c r="E841" s="2">
        <f>Cleaned_Data!H841</f>
        <v/>
      </c>
      <c r="F841" s="2">
        <f>Cleaned_Data!F841</f>
        <v/>
      </c>
      <c r="G841" s="9">
        <f>SUMPRODUCT(($B$2:$B$1196=B841)*($F$2:$F$1196&lt;=F841))/SUMPRODUCT(($B$2:$B$1196=B841)*1)</f>
        <v/>
      </c>
      <c r="H841" s="2">
        <f>Cleaned_Data!J841</f>
        <v/>
      </c>
      <c r="I841" s="2">
        <f>Cleaned_Data!E841</f>
        <v/>
      </c>
      <c r="J841" s="2">
        <f>IF(C841="Yes",1,0)</f>
        <v/>
      </c>
      <c r="K841" s="2">
        <f>MIN(MAX(1-(D841-1)/4,0),1)</f>
        <v/>
      </c>
      <c r="L841" s="2">
        <f>MIN(E841/60,1)</f>
        <v/>
      </c>
      <c r="M841" s="2">
        <f>MIN(MAX(1-G841,0),1)</f>
        <v/>
      </c>
      <c r="N841" s="2">
        <f>MIN(MAX(1-(H841-1)/4,0),1)</f>
        <v/>
      </c>
      <c r="O841" s="2">
        <f>1-MIN(I841/8,1)</f>
        <v/>
      </c>
      <c r="P841" s="10">
        <f>ROUND(100*(J841*Assumptions!$B$6+K841*Assumptions!$B$7+L841*Assumptions!$B$8+M841*Assumptions!$B$9+N841*Assumptions!$B$10+O841*Assumptions!$B$11),1)</f>
        <v/>
      </c>
      <c r="Q841" s="2">
        <f>IF(P841&gt;=Assumptions!$B$14,"High",IF(P841&gt;=Assumptions!$B$15,"Medium","Low"))</f>
        <v/>
      </c>
      <c r="R841" s="2">
        <f>Cleaned_Data!L841</f>
        <v/>
      </c>
    </row>
    <row r="842">
      <c r="A842" s="2">
        <f>Cleaned_Data!A842</f>
        <v/>
      </c>
      <c r="B842" s="2">
        <f>Cleaned_Data!B842</f>
        <v/>
      </c>
      <c r="C842" s="2">
        <f>Cleaned_Data!G842</f>
        <v/>
      </c>
      <c r="D842" s="2">
        <f>Cleaned_Data!I842</f>
        <v/>
      </c>
      <c r="E842" s="2">
        <f>Cleaned_Data!H842</f>
        <v/>
      </c>
      <c r="F842" s="2">
        <f>Cleaned_Data!F842</f>
        <v/>
      </c>
      <c r="G842" s="9">
        <f>SUMPRODUCT(($B$2:$B$1196=B842)*($F$2:$F$1196&lt;=F842))/SUMPRODUCT(($B$2:$B$1196=B842)*1)</f>
        <v/>
      </c>
      <c r="H842" s="2">
        <f>Cleaned_Data!J842</f>
        <v/>
      </c>
      <c r="I842" s="2">
        <f>Cleaned_Data!E842</f>
        <v/>
      </c>
      <c r="J842" s="2">
        <f>IF(C842="Yes",1,0)</f>
        <v/>
      </c>
      <c r="K842" s="2">
        <f>MIN(MAX(1-(D842-1)/4,0),1)</f>
        <v/>
      </c>
      <c r="L842" s="2">
        <f>MIN(E842/60,1)</f>
        <v/>
      </c>
      <c r="M842" s="2">
        <f>MIN(MAX(1-G842,0),1)</f>
        <v/>
      </c>
      <c r="N842" s="2">
        <f>MIN(MAX(1-(H842-1)/4,0),1)</f>
        <v/>
      </c>
      <c r="O842" s="2">
        <f>1-MIN(I842/8,1)</f>
        <v/>
      </c>
      <c r="P842" s="10">
        <f>ROUND(100*(J842*Assumptions!$B$6+K842*Assumptions!$B$7+L842*Assumptions!$B$8+M842*Assumptions!$B$9+N842*Assumptions!$B$10+O842*Assumptions!$B$11),1)</f>
        <v/>
      </c>
      <c r="Q842" s="2">
        <f>IF(P842&gt;=Assumptions!$B$14,"High",IF(P842&gt;=Assumptions!$B$15,"Medium","Low"))</f>
        <v/>
      </c>
      <c r="R842" s="2">
        <f>Cleaned_Data!L842</f>
        <v/>
      </c>
    </row>
    <row r="843">
      <c r="A843" s="2">
        <f>Cleaned_Data!A843</f>
        <v/>
      </c>
      <c r="B843" s="2">
        <f>Cleaned_Data!B843</f>
        <v/>
      </c>
      <c r="C843" s="2">
        <f>Cleaned_Data!G843</f>
        <v/>
      </c>
      <c r="D843" s="2">
        <f>Cleaned_Data!I843</f>
        <v/>
      </c>
      <c r="E843" s="2">
        <f>Cleaned_Data!H843</f>
        <v/>
      </c>
      <c r="F843" s="2">
        <f>Cleaned_Data!F843</f>
        <v/>
      </c>
      <c r="G843" s="9">
        <f>SUMPRODUCT(($B$2:$B$1196=B843)*($F$2:$F$1196&lt;=F843))/SUMPRODUCT(($B$2:$B$1196=B843)*1)</f>
        <v/>
      </c>
      <c r="H843" s="2">
        <f>Cleaned_Data!J843</f>
        <v/>
      </c>
      <c r="I843" s="2">
        <f>Cleaned_Data!E843</f>
        <v/>
      </c>
      <c r="J843" s="2">
        <f>IF(C843="Yes",1,0)</f>
        <v/>
      </c>
      <c r="K843" s="2">
        <f>MIN(MAX(1-(D843-1)/4,0),1)</f>
        <v/>
      </c>
      <c r="L843" s="2">
        <f>MIN(E843/60,1)</f>
        <v/>
      </c>
      <c r="M843" s="2">
        <f>MIN(MAX(1-G843,0),1)</f>
        <v/>
      </c>
      <c r="N843" s="2">
        <f>MIN(MAX(1-(H843-1)/4,0),1)</f>
        <v/>
      </c>
      <c r="O843" s="2">
        <f>1-MIN(I843/8,1)</f>
        <v/>
      </c>
      <c r="P843" s="10">
        <f>ROUND(100*(J843*Assumptions!$B$6+K843*Assumptions!$B$7+L843*Assumptions!$B$8+M843*Assumptions!$B$9+N843*Assumptions!$B$10+O843*Assumptions!$B$11),1)</f>
        <v/>
      </c>
      <c r="Q843" s="2">
        <f>IF(P843&gt;=Assumptions!$B$14,"High",IF(P843&gt;=Assumptions!$B$15,"Medium","Low"))</f>
        <v/>
      </c>
      <c r="R843" s="2">
        <f>Cleaned_Data!L843</f>
        <v/>
      </c>
    </row>
    <row r="844">
      <c r="A844" s="2">
        <f>Cleaned_Data!A844</f>
        <v/>
      </c>
      <c r="B844" s="2">
        <f>Cleaned_Data!B844</f>
        <v/>
      </c>
      <c r="C844" s="2">
        <f>Cleaned_Data!G844</f>
        <v/>
      </c>
      <c r="D844" s="2">
        <f>Cleaned_Data!I844</f>
        <v/>
      </c>
      <c r="E844" s="2">
        <f>Cleaned_Data!H844</f>
        <v/>
      </c>
      <c r="F844" s="2">
        <f>Cleaned_Data!F844</f>
        <v/>
      </c>
      <c r="G844" s="9">
        <f>SUMPRODUCT(($B$2:$B$1196=B844)*($F$2:$F$1196&lt;=F844))/SUMPRODUCT(($B$2:$B$1196=B844)*1)</f>
        <v/>
      </c>
      <c r="H844" s="2">
        <f>Cleaned_Data!J844</f>
        <v/>
      </c>
      <c r="I844" s="2">
        <f>Cleaned_Data!E844</f>
        <v/>
      </c>
      <c r="J844" s="2">
        <f>IF(C844="Yes",1,0)</f>
        <v/>
      </c>
      <c r="K844" s="2">
        <f>MIN(MAX(1-(D844-1)/4,0),1)</f>
        <v/>
      </c>
      <c r="L844" s="2">
        <f>MIN(E844/60,1)</f>
        <v/>
      </c>
      <c r="M844" s="2">
        <f>MIN(MAX(1-G844,0),1)</f>
        <v/>
      </c>
      <c r="N844" s="2">
        <f>MIN(MAX(1-(H844-1)/4,0),1)</f>
        <v/>
      </c>
      <c r="O844" s="2">
        <f>1-MIN(I844/8,1)</f>
        <v/>
      </c>
      <c r="P844" s="10">
        <f>ROUND(100*(J844*Assumptions!$B$6+K844*Assumptions!$B$7+L844*Assumptions!$B$8+M844*Assumptions!$B$9+N844*Assumptions!$B$10+O844*Assumptions!$B$11),1)</f>
        <v/>
      </c>
      <c r="Q844" s="2">
        <f>IF(P844&gt;=Assumptions!$B$14,"High",IF(P844&gt;=Assumptions!$B$15,"Medium","Low"))</f>
        <v/>
      </c>
      <c r="R844" s="2">
        <f>Cleaned_Data!L844</f>
        <v/>
      </c>
    </row>
    <row r="845">
      <c r="A845" s="2">
        <f>Cleaned_Data!A845</f>
        <v/>
      </c>
      <c r="B845" s="2">
        <f>Cleaned_Data!B845</f>
        <v/>
      </c>
      <c r="C845" s="2">
        <f>Cleaned_Data!G845</f>
        <v/>
      </c>
      <c r="D845" s="2">
        <f>Cleaned_Data!I845</f>
        <v/>
      </c>
      <c r="E845" s="2">
        <f>Cleaned_Data!H845</f>
        <v/>
      </c>
      <c r="F845" s="2">
        <f>Cleaned_Data!F845</f>
        <v/>
      </c>
      <c r="G845" s="9">
        <f>SUMPRODUCT(($B$2:$B$1196=B845)*($F$2:$F$1196&lt;=F845))/SUMPRODUCT(($B$2:$B$1196=B845)*1)</f>
        <v/>
      </c>
      <c r="H845" s="2">
        <f>Cleaned_Data!J845</f>
        <v/>
      </c>
      <c r="I845" s="2">
        <f>Cleaned_Data!E845</f>
        <v/>
      </c>
      <c r="J845" s="2">
        <f>IF(C845="Yes",1,0)</f>
        <v/>
      </c>
      <c r="K845" s="2">
        <f>MIN(MAX(1-(D845-1)/4,0),1)</f>
        <v/>
      </c>
      <c r="L845" s="2">
        <f>MIN(E845/60,1)</f>
        <v/>
      </c>
      <c r="M845" s="2">
        <f>MIN(MAX(1-G845,0),1)</f>
        <v/>
      </c>
      <c r="N845" s="2">
        <f>MIN(MAX(1-(H845-1)/4,0),1)</f>
        <v/>
      </c>
      <c r="O845" s="2">
        <f>1-MIN(I845/8,1)</f>
        <v/>
      </c>
      <c r="P845" s="10">
        <f>ROUND(100*(J845*Assumptions!$B$6+K845*Assumptions!$B$7+L845*Assumptions!$B$8+M845*Assumptions!$B$9+N845*Assumptions!$B$10+O845*Assumptions!$B$11),1)</f>
        <v/>
      </c>
      <c r="Q845" s="2">
        <f>IF(P845&gt;=Assumptions!$B$14,"High",IF(P845&gt;=Assumptions!$B$15,"Medium","Low"))</f>
        <v/>
      </c>
      <c r="R845" s="2">
        <f>Cleaned_Data!L845</f>
        <v/>
      </c>
    </row>
    <row r="846">
      <c r="A846" s="2">
        <f>Cleaned_Data!A846</f>
        <v/>
      </c>
      <c r="B846" s="2">
        <f>Cleaned_Data!B846</f>
        <v/>
      </c>
      <c r="C846" s="2">
        <f>Cleaned_Data!G846</f>
        <v/>
      </c>
      <c r="D846" s="2">
        <f>Cleaned_Data!I846</f>
        <v/>
      </c>
      <c r="E846" s="2">
        <f>Cleaned_Data!H846</f>
        <v/>
      </c>
      <c r="F846" s="2">
        <f>Cleaned_Data!F846</f>
        <v/>
      </c>
      <c r="G846" s="9">
        <f>SUMPRODUCT(($B$2:$B$1196=B846)*($F$2:$F$1196&lt;=F846))/SUMPRODUCT(($B$2:$B$1196=B846)*1)</f>
        <v/>
      </c>
      <c r="H846" s="2">
        <f>Cleaned_Data!J846</f>
        <v/>
      </c>
      <c r="I846" s="2">
        <f>Cleaned_Data!E846</f>
        <v/>
      </c>
      <c r="J846" s="2">
        <f>IF(C846="Yes",1,0)</f>
        <v/>
      </c>
      <c r="K846" s="2">
        <f>MIN(MAX(1-(D846-1)/4,0),1)</f>
        <v/>
      </c>
      <c r="L846" s="2">
        <f>MIN(E846/60,1)</f>
        <v/>
      </c>
      <c r="M846" s="2">
        <f>MIN(MAX(1-G846,0),1)</f>
        <v/>
      </c>
      <c r="N846" s="2">
        <f>MIN(MAX(1-(H846-1)/4,0),1)</f>
        <v/>
      </c>
      <c r="O846" s="2">
        <f>1-MIN(I846/8,1)</f>
        <v/>
      </c>
      <c r="P846" s="10">
        <f>ROUND(100*(J846*Assumptions!$B$6+K846*Assumptions!$B$7+L846*Assumptions!$B$8+M846*Assumptions!$B$9+N846*Assumptions!$B$10+O846*Assumptions!$B$11),1)</f>
        <v/>
      </c>
      <c r="Q846" s="2">
        <f>IF(P846&gt;=Assumptions!$B$14,"High",IF(P846&gt;=Assumptions!$B$15,"Medium","Low"))</f>
        <v/>
      </c>
      <c r="R846" s="2">
        <f>Cleaned_Data!L846</f>
        <v/>
      </c>
    </row>
    <row r="847">
      <c r="A847" s="2">
        <f>Cleaned_Data!A847</f>
        <v/>
      </c>
      <c r="B847" s="2">
        <f>Cleaned_Data!B847</f>
        <v/>
      </c>
      <c r="C847" s="2">
        <f>Cleaned_Data!G847</f>
        <v/>
      </c>
      <c r="D847" s="2">
        <f>Cleaned_Data!I847</f>
        <v/>
      </c>
      <c r="E847" s="2">
        <f>Cleaned_Data!H847</f>
        <v/>
      </c>
      <c r="F847" s="2">
        <f>Cleaned_Data!F847</f>
        <v/>
      </c>
      <c r="G847" s="9">
        <f>SUMPRODUCT(($B$2:$B$1196=B847)*($F$2:$F$1196&lt;=F847))/SUMPRODUCT(($B$2:$B$1196=B847)*1)</f>
        <v/>
      </c>
      <c r="H847" s="2">
        <f>Cleaned_Data!J847</f>
        <v/>
      </c>
      <c r="I847" s="2">
        <f>Cleaned_Data!E847</f>
        <v/>
      </c>
      <c r="J847" s="2">
        <f>IF(C847="Yes",1,0)</f>
        <v/>
      </c>
      <c r="K847" s="2">
        <f>MIN(MAX(1-(D847-1)/4,0),1)</f>
        <v/>
      </c>
      <c r="L847" s="2">
        <f>MIN(E847/60,1)</f>
        <v/>
      </c>
      <c r="M847" s="2">
        <f>MIN(MAX(1-G847,0),1)</f>
        <v/>
      </c>
      <c r="N847" s="2">
        <f>MIN(MAX(1-(H847-1)/4,0),1)</f>
        <v/>
      </c>
      <c r="O847" s="2">
        <f>1-MIN(I847/8,1)</f>
        <v/>
      </c>
      <c r="P847" s="10">
        <f>ROUND(100*(J847*Assumptions!$B$6+K847*Assumptions!$B$7+L847*Assumptions!$B$8+M847*Assumptions!$B$9+N847*Assumptions!$B$10+O847*Assumptions!$B$11),1)</f>
        <v/>
      </c>
      <c r="Q847" s="2">
        <f>IF(P847&gt;=Assumptions!$B$14,"High",IF(P847&gt;=Assumptions!$B$15,"Medium","Low"))</f>
        <v/>
      </c>
      <c r="R847" s="2">
        <f>Cleaned_Data!L847</f>
        <v/>
      </c>
    </row>
    <row r="848">
      <c r="A848" s="2">
        <f>Cleaned_Data!A848</f>
        <v/>
      </c>
      <c r="B848" s="2">
        <f>Cleaned_Data!B848</f>
        <v/>
      </c>
      <c r="C848" s="2">
        <f>Cleaned_Data!G848</f>
        <v/>
      </c>
      <c r="D848" s="2">
        <f>Cleaned_Data!I848</f>
        <v/>
      </c>
      <c r="E848" s="2">
        <f>Cleaned_Data!H848</f>
        <v/>
      </c>
      <c r="F848" s="2">
        <f>Cleaned_Data!F848</f>
        <v/>
      </c>
      <c r="G848" s="9">
        <f>SUMPRODUCT(($B$2:$B$1196=B848)*($F$2:$F$1196&lt;=F848))/SUMPRODUCT(($B$2:$B$1196=B848)*1)</f>
        <v/>
      </c>
      <c r="H848" s="2">
        <f>Cleaned_Data!J848</f>
        <v/>
      </c>
      <c r="I848" s="2">
        <f>Cleaned_Data!E848</f>
        <v/>
      </c>
      <c r="J848" s="2">
        <f>IF(C848="Yes",1,0)</f>
        <v/>
      </c>
      <c r="K848" s="2">
        <f>MIN(MAX(1-(D848-1)/4,0),1)</f>
        <v/>
      </c>
      <c r="L848" s="2">
        <f>MIN(E848/60,1)</f>
        <v/>
      </c>
      <c r="M848" s="2">
        <f>MIN(MAX(1-G848,0),1)</f>
        <v/>
      </c>
      <c r="N848" s="2">
        <f>MIN(MAX(1-(H848-1)/4,0),1)</f>
        <v/>
      </c>
      <c r="O848" s="2">
        <f>1-MIN(I848/8,1)</f>
        <v/>
      </c>
      <c r="P848" s="10">
        <f>ROUND(100*(J848*Assumptions!$B$6+K848*Assumptions!$B$7+L848*Assumptions!$B$8+M848*Assumptions!$B$9+N848*Assumptions!$B$10+O848*Assumptions!$B$11),1)</f>
        <v/>
      </c>
      <c r="Q848" s="2">
        <f>IF(P848&gt;=Assumptions!$B$14,"High",IF(P848&gt;=Assumptions!$B$15,"Medium","Low"))</f>
        <v/>
      </c>
      <c r="R848" s="2">
        <f>Cleaned_Data!L848</f>
        <v/>
      </c>
    </row>
    <row r="849">
      <c r="A849" s="2">
        <f>Cleaned_Data!A849</f>
        <v/>
      </c>
      <c r="B849" s="2">
        <f>Cleaned_Data!B849</f>
        <v/>
      </c>
      <c r="C849" s="2">
        <f>Cleaned_Data!G849</f>
        <v/>
      </c>
      <c r="D849" s="2">
        <f>Cleaned_Data!I849</f>
        <v/>
      </c>
      <c r="E849" s="2">
        <f>Cleaned_Data!H849</f>
        <v/>
      </c>
      <c r="F849" s="2">
        <f>Cleaned_Data!F849</f>
        <v/>
      </c>
      <c r="G849" s="9">
        <f>SUMPRODUCT(($B$2:$B$1196=B849)*($F$2:$F$1196&lt;=F849))/SUMPRODUCT(($B$2:$B$1196=B849)*1)</f>
        <v/>
      </c>
      <c r="H849" s="2">
        <f>Cleaned_Data!J849</f>
        <v/>
      </c>
      <c r="I849" s="2">
        <f>Cleaned_Data!E849</f>
        <v/>
      </c>
      <c r="J849" s="2">
        <f>IF(C849="Yes",1,0)</f>
        <v/>
      </c>
      <c r="K849" s="2">
        <f>MIN(MAX(1-(D849-1)/4,0),1)</f>
        <v/>
      </c>
      <c r="L849" s="2">
        <f>MIN(E849/60,1)</f>
        <v/>
      </c>
      <c r="M849" s="2">
        <f>MIN(MAX(1-G849,0),1)</f>
        <v/>
      </c>
      <c r="N849" s="2">
        <f>MIN(MAX(1-(H849-1)/4,0),1)</f>
        <v/>
      </c>
      <c r="O849" s="2">
        <f>1-MIN(I849/8,1)</f>
        <v/>
      </c>
      <c r="P849" s="10">
        <f>ROUND(100*(J849*Assumptions!$B$6+K849*Assumptions!$B$7+L849*Assumptions!$B$8+M849*Assumptions!$B$9+N849*Assumptions!$B$10+O849*Assumptions!$B$11),1)</f>
        <v/>
      </c>
      <c r="Q849" s="2">
        <f>IF(P849&gt;=Assumptions!$B$14,"High",IF(P849&gt;=Assumptions!$B$15,"Medium","Low"))</f>
        <v/>
      </c>
      <c r="R849" s="2">
        <f>Cleaned_Data!L849</f>
        <v/>
      </c>
    </row>
    <row r="850">
      <c r="A850" s="2">
        <f>Cleaned_Data!A850</f>
        <v/>
      </c>
      <c r="B850" s="2">
        <f>Cleaned_Data!B850</f>
        <v/>
      </c>
      <c r="C850" s="2">
        <f>Cleaned_Data!G850</f>
        <v/>
      </c>
      <c r="D850" s="2">
        <f>Cleaned_Data!I850</f>
        <v/>
      </c>
      <c r="E850" s="2">
        <f>Cleaned_Data!H850</f>
        <v/>
      </c>
      <c r="F850" s="2">
        <f>Cleaned_Data!F850</f>
        <v/>
      </c>
      <c r="G850" s="9">
        <f>SUMPRODUCT(($B$2:$B$1196=B850)*($F$2:$F$1196&lt;=F850))/SUMPRODUCT(($B$2:$B$1196=B850)*1)</f>
        <v/>
      </c>
      <c r="H850" s="2">
        <f>Cleaned_Data!J850</f>
        <v/>
      </c>
      <c r="I850" s="2">
        <f>Cleaned_Data!E850</f>
        <v/>
      </c>
      <c r="J850" s="2">
        <f>IF(C850="Yes",1,0)</f>
        <v/>
      </c>
      <c r="K850" s="2">
        <f>MIN(MAX(1-(D850-1)/4,0),1)</f>
        <v/>
      </c>
      <c r="L850" s="2">
        <f>MIN(E850/60,1)</f>
        <v/>
      </c>
      <c r="M850" s="2">
        <f>MIN(MAX(1-G850,0),1)</f>
        <v/>
      </c>
      <c r="N850" s="2">
        <f>MIN(MAX(1-(H850-1)/4,0),1)</f>
        <v/>
      </c>
      <c r="O850" s="2">
        <f>1-MIN(I850/8,1)</f>
        <v/>
      </c>
      <c r="P850" s="10">
        <f>ROUND(100*(J850*Assumptions!$B$6+K850*Assumptions!$B$7+L850*Assumptions!$B$8+M850*Assumptions!$B$9+N850*Assumptions!$B$10+O850*Assumptions!$B$11),1)</f>
        <v/>
      </c>
      <c r="Q850" s="2">
        <f>IF(P850&gt;=Assumptions!$B$14,"High",IF(P850&gt;=Assumptions!$B$15,"Medium","Low"))</f>
        <v/>
      </c>
      <c r="R850" s="2">
        <f>Cleaned_Data!L850</f>
        <v/>
      </c>
    </row>
    <row r="851">
      <c r="A851" s="2">
        <f>Cleaned_Data!A851</f>
        <v/>
      </c>
      <c r="B851" s="2">
        <f>Cleaned_Data!B851</f>
        <v/>
      </c>
      <c r="C851" s="2">
        <f>Cleaned_Data!G851</f>
        <v/>
      </c>
      <c r="D851" s="2">
        <f>Cleaned_Data!I851</f>
        <v/>
      </c>
      <c r="E851" s="2">
        <f>Cleaned_Data!H851</f>
        <v/>
      </c>
      <c r="F851" s="2">
        <f>Cleaned_Data!F851</f>
        <v/>
      </c>
      <c r="G851" s="9">
        <f>SUMPRODUCT(($B$2:$B$1196=B851)*($F$2:$F$1196&lt;=F851))/SUMPRODUCT(($B$2:$B$1196=B851)*1)</f>
        <v/>
      </c>
      <c r="H851" s="2">
        <f>Cleaned_Data!J851</f>
        <v/>
      </c>
      <c r="I851" s="2">
        <f>Cleaned_Data!E851</f>
        <v/>
      </c>
      <c r="J851" s="2">
        <f>IF(C851="Yes",1,0)</f>
        <v/>
      </c>
      <c r="K851" s="2">
        <f>MIN(MAX(1-(D851-1)/4,0),1)</f>
        <v/>
      </c>
      <c r="L851" s="2">
        <f>MIN(E851/60,1)</f>
        <v/>
      </c>
      <c r="M851" s="2">
        <f>MIN(MAX(1-G851,0),1)</f>
        <v/>
      </c>
      <c r="N851" s="2">
        <f>MIN(MAX(1-(H851-1)/4,0),1)</f>
        <v/>
      </c>
      <c r="O851" s="2">
        <f>1-MIN(I851/8,1)</f>
        <v/>
      </c>
      <c r="P851" s="10">
        <f>ROUND(100*(J851*Assumptions!$B$6+K851*Assumptions!$B$7+L851*Assumptions!$B$8+M851*Assumptions!$B$9+N851*Assumptions!$B$10+O851*Assumptions!$B$11),1)</f>
        <v/>
      </c>
      <c r="Q851" s="2">
        <f>IF(P851&gt;=Assumptions!$B$14,"High",IF(P851&gt;=Assumptions!$B$15,"Medium","Low"))</f>
        <v/>
      </c>
      <c r="R851" s="2">
        <f>Cleaned_Data!L851</f>
        <v/>
      </c>
    </row>
    <row r="852">
      <c r="A852" s="2">
        <f>Cleaned_Data!A852</f>
        <v/>
      </c>
      <c r="B852" s="2">
        <f>Cleaned_Data!B852</f>
        <v/>
      </c>
      <c r="C852" s="2">
        <f>Cleaned_Data!G852</f>
        <v/>
      </c>
      <c r="D852" s="2">
        <f>Cleaned_Data!I852</f>
        <v/>
      </c>
      <c r="E852" s="2">
        <f>Cleaned_Data!H852</f>
        <v/>
      </c>
      <c r="F852" s="2">
        <f>Cleaned_Data!F852</f>
        <v/>
      </c>
      <c r="G852" s="9">
        <f>SUMPRODUCT(($B$2:$B$1196=B852)*($F$2:$F$1196&lt;=F852))/SUMPRODUCT(($B$2:$B$1196=B852)*1)</f>
        <v/>
      </c>
      <c r="H852" s="2">
        <f>Cleaned_Data!J852</f>
        <v/>
      </c>
      <c r="I852" s="2">
        <f>Cleaned_Data!E852</f>
        <v/>
      </c>
      <c r="J852" s="2">
        <f>IF(C852="Yes",1,0)</f>
        <v/>
      </c>
      <c r="K852" s="2">
        <f>MIN(MAX(1-(D852-1)/4,0),1)</f>
        <v/>
      </c>
      <c r="L852" s="2">
        <f>MIN(E852/60,1)</f>
        <v/>
      </c>
      <c r="M852" s="2">
        <f>MIN(MAX(1-G852,0),1)</f>
        <v/>
      </c>
      <c r="N852" s="2">
        <f>MIN(MAX(1-(H852-1)/4,0),1)</f>
        <v/>
      </c>
      <c r="O852" s="2">
        <f>1-MIN(I852/8,1)</f>
        <v/>
      </c>
      <c r="P852" s="10">
        <f>ROUND(100*(J852*Assumptions!$B$6+K852*Assumptions!$B$7+L852*Assumptions!$B$8+M852*Assumptions!$B$9+N852*Assumptions!$B$10+O852*Assumptions!$B$11),1)</f>
        <v/>
      </c>
      <c r="Q852" s="2">
        <f>IF(P852&gt;=Assumptions!$B$14,"High",IF(P852&gt;=Assumptions!$B$15,"Medium","Low"))</f>
        <v/>
      </c>
      <c r="R852" s="2">
        <f>Cleaned_Data!L852</f>
        <v/>
      </c>
    </row>
    <row r="853">
      <c r="A853" s="2">
        <f>Cleaned_Data!A853</f>
        <v/>
      </c>
      <c r="B853" s="2">
        <f>Cleaned_Data!B853</f>
        <v/>
      </c>
      <c r="C853" s="2">
        <f>Cleaned_Data!G853</f>
        <v/>
      </c>
      <c r="D853" s="2">
        <f>Cleaned_Data!I853</f>
        <v/>
      </c>
      <c r="E853" s="2">
        <f>Cleaned_Data!H853</f>
        <v/>
      </c>
      <c r="F853" s="2">
        <f>Cleaned_Data!F853</f>
        <v/>
      </c>
      <c r="G853" s="9">
        <f>SUMPRODUCT(($B$2:$B$1196=B853)*($F$2:$F$1196&lt;=F853))/SUMPRODUCT(($B$2:$B$1196=B853)*1)</f>
        <v/>
      </c>
      <c r="H853" s="2">
        <f>Cleaned_Data!J853</f>
        <v/>
      </c>
      <c r="I853" s="2">
        <f>Cleaned_Data!E853</f>
        <v/>
      </c>
      <c r="J853" s="2">
        <f>IF(C853="Yes",1,0)</f>
        <v/>
      </c>
      <c r="K853" s="2">
        <f>MIN(MAX(1-(D853-1)/4,0),1)</f>
        <v/>
      </c>
      <c r="L853" s="2">
        <f>MIN(E853/60,1)</f>
        <v/>
      </c>
      <c r="M853" s="2">
        <f>MIN(MAX(1-G853,0),1)</f>
        <v/>
      </c>
      <c r="N853" s="2">
        <f>MIN(MAX(1-(H853-1)/4,0),1)</f>
        <v/>
      </c>
      <c r="O853" s="2">
        <f>1-MIN(I853/8,1)</f>
        <v/>
      </c>
      <c r="P853" s="10">
        <f>ROUND(100*(J853*Assumptions!$B$6+K853*Assumptions!$B$7+L853*Assumptions!$B$8+M853*Assumptions!$B$9+N853*Assumptions!$B$10+O853*Assumptions!$B$11),1)</f>
        <v/>
      </c>
      <c r="Q853" s="2">
        <f>IF(P853&gt;=Assumptions!$B$14,"High",IF(P853&gt;=Assumptions!$B$15,"Medium","Low"))</f>
        <v/>
      </c>
      <c r="R853" s="2">
        <f>Cleaned_Data!L853</f>
        <v/>
      </c>
    </row>
    <row r="854">
      <c r="A854" s="2">
        <f>Cleaned_Data!A854</f>
        <v/>
      </c>
      <c r="B854" s="2">
        <f>Cleaned_Data!B854</f>
        <v/>
      </c>
      <c r="C854" s="2">
        <f>Cleaned_Data!G854</f>
        <v/>
      </c>
      <c r="D854" s="2">
        <f>Cleaned_Data!I854</f>
        <v/>
      </c>
      <c r="E854" s="2">
        <f>Cleaned_Data!H854</f>
        <v/>
      </c>
      <c r="F854" s="2">
        <f>Cleaned_Data!F854</f>
        <v/>
      </c>
      <c r="G854" s="9">
        <f>SUMPRODUCT(($B$2:$B$1196=B854)*($F$2:$F$1196&lt;=F854))/SUMPRODUCT(($B$2:$B$1196=B854)*1)</f>
        <v/>
      </c>
      <c r="H854" s="2">
        <f>Cleaned_Data!J854</f>
        <v/>
      </c>
      <c r="I854" s="2">
        <f>Cleaned_Data!E854</f>
        <v/>
      </c>
      <c r="J854" s="2">
        <f>IF(C854="Yes",1,0)</f>
        <v/>
      </c>
      <c r="K854" s="2">
        <f>MIN(MAX(1-(D854-1)/4,0),1)</f>
        <v/>
      </c>
      <c r="L854" s="2">
        <f>MIN(E854/60,1)</f>
        <v/>
      </c>
      <c r="M854" s="2">
        <f>MIN(MAX(1-G854,0),1)</f>
        <v/>
      </c>
      <c r="N854" s="2">
        <f>MIN(MAX(1-(H854-1)/4,0),1)</f>
        <v/>
      </c>
      <c r="O854" s="2">
        <f>1-MIN(I854/8,1)</f>
        <v/>
      </c>
      <c r="P854" s="10">
        <f>ROUND(100*(J854*Assumptions!$B$6+K854*Assumptions!$B$7+L854*Assumptions!$B$8+M854*Assumptions!$B$9+N854*Assumptions!$B$10+O854*Assumptions!$B$11),1)</f>
        <v/>
      </c>
      <c r="Q854" s="2">
        <f>IF(P854&gt;=Assumptions!$B$14,"High",IF(P854&gt;=Assumptions!$B$15,"Medium","Low"))</f>
        <v/>
      </c>
      <c r="R854" s="2">
        <f>Cleaned_Data!L854</f>
        <v/>
      </c>
    </row>
    <row r="855">
      <c r="A855" s="2">
        <f>Cleaned_Data!A855</f>
        <v/>
      </c>
      <c r="B855" s="2">
        <f>Cleaned_Data!B855</f>
        <v/>
      </c>
      <c r="C855" s="2">
        <f>Cleaned_Data!G855</f>
        <v/>
      </c>
      <c r="D855" s="2">
        <f>Cleaned_Data!I855</f>
        <v/>
      </c>
      <c r="E855" s="2">
        <f>Cleaned_Data!H855</f>
        <v/>
      </c>
      <c r="F855" s="2">
        <f>Cleaned_Data!F855</f>
        <v/>
      </c>
      <c r="G855" s="9">
        <f>SUMPRODUCT(($B$2:$B$1196=B855)*($F$2:$F$1196&lt;=F855))/SUMPRODUCT(($B$2:$B$1196=B855)*1)</f>
        <v/>
      </c>
      <c r="H855" s="2">
        <f>Cleaned_Data!J855</f>
        <v/>
      </c>
      <c r="I855" s="2">
        <f>Cleaned_Data!E855</f>
        <v/>
      </c>
      <c r="J855" s="2">
        <f>IF(C855="Yes",1,0)</f>
        <v/>
      </c>
      <c r="K855" s="2">
        <f>MIN(MAX(1-(D855-1)/4,0),1)</f>
        <v/>
      </c>
      <c r="L855" s="2">
        <f>MIN(E855/60,1)</f>
        <v/>
      </c>
      <c r="M855" s="2">
        <f>MIN(MAX(1-G855,0),1)</f>
        <v/>
      </c>
      <c r="N855" s="2">
        <f>MIN(MAX(1-(H855-1)/4,0),1)</f>
        <v/>
      </c>
      <c r="O855" s="2">
        <f>1-MIN(I855/8,1)</f>
        <v/>
      </c>
      <c r="P855" s="10">
        <f>ROUND(100*(J855*Assumptions!$B$6+K855*Assumptions!$B$7+L855*Assumptions!$B$8+M855*Assumptions!$B$9+N855*Assumptions!$B$10+O855*Assumptions!$B$11),1)</f>
        <v/>
      </c>
      <c r="Q855" s="2">
        <f>IF(P855&gt;=Assumptions!$B$14,"High",IF(P855&gt;=Assumptions!$B$15,"Medium","Low"))</f>
        <v/>
      </c>
      <c r="R855" s="2">
        <f>Cleaned_Data!L855</f>
        <v/>
      </c>
    </row>
    <row r="856">
      <c r="A856" s="2">
        <f>Cleaned_Data!A856</f>
        <v/>
      </c>
      <c r="B856" s="2">
        <f>Cleaned_Data!B856</f>
        <v/>
      </c>
      <c r="C856" s="2">
        <f>Cleaned_Data!G856</f>
        <v/>
      </c>
      <c r="D856" s="2">
        <f>Cleaned_Data!I856</f>
        <v/>
      </c>
      <c r="E856" s="2">
        <f>Cleaned_Data!H856</f>
        <v/>
      </c>
      <c r="F856" s="2">
        <f>Cleaned_Data!F856</f>
        <v/>
      </c>
      <c r="G856" s="9">
        <f>SUMPRODUCT(($B$2:$B$1196=B856)*($F$2:$F$1196&lt;=F856))/SUMPRODUCT(($B$2:$B$1196=B856)*1)</f>
        <v/>
      </c>
      <c r="H856" s="2">
        <f>Cleaned_Data!J856</f>
        <v/>
      </c>
      <c r="I856" s="2">
        <f>Cleaned_Data!E856</f>
        <v/>
      </c>
      <c r="J856" s="2">
        <f>IF(C856="Yes",1,0)</f>
        <v/>
      </c>
      <c r="K856" s="2">
        <f>MIN(MAX(1-(D856-1)/4,0),1)</f>
        <v/>
      </c>
      <c r="L856" s="2">
        <f>MIN(E856/60,1)</f>
        <v/>
      </c>
      <c r="M856" s="2">
        <f>MIN(MAX(1-G856,0),1)</f>
        <v/>
      </c>
      <c r="N856" s="2">
        <f>MIN(MAX(1-(H856-1)/4,0),1)</f>
        <v/>
      </c>
      <c r="O856" s="2">
        <f>1-MIN(I856/8,1)</f>
        <v/>
      </c>
      <c r="P856" s="10">
        <f>ROUND(100*(J856*Assumptions!$B$6+K856*Assumptions!$B$7+L856*Assumptions!$B$8+M856*Assumptions!$B$9+N856*Assumptions!$B$10+O856*Assumptions!$B$11),1)</f>
        <v/>
      </c>
      <c r="Q856" s="2">
        <f>IF(P856&gt;=Assumptions!$B$14,"High",IF(P856&gt;=Assumptions!$B$15,"Medium","Low"))</f>
        <v/>
      </c>
      <c r="R856" s="2">
        <f>Cleaned_Data!L856</f>
        <v/>
      </c>
    </row>
    <row r="857">
      <c r="A857" s="2">
        <f>Cleaned_Data!A857</f>
        <v/>
      </c>
      <c r="B857" s="2">
        <f>Cleaned_Data!B857</f>
        <v/>
      </c>
      <c r="C857" s="2">
        <f>Cleaned_Data!G857</f>
        <v/>
      </c>
      <c r="D857" s="2">
        <f>Cleaned_Data!I857</f>
        <v/>
      </c>
      <c r="E857" s="2">
        <f>Cleaned_Data!H857</f>
        <v/>
      </c>
      <c r="F857" s="2">
        <f>Cleaned_Data!F857</f>
        <v/>
      </c>
      <c r="G857" s="9">
        <f>SUMPRODUCT(($B$2:$B$1196=B857)*($F$2:$F$1196&lt;=F857))/SUMPRODUCT(($B$2:$B$1196=B857)*1)</f>
        <v/>
      </c>
      <c r="H857" s="2">
        <f>Cleaned_Data!J857</f>
        <v/>
      </c>
      <c r="I857" s="2">
        <f>Cleaned_Data!E857</f>
        <v/>
      </c>
      <c r="J857" s="2">
        <f>IF(C857="Yes",1,0)</f>
        <v/>
      </c>
      <c r="K857" s="2">
        <f>MIN(MAX(1-(D857-1)/4,0),1)</f>
        <v/>
      </c>
      <c r="L857" s="2">
        <f>MIN(E857/60,1)</f>
        <v/>
      </c>
      <c r="M857" s="2">
        <f>MIN(MAX(1-G857,0),1)</f>
        <v/>
      </c>
      <c r="N857" s="2">
        <f>MIN(MAX(1-(H857-1)/4,0),1)</f>
        <v/>
      </c>
      <c r="O857" s="2">
        <f>1-MIN(I857/8,1)</f>
        <v/>
      </c>
      <c r="P857" s="10">
        <f>ROUND(100*(J857*Assumptions!$B$6+K857*Assumptions!$B$7+L857*Assumptions!$B$8+M857*Assumptions!$B$9+N857*Assumptions!$B$10+O857*Assumptions!$B$11),1)</f>
        <v/>
      </c>
      <c r="Q857" s="2">
        <f>IF(P857&gt;=Assumptions!$B$14,"High",IF(P857&gt;=Assumptions!$B$15,"Medium","Low"))</f>
        <v/>
      </c>
      <c r="R857" s="2">
        <f>Cleaned_Data!L857</f>
        <v/>
      </c>
    </row>
    <row r="858">
      <c r="A858" s="2">
        <f>Cleaned_Data!A858</f>
        <v/>
      </c>
      <c r="B858" s="2">
        <f>Cleaned_Data!B858</f>
        <v/>
      </c>
      <c r="C858" s="2">
        <f>Cleaned_Data!G858</f>
        <v/>
      </c>
      <c r="D858" s="2">
        <f>Cleaned_Data!I858</f>
        <v/>
      </c>
      <c r="E858" s="2">
        <f>Cleaned_Data!H858</f>
        <v/>
      </c>
      <c r="F858" s="2">
        <f>Cleaned_Data!F858</f>
        <v/>
      </c>
      <c r="G858" s="9">
        <f>SUMPRODUCT(($B$2:$B$1196=B858)*($F$2:$F$1196&lt;=F858))/SUMPRODUCT(($B$2:$B$1196=B858)*1)</f>
        <v/>
      </c>
      <c r="H858" s="2">
        <f>Cleaned_Data!J858</f>
        <v/>
      </c>
      <c r="I858" s="2">
        <f>Cleaned_Data!E858</f>
        <v/>
      </c>
      <c r="J858" s="2">
        <f>IF(C858="Yes",1,0)</f>
        <v/>
      </c>
      <c r="K858" s="2">
        <f>MIN(MAX(1-(D858-1)/4,0),1)</f>
        <v/>
      </c>
      <c r="L858" s="2">
        <f>MIN(E858/60,1)</f>
        <v/>
      </c>
      <c r="M858" s="2">
        <f>MIN(MAX(1-G858,0),1)</f>
        <v/>
      </c>
      <c r="N858" s="2">
        <f>MIN(MAX(1-(H858-1)/4,0),1)</f>
        <v/>
      </c>
      <c r="O858" s="2">
        <f>1-MIN(I858/8,1)</f>
        <v/>
      </c>
      <c r="P858" s="10">
        <f>ROUND(100*(J858*Assumptions!$B$6+K858*Assumptions!$B$7+L858*Assumptions!$B$8+M858*Assumptions!$B$9+N858*Assumptions!$B$10+O858*Assumptions!$B$11),1)</f>
        <v/>
      </c>
      <c r="Q858" s="2">
        <f>IF(P858&gt;=Assumptions!$B$14,"High",IF(P858&gt;=Assumptions!$B$15,"Medium","Low"))</f>
        <v/>
      </c>
      <c r="R858" s="2">
        <f>Cleaned_Data!L858</f>
        <v/>
      </c>
    </row>
    <row r="859">
      <c r="A859" s="2">
        <f>Cleaned_Data!A859</f>
        <v/>
      </c>
      <c r="B859" s="2">
        <f>Cleaned_Data!B859</f>
        <v/>
      </c>
      <c r="C859" s="2">
        <f>Cleaned_Data!G859</f>
        <v/>
      </c>
      <c r="D859" s="2">
        <f>Cleaned_Data!I859</f>
        <v/>
      </c>
      <c r="E859" s="2">
        <f>Cleaned_Data!H859</f>
        <v/>
      </c>
      <c r="F859" s="2">
        <f>Cleaned_Data!F859</f>
        <v/>
      </c>
      <c r="G859" s="9">
        <f>SUMPRODUCT(($B$2:$B$1196=B859)*($F$2:$F$1196&lt;=F859))/SUMPRODUCT(($B$2:$B$1196=B859)*1)</f>
        <v/>
      </c>
      <c r="H859" s="2">
        <f>Cleaned_Data!J859</f>
        <v/>
      </c>
      <c r="I859" s="2">
        <f>Cleaned_Data!E859</f>
        <v/>
      </c>
      <c r="J859" s="2">
        <f>IF(C859="Yes",1,0)</f>
        <v/>
      </c>
      <c r="K859" s="2">
        <f>MIN(MAX(1-(D859-1)/4,0),1)</f>
        <v/>
      </c>
      <c r="L859" s="2">
        <f>MIN(E859/60,1)</f>
        <v/>
      </c>
      <c r="M859" s="2">
        <f>MIN(MAX(1-G859,0),1)</f>
        <v/>
      </c>
      <c r="N859" s="2">
        <f>MIN(MAX(1-(H859-1)/4,0),1)</f>
        <v/>
      </c>
      <c r="O859" s="2">
        <f>1-MIN(I859/8,1)</f>
        <v/>
      </c>
      <c r="P859" s="10">
        <f>ROUND(100*(J859*Assumptions!$B$6+K859*Assumptions!$B$7+L859*Assumptions!$B$8+M859*Assumptions!$B$9+N859*Assumptions!$B$10+O859*Assumptions!$B$11),1)</f>
        <v/>
      </c>
      <c r="Q859" s="2">
        <f>IF(P859&gt;=Assumptions!$B$14,"High",IF(P859&gt;=Assumptions!$B$15,"Medium","Low"))</f>
        <v/>
      </c>
      <c r="R859" s="2">
        <f>Cleaned_Data!L859</f>
        <v/>
      </c>
    </row>
    <row r="860">
      <c r="A860" s="2">
        <f>Cleaned_Data!A860</f>
        <v/>
      </c>
      <c r="B860" s="2">
        <f>Cleaned_Data!B860</f>
        <v/>
      </c>
      <c r="C860" s="2">
        <f>Cleaned_Data!G860</f>
        <v/>
      </c>
      <c r="D860" s="2">
        <f>Cleaned_Data!I860</f>
        <v/>
      </c>
      <c r="E860" s="2">
        <f>Cleaned_Data!H860</f>
        <v/>
      </c>
      <c r="F860" s="2">
        <f>Cleaned_Data!F860</f>
        <v/>
      </c>
      <c r="G860" s="9">
        <f>SUMPRODUCT(($B$2:$B$1196=B860)*($F$2:$F$1196&lt;=F860))/SUMPRODUCT(($B$2:$B$1196=B860)*1)</f>
        <v/>
      </c>
      <c r="H860" s="2">
        <f>Cleaned_Data!J860</f>
        <v/>
      </c>
      <c r="I860" s="2">
        <f>Cleaned_Data!E860</f>
        <v/>
      </c>
      <c r="J860" s="2">
        <f>IF(C860="Yes",1,0)</f>
        <v/>
      </c>
      <c r="K860" s="2">
        <f>MIN(MAX(1-(D860-1)/4,0),1)</f>
        <v/>
      </c>
      <c r="L860" s="2">
        <f>MIN(E860/60,1)</f>
        <v/>
      </c>
      <c r="M860" s="2">
        <f>MIN(MAX(1-G860,0),1)</f>
        <v/>
      </c>
      <c r="N860" s="2">
        <f>MIN(MAX(1-(H860-1)/4,0),1)</f>
        <v/>
      </c>
      <c r="O860" s="2">
        <f>1-MIN(I860/8,1)</f>
        <v/>
      </c>
      <c r="P860" s="10">
        <f>ROUND(100*(J860*Assumptions!$B$6+K860*Assumptions!$B$7+L860*Assumptions!$B$8+M860*Assumptions!$B$9+N860*Assumptions!$B$10+O860*Assumptions!$B$11),1)</f>
        <v/>
      </c>
      <c r="Q860" s="2">
        <f>IF(P860&gt;=Assumptions!$B$14,"High",IF(P860&gt;=Assumptions!$B$15,"Medium","Low"))</f>
        <v/>
      </c>
      <c r="R860" s="2">
        <f>Cleaned_Data!L860</f>
        <v/>
      </c>
    </row>
    <row r="861">
      <c r="A861" s="2">
        <f>Cleaned_Data!A861</f>
        <v/>
      </c>
      <c r="B861" s="2">
        <f>Cleaned_Data!B861</f>
        <v/>
      </c>
      <c r="C861" s="2">
        <f>Cleaned_Data!G861</f>
        <v/>
      </c>
      <c r="D861" s="2">
        <f>Cleaned_Data!I861</f>
        <v/>
      </c>
      <c r="E861" s="2">
        <f>Cleaned_Data!H861</f>
        <v/>
      </c>
      <c r="F861" s="2">
        <f>Cleaned_Data!F861</f>
        <v/>
      </c>
      <c r="G861" s="9">
        <f>SUMPRODUCT(($B$2:$B$1196=B861)*($F$2:$F$1196&lt;=F861))/SUMPRODUCT(($B$2:$B$1196=B861)*1)</f>
        <v/>
      </c>
      <c r="H861" s="2">
        <f>Cleaned_Data!J861</f>
        <v/>
      </c>
      <c r="I861" s="2">
        <f>Cleaned_Data!E861</f>
        <v/>
      </c>
      <c r="J861" s="2">
        <f>IF(C861="Yes",1,0)</f>
        <v/>
      </c>
      <c r="K861" s="2">
        <f>MIN(MAX(1-(D861-1)/4,0),1)</f>
        <v/>
      </c>
      <c r="L861" s="2">
        <f>MIN(E861/60,1)</f>
        <v/>
      </c>
      <c r="M861" s="2">
        <f>MIN(MAX(1-G861,0),1)</f>
        <v/>
      </c>
      <c r="N861" s="2">
        <f>MIN(MAX(1-(H861-1)/4,0),1)</f>
        <v/>
      </c>
      <c r="O861" s="2">
        <f>1-MIN(I861/8,1)</f>
        <v/>
      </c>
      <c r="P861" s="10">
        <f>ROUND(100*(J861*Assumptions!$B$6+K861*Assumptions!$B$7+L861*Assumptions!$B$8+M861*Assumptions!$B$9+N861*Assumptions!$B$10+O861*Assumptions!$B$11),1)</f>
        <v/>
      </c>
      <c r="Q861" s="2">
        <f>IF(P861&gt;=Assumptions!$B$14,"High",IF(P861&gt;=Assumptions!$B$15,"Medium","Low"))</f>
        <v/>
      </c>
      <c r="R861" s="2">
        <f>Cleaned_Data!L861</f>
        <v/>
      </c>
    </row>
    <row r="862">
      <c r="A862" s="2">
        <f>Cleaned_Data!A862</f>
        <v/>
      </c>
      <c r="B862" s="2">
        <f>Cleaned_Data!B862</f>
        <v/>
      </c>
      <c r="C862" s="2">
        <f>Cleaned_Data!G862</f>
        <v/>
      </c>
      <c r="D862" s="2">
        <f>Cleaned_Data!I862</f>
        <v/>
      </c>
      <c r="E862" s="2">
        <f>Cleaned_Data!H862</f>
        <v/>
      </c>
      <c r="F862" s="2">
        <f>Cleaned_Data!F862</f>
        <v/>
      </c>
      <c r="G862" s="9">
        <f>SUMPRODUCT(($B$2:$B$1196=B862)*($F$2:$F$1196&lt;=F862))/SUMPRODUCT(($B$2:$B$1196=B862)*1)</f>
        <v/>
      </c>
      <c r="H862" s="2">
        <f>Cleaned_Data!J862</f>
        <v/>
      </c>
      <c r="I862" s="2">
        <f>Cleaned_Data!E862</f>
        <v/>
      </c>
      <c r="J862" s="2">
        <f>IF(C862="Yes",1,0)</f>
        <v/>
      </c>
      <c r="K862" s="2">
        <f>MIN(MAX(1-(D862-1)/4,0),1)</f>
        <v/>
      </c>
      <c r="L862" s="2">
        <f>MIN(E862/60,1)</f>
        <v/>
      </c>
      <c r="M862" s="2">
        <f>MIN(MAX(1-G862,0),1)</f>
        <v/>
      </c>
      <c r="N862" s="2">
        <f>MIN(MAX(1-(H862-1)/4,0),1)</f>
        <v/>
      </c>
      <c r="O862" s="2">
        <f>1-MIN(I862/8,1)</f>
        <v/>
      </c>
      <c r="P862" s="10">
        <f>ROUND(100*(J862*Assumptions!$B$6+K862*Assumptions!$B$7+L862*Assumptions!$B$8+M862*Assumptions!$B$9+N862*Assumptions!$B$10+O862*Assumptions!$B$11),1)</f>
        <v/>
      </c>
      <c r="Q862" s="2">
        <f>IF(P862&gt;=Assumptions!$B$14,"High",IF(P862&gt;=Assumptions!$B$15,"Medium","Low"))</f>
        <v/>
      </c>
      <c r="R862" s="2">
        <f>Cleaned_Data!L862</f>
        <v/>
      </c>
    </row>
    <row r="863">
      <c r="A863" s="2">
        <f>Cleaned_Data!A863</f>
        <v/>
      </c>
      <c r="B863" s="2">
        <f>Cleaned_Data!B863</f>
        <v/>
      </c>
      <c r="C863" s="2">
        <f>Cleaned_Data!G863</f>
        <v/>
      </c>
      <c r="D863" s="2">
        <f>Cleaned_Data!I863</f>
        <v/>
      </c>
      <c r="E863" s="2">
        <f>Cleaned_Data!H863</f>
        <v/>
      </c>
      <c r="F863" s="2">
        <f>Cleaned_Data!F863</f>
        <v/>
      </c>
      <c r="G863" s="9">
        <f>SUMPRODUCT(($B$2:$B$1196=B863)*($F$2:$F$1196&lt;=F863))/SUMPRODUCT(($B$2:$B$1196=B863)*1)</f>
        <v/>
      </c>
      <c r="H863" s="2">
        <f>Cleaned_Data!J863</f>
        <v/>
      </c>
      <c r="I863" s="2">
        <f>Cleaned_Data!E863</f>
        <v/>
      </c>
      <c r="J863" s="2">
        <f>IF(C863="Yes",1,0)</f>
        <v/>
      </c>
      <c r="K863" s="2">
        <f>MIN(MAX(1-(D863-1)/4,0),1)</f>
        <v/>
      </c>
      <c r="L863" s="2">
        <f>MIN(E863/60,1)</f>
        <v/>
      </c>
      <c r="M863" s="2">
        <f>MIN(MAX(1-G863,0),1)</f>
        <v/>
      </c>
      <c r="N863" s="2">
        <f>MIN(MAX(1-(H863-1)/4,0),1)</f>
        <v/>
      </c>
      <c r="O863" s="2">
        <f>1-MIN(I863/8,1)</f>
        <v/>
      </c>
      <c r="P863" s="10">
        <f>ROUND(100*(J863*Assumptions!$B$6+K863*Assumptions!$B$7+L863*Assumptions!$B$8+M863*Assumptions!$B$9+N863*Assumptions!$B$10+O863*Assumptions!$B$11),1)</f>
        <v/>
      </c>
      <c r="Q863" s="2">
        <f>IF(P863&gt;=Assumptions!$B$14,"High",IF(P863&gt;=Assumptions!$B$15,"Medium","Low"))</f>
        <v/>
      </c>
      <c r="R863" s="2">
        <f>Cleaned_Data!L863</f>
        <v/>
      </c>
    </row>
    <row r="864">
      <c r="A864" s="2">
        <f>Cleaned_Data!A864</f>
        <v/>
      </c>
      <c r="B864" s="2">
        <f>Cleaned_Data!B864</f>
        <v/>
      </c>
      <c r="C864" s="2">
        <f>Cleaned_Data!G864</f>
        <v/>
      </c>
      <c r="D864" s="2">
        <f>Cleaned_Data!I864</f>
        <v/>
      </c>
      <c r="E864" s="2">
        <f>Cleaned_Data!H864</f>
        <v/>
      </c>
      <c r="F864" s="2">
        <f>Cleaned_Data!F864</f>
        <v/>
      </c>
      <c r="G864" s="9">
        <f>SUMPRODUCT(($B$2:$B$1196=B864)*($F$2:$F$1196&lt;=F864))/SUMPRODUCT(($B$2:$B$1196=B864)*1)</f>
        <v/>
      </c>
      <c r="H864" s="2">
        <f>Cleaned_Data!J864</f>
        <v/>
      </c>
      <c r="I864" s="2">
        <f>Cleaned_Data!E864</f>
        <v/>
      </c>
      <c r="J864" s="2">
        <f>IF(C864="Yes",1,0)</f>
        <v/>
      </c>
      <c r="K864" s="2">
        <f>MIN(MAX(1-(D864-1)/4,0),1)</f>
        <v/>
      </c>
      <c r="L864" s="2">
        <f>MIN(E864/60,1)</f>
        <v/>
      </c>
      <c r="M864" s="2">
        <f>MIN(MAX(1-G864,0),1)</f>
        <v/>
      </c>
      <c r="N864" s="2">
        <f>MIN(MAX(1-(H864-1)/4,0),1)</f>
        <v/>
      </c>
      <c r="O864" s="2">
        <f>1-MIN(I864/8,1)</f>
        <v/>
      </c>
      <c r="P864" s="10">
        <f>ROUND(100*(J864*Assumptions!$B$6+K864*Assumptions!$B$7+L864*Assumptions!$B$8+M864*Assumptions!$B$9+N864*Assumptions!$B$10+O864*Assumptions!$B$11),1)</f>
        <v/>
      </c>
      <c r="Q864" s="2">
        <f>IF(P864&gt;=Assumptions!$B$14,"High",IF(P864&gt;=Assumptions!$B$15,"Medium","Low"))</f>
        <v/>
      </c>
      <c r="R864" s="2">
        <f>Cleaned_Data!L864</f>
        <v/>
      </c>
    </row>
    <row r="865">
      <c r="A865" s="2">
        <f>Cleaned_Data!A865</f>
        <v/>
      </c>
      <c r="B865" s="2">
        <f>Cleaned_Data!B865</f>
        <v/>
      </c>
      <c r="C865" s="2">
        <f>Cleaned_Data!G865</f>
        <v/>
      </c>
      <c r="D865" s="2">
        <f>Cleaned_Data!I865</f>
        <v/>
      </c>
      <c r="E865" s="2">
        <f>Cleaned_Data!H865</f>
        <v/>
      </c>
      <c r="F865" s="2">
        <f>Cleaned_Data!F865</f>
        <v/>
      </c>
      <c r="G865" s="9">
        <f>SUMPRODUCT(($B$2:$B$1196=B865)*($F$2:$F$1196&lt;=F865))/SUMPRODUCT(($B$2:$B$1196=B865)*1)</f>
        <v/>
      </c>
      <c r="H865" s="2">
        <f>Cleaned_Data!J865</f>
        <v/>
      </c>
      <c r="I865" s="2">
        <f>Cleaned_Data!E865</f>
        <v/>
      </c>
      <c r="J865" s="2">
        <f>IF(C865="Yes",1,0)</f>
        <v/>
      </c>
      <c r="K865" s="2">
        <f>MIN(MAX(1-(D865-1)/4,0),1)</f>
        <v/>
      </c>
      <c r="L865" s="2">
        <f>MIN(E865/60,1)</f>
        <v/>
      </c>
      <c r="M865" s="2">
        <f>MIN(MAX(1-G865,0),1)</f>
        <v/>
      </c>
      <c r="N865" s="2">
        <f>MIN(MAX(1-(H865-1)/4,0),1)</f>
        <v/>
      </c>
      <c r="O865" s="2">
        <f>1-MIN(I865/8,1)</f>
        <v/>
      </c>
      <c r="P865" s="10">
        <f>ROUND(100*(J865*Assumptions!$B$6+K865*Assumptions!$B$7+L865*Assumptions!$B$8+M865*Assumptions!$B$9+N865*Assumptions!$B$10+O865*Assumptions!$B$11),1)</f>
        <v/>
      </c>
      <c r="Q865" s="2">
        <f>IF(P865&gt;=Assumptions!$B$14,"High",IF(P865&gt;=Assumptions!$B$15,"Medium","Low"))</f>
        <v/>
      </c>
      <c r="R865" s="2">
        <f>Cleaned_Data!L865</f>
        <v/>
      </c>
    </row>
    <row r="866">
      <c r="A866" s="2">
        <f>Cleaned_Data!A866</f>
        <v/>
      </c>
      <c r="B866" s="2">
        <f>Cleaned_Data!B866</f>
        <v/>
      </c>
      <c r="C866" s="2">
        <f>Cleaned_Data!G866</f>
        <v/>
      </c>
      <c r="D866" s="2">
        <f>Cleaned_Data!I866</f>
        <v/>
      </c>
      <c r="E866" s="2">
        <f>Cleaned_Data!H866</f>
        <v/>
      </c>
      <c r="F866" s="2">
        <f>Cleaned_Data!F866</f>
        <v/>
      </c>
      <c r="G866" s="9">
        <f>SUMPRODUCT(($B$2:$B$1196=B866)*($F$2:$F$1196&lt;=F866))/SUMPRODUCT(($B$2:$B$1196=B866)*1)</f>
        <v/>
      </c>
      <c r="H866" s="2">
        <f>Cleaned_Data!J866</f>
        <v/>
      </c>
      <c r="I866" s="2">
        <f>Cleaned_Data!E866</f>
        <v/>
      </c>
      <c r="J866" s="2">
        <f>IF(C866="Yes",1,0)</f>
        <v/>
      </c>
      <c r="K866" s="2">
        <f>MIN(MAX(1-(D866-1)/4,0),1)</f>
        <v/>
      </c>
      <c r="L866" s="2">
        <f>MIN(E866/60,1)</f>
        <v/>
      </c>
      <c r="M866" s="2">
        <f>MIN(MAX(1-G866,0),1)</f>
        <v/>
      </c>
      <c r="N866" s="2">
        <f>MIN(MAX(1-(H866-1)/4,0),1)</f>
        <v/>
      </c>
      <c r="O866" s="2">
        <f>1-MIN(I866/8,1)</f>
        <v/>
      </c>
      <c r="P866" s="10">
        <f>ROUND(100*(J866*Assumptions!$B$6+K866*Assumptions!$B$7+L866*Assumptions!$B$8+M866*Assumptions!$B$9+N866*Assumptions!$B$10+O866*Assumptions!$B$11),1)</f>
        <v/>
      </c>
      <c r="Q866" s="2">
        <f>IF(P866&gt;=Assumptions!$B$14,"High",IF(P866&gt;=Assumptions!$B$15,"Medium","Low"))</f>
        <v/>
      </c>
      <c r="R866" s="2">
        <f>Cleaned_Data!L866</f>
        <v/>
      </c>
    </row>
    <row r="867">
      <c r="A867" s="2">
        <f>Cleaned_Data!A867</f>
        <v/>
      </c>
      <c r="B867" s="2">
        <f>Cleaned_Data!B867</f>
        <v/>
      </c>
      <c r="C867" s="2">
        <f>Cleaned_Data!G867</f>
        <v/>
      </c>
      <c r="D867" s="2">
        <f>Cleaned_Data!I867</f>
        <v/>
      </c>
      <c r="E867" s="2">
        <f>Cleaned_Data!H867</f>
        <v/>
      </c>
      <c r="F867" s="2">
        <f>Cleaned_Data!F867</f>
        <v/>
      </c>
      <c r="G867" s="9">
        <f>SUMPRODUCT(($B$2:$B$1196=B867)*($F$2:$F$1196&lt;=F867))/SUMPRODUCT(($B$2:$B$1196=B867)*1)</f>
        <v/>
      </c>
      <c r="H867" s="2">
        <f>Cleaned_Data!J867</f>
        <v/>
      </c>
      <c r="I867" s="2">
        <f>Cleaned_Data!E867</f>
        <v/>
      </c>
      <c r="J867" s="2">
        <f>IF(C867="Yes",1,0)</f>
        <v/>
      </c>
      <c r="K867" s="2">
        <f>MIN(MAX(1-(D867-1)/4,0),1)</f>
        <v/>
      </c>
      <c r="L867" s="2">
        <f>MIN(E867/60,1)</f>
        <v/>
      </c>
      <c r="M867" s="2">
        <f>MIN(MAX(1-G867,0),1)</f>
        <v/>
      </c>
      <c r="N867" s="2">
        <f>MIN(MAX(1-(H867-1)/4,0),1)</f>
        <v/>
      </c>
      <c r="O867" s="2">
        <f>1-MIN(I867/8,1)</f>
        <v/>
      </c>
      <c r="P867" s="10">
        <f>ROUND(100*(J867*Assumptions!$B$6+K867*Assumptions!$B$7+L867*Assumptions!$B$8+M867*Assumptions!$B$9+N867*Assumptions!$B$10+O867*Assumptions!$B$11),1)</f>
        <v/>
      </c>
      <c r="Q867" s="2">
        <f>IF(P867&gt;=Assumptions!$B$14,"High",IF(P867&gt;=Assumptions!$B$15,"Medium","Low"))</f>
        <v/>
      </c>
      <c r="R867" s="2">
        <f>Cleaned_Data!L867</f>
        <v/>
      </c>
    </row>
    <row r="868">
      <c r="A868" s="2">
        <f>Cleaned_Data!A868</f>
        <v/>
      </c>
      <c r="B868" s="2">
        <f>Cleaned_Data!B868</f>
        <v/>
      </c>
      <c r="C868" s="2">
        <f>Cleaned_Data!G868</f>
        <v/>
      </c>
      <c r="D868" s="2">
        <f>Cleaned_Data!I868</f>
        <v/>
      </c>
      <c r="E868" s="2">
        <f>Cleaned_Data!H868</f>
        <v/>
      </c>
      <c r="F868" s="2">
        <f>Cleaned_Data!F868</f>
        <v/>
      </c>
      <c r="G868" s="9">
        <f>SUMPRODUCT(($B$2:$B$1196=B868)*($F$2:$F$1196&lt;=F868))/SUMPRODUCT(($B$2:$B$1196=B868)*1)</f>
        <v/>
      </c>
      <c r="H868" s="2">
        <f>Cleaned_Data!J868</f>
        <v/>
      </c>
      <c r="I868" s="2">
        <f>Cleaned_Data!E868</f>
        <v/>
      </c>
      <c r="J868" s="2">
        <f>IF(C868="Yes",1,0)</f>
        <v/>
      </c>
      <c r="K868" s="2">
        <f>MIN(MAX(1-(D868-1)/4,0),1)</f>
        <v/>
      </c>
      <c r="L868" s="2">
        <f>MIN(E868/60,1)</f>
        <v/>
      </c>
      <c r="M868" s="2">
        <f>MIN(MAX(1-G868,0),1)</f>
        <v/>
      </c>
      <c r="N868" s="2">
        <f>MIN(MAX(1-(H868-1)/4,0),1)</f>
        <v/>
      </c>
      <c r="O868" s="2">
        <f>1-MIN(I868/8,1)</f>
        <v/>
      </c>
      <c r="P868" s="10">
        <f>ROUND(100*(J868*Assumptions!$B$6+K868*Assumptions!$B$7+L868*Assumptions!$B$8+M868*Assumptions!$B$9+N868*Assumptions!$B$10+O868*Assumptions!$B$11),1)</f>
        <v/>
      </c>
      <c r="Q868" s="2">
        <f>IF(P868&gt;=Assumptions!$B$14,"High",IF(P868&gt;=Assumptions!$B$15,"Medium","Low"))</f>
        <v/>
      </c>
      <c r="R868" s="2">
        <f>Cleaned_Data!L868</f>
        <v/>
      </c>
    </row>
    <row r="869">
      <c r="A869" s="2">
        <f>Cleaned_Data!A869</f>
        <v/>
      </c>
      <c r="B869" s="2">
        <f>Cleaned_Data!B869</f>
        <v/>
      </c>
      <c r="C869" s="2">
        <f>Cleaned_Data!G869</f>
        <v/>
      </c>
      <c r="D869" s="2">
        <f>Cleaned_Data!I869</f>
        <v/>
      </c>
      <c r="E869" s="2">
        <f>Cleaned_Data!H869</f>
        <v/>
      </c>
      <c r="F869" s="2">
        <f>Cleaned_Data!F869</f>
        <v/>
      </c>
      <c r="G869" s="9">
        <f>SUMPRODUCT(($B$2:$B$1196=B869)*($F$2:$F$1196&lt;=F869))/SUMPRODUCT(($B$2:$B$1196=B869)*1)</f>
        <v/>
      </c>
      <c r="H869" s="2">
        <f>Cleaned_Data!J869</f>
        <v/>
      </c>
      <c r="I869" s="2">
        <f>Cleaned_Data!E869</f>
        <v/>
      </c>
      <c r="J869" s="2">
        <f>IF(C869="Yes",1,0)</f>
        <v/>
      </c>
      <c r="K869" s="2">
        <f>MIN(MAX(1-(D869-1)/4,0),1)</f>
        <v/>
      </c>
      <c r="L869" s="2">
        <f>MIN(E869/60,1)</f>
        <v/>
      </c>
      <c r="M869" s="2">
        <f>MIN(MAX(1-G869,0),1)</f>
        <v/>
      </c>
      <c r="N869" s="2">
        <f>MIN(MAX(1-(H869-1)/4,0),1)</f>
        <v/>
      </c>
      <c r="O869" s="2">
        <f>1-MIN(I869/8,1)</f>
        <v/>
      </c>
      <c r="P869" s="10">
        <f>ROUND(100*(J869*Assumptions!$B$6+K869*Assumptions!$B$7+L869*Assumptions!$B$8+M869*Assumptions!$B$9+N869*Assumptions!$B$10+O869*Assumptions!$B$11),1)</f>
        <v/>
      </c>
      <c r="Q869" s="2">
        <f>IF(P869&gt;=Assumptions!$B$14,"High",IF(P869&gt;=Assumptions!$B$15,"Medium","Low"))</f>
        <v/>
      </c>
      <c r="R869" s="2">
        <f>Cleaned_Data!L869</f>
        <v/>
      </c>
    </row>
    <row r="870">
      <c r="A870" s="2">
        <f>Cleaned_Data!A870</f>
        <v/>
      </c>
      <c r="B870" s="2">
        <f>Cleaned_Data!B870</f>
        <v/>
      </c>
      <c r="C870" s="2">
        <f>Cleaned_Data!G870</f>
        <v/>
      </c>
      <c r="D870" s="2">
        <f>Cleaned_Data!I870</f>
        <v/>
      </c>
      <c r="E870" s="2">
        <f>Cleaned_Data!H870</f>
        <v/>
      </c>
      <c r="F870" s="2">
        <f>Cleaned_Data!F870</f>
        <v/>
      </c>
      <c r="G870" s="9">
        <f>SUMPRODUCT(($B$2:$B$1196=B870)*($F$2:$F$1196&lt;=F870))/SUMPRODUCT(($B$2:$B$1196=B870)*1)</f>
        <v/>
      </c>
      <c r="H870" s="2">
        <f>Cleaned_Data!J870</f>
        <v/>
      </c>
      <c r="I870" s="2">
        <f>Cleaned_Data!E870</f>
        <v/>
      </c>
      <c r="J870" s="2">
        <f>IF(C870="Yes",1,0)</f>
        <v/>
      </c>
      <c r="K870" s="2">
        <f>MIN(MAX(1-(D870-1)/4,0),1)</f>
        <v/>
      </c>
      <c r="L870" s="2">
        <f>MIN(E870/60,1)</f>
        <v/>
      </c>
      <c r="M870" s="2">
        <f>MIN(MAX(1-G870,0),1)</f>
        <v/>
      </c>
      <c r="N870" s="2">
        <f>MIN(MAX(1-(H870-1)/4,0),1)</f>
        <v/>
      </c>
      <c r="O870" s="2">
        <f>1-MIN(I870/8,1)</f>
        <v/>
      </c>
      <c r="P870" s="10">
        <f>ROUND(100*(J870*Assumptions!$B$6+K870*Assumptions!$B$7+L870*Assumptions!$B$8+M870*Assumptions!$B$9+N870*Assumptions!$B$10+O870*Assumptions!$B$11),1)</f>
        <v/>
      </c>
      <c r="Q870" s="2">
        <f>IF(P870&gt;=Assumptions!$B$14,"High",IF(P870&gt;=Assumptions!$B$15,"Medium","Low"))</f>
        <v/>
      </c>
      <c r="R870" s="2">
        <f>Cleaned_Data!L870</f>
        <v/>
      </c>
    </row>
    <row r="871">
      <c r="A871" s="2">
        <f>Cleaned_Data!A871</f>
        <v/>
      </c>
      <c r="B871" s="2">
        <f>Cleaned_Data!B871</f>
        <v/>
      </c>
      <c r="C871" s="2">
        <f>Cleaned_Data!G871</f>
        <v/>
      </c>
      <c r="D871" s="2">
        <f>Cleaned_Data!I871</f>
        <v/>
      </c>
      <c r="E871" s="2">
        <f>Cleaned_Data!H871</f>
        <v/>
      </c>
      <c r="F871" s="2">
        <f>Cleaned_Data!F871</f>
        <v/>
      </c>
      <c r="G871" s="9">
        <f>SUMPRODUCT(($B$2:$B$1196=B871)*($F$2:$F$1196&lt;=F871))/SUMPRODUCT(($B$2:$B$1196=B871)*1)</f>
        <v/>
      </c>
      <c r="H871" s="2">
        <f>Cleaned_Data!J871</f>
        <v/>
      </c>
      <c r="I871" s="2">
        <f>Cleaned_Data!E871</f>
        <v/>
      </c>
      <c r="J871" s="2">
        <f>IF(C871="Yes",1,0)</f>
        <v/>
      </c>
      <c r="K871" s="2">
        <f>MIN(MAX(1-(D871-1)/4,0),1)</f>
        <v/>
      </c>
      <c r="L871" s="2">
        <f>MIN(E871/60,1)</f>
        <v/>
      </c>
      <c r="M871" s="2">
        <f>MIN(MAX(1-G871,0),1)</f>
        <v/>
      </c>
      <c r="N871" s="2">
        <f>MIN(MAX(1-(H871-1)/4,0),1)</f>
        <v/>
      </c>
      <c r="O871" s="2">
        <f>1-MIN(I871/8,1)</f>
        <v/>
      </c>
      <c r="P871" s="10">
        <f>ROUND(100*(J871*Assumptions!$B$6+K871*Assumptions!$B$7+L871*Assumptions!$B$8+M871*Assumptions!$B$9+N871*Assumptions!$B$10+O871*Assumptions!$B$11),1)</f>
        <v/>
      </c>
      <c r="Q871" s="2">
        <f>IF(P871&gt;=Assumptions!$B$14,"High",IF(P871&gt;=Assumptions!$B$15,"Medium","Low"))</f>
        <v/>
      </c>
      <c r="R871" s="2">
        <f>Cleaned_Data!L871</f>
        <v/>
      </c>
    </row>
    <row r="872">
      <c r="A872" s="2">
        <f>Cleaned_Data!A872</f>
        <v/>
      </c>
      <c r="B872" s="2">
        <f>Cleaned_Data!B872</f>
        <v/>
      </c>
      <c r="C872" s="2">
        <f>Cleaned_Data!G872</f>
        <v/>
      </c>
      <c r="D872" s="2">
        <f>Cleaned_Data!I872</f>
        <v/>
      </c>
      <c r="E872" s="2">
        <f>Cleaned_Data!H872</f>
        <v/>
      </c>
      <c r="F872" s="2">
        <f>Cleaned_Data!F872</f>
        <v/>
      </c>
      <c r="G872" s="9">
        <f>SUMPRODUCT(($B$2:$B$1196=B872)*($F$2:$F$1196&lt;=F872))/SUMPRODUCT(($B$2:$B$1196=B872)*1)</f>
        <v/>
      </c>
      <c r="H872" s="2">
        <f>Cleaned_Data!J872</f>
        <v/>
      </c>
      <c r="I872" s="2">
        <f>Cleaned_Data!E872</f>
        <v/>
      </c>
      <c r="J872" s="2">
        <f>IF(C872="Yes",1,0)</f>
        <v/>
      </c>
      <c r="K872" s="2">
        <f>MIN(MAX(1-(D872-1)/4,0),1)</f>
        <v/>
      </c>
      <c r="L872" s="2">
        <f>MIN(E872/60,1)</f>
        <v/>
      </c>
      <c r="M872" s="2">
        <f>MIN(MAX(1-G872,0),1)</f>
        <v/>
      </c>
      <c r="N872" s="2">
        <f>MIN(MAX(1-(H872-1)/4,0),1)</f>
        <v/>
      </c>
      <c r="O872" s="2">
        <f>1-MIN(I872/8,1)</f>
        <v/>
      </c>
      <c r="P872" s="10">
        <f>ROUND(100*(J872*Assumptions!$B$6+K872*Assumptions!$B$7+L872*Assumptions!$B$8+M872*Assumptions!$B$9+N872*Assumptions!$B$10+O872*Assumptions!$B$11),1)</f>
        <v/>
      </c>
      <c r="Q872" s="2">
        <f>IF(P872&gt;=Assumptions!$B$14,"High",IF(P872&gt;=Assumptions!$B$15,"Medium","Low"))</f>
        <v/>
      </c>
      <c r="R872" s="2">
        <f>Cleaned_Data!L872</f>
        <v/>
      </c>
    </row>
    <row r="873">
      <c r="A873" s="2">
        <f>Cleaned_Data!A873</f>
        <v/>
      </c>
      <c r="B873" s="2">
        <f>Cleaned_Data!B873</f>
        <v/>
      </c>
      <c r="C873" s="2">
        <f>Cleaned_Data!G873</f>
        <v/>
      </c>
      <c r="D873" s="2">
        <f>Cleaned_Data!I873</f>
        <v/>
      </c>
      <c r="E873" s="2">
        <f>Cleaned_Data!H873</f>
        <v/>
      </c>
      <c r="F873" s="2">
        <f>Cleaned_Data!F873</f>
        <v/>
      </c>
      <c r="G873" s="9">
        <f>SUMPRODUCT(($B$2:$B$1196=B873)*($F$2:$F$1196&lt;=F873))/SUMPRODUCT(($B$2:$B$1196=B873)*1)</f>
        <v/>
      </c>
      <c r="H873" s="2">
        <f>Cleaned_Data!J873</f>
        <v/>
      </c>
      <c r="I873" s="2">
        <f>Cleaned_Data!E873</f>
        <v/>
      </c>
      <c r="J873" s="2">
        <f>IF(C873="Yes",1,0)</f>
        <v/>
      </c>
      <c r="K873" s="2">
        <f>MIN(MAX(1-(D873-1)/4,0),1)</f>
        <v/>
      </c>
      <c r="L873" s="2">
        <f>MIN(E873/60,1)</f>
        <v/>
      </c>
      <c r="M873" s="2">
        <f>MIN(MAX(1-G873,0),1)</f>
        <v/>
      </c>
      <c r="N873" s="2">
        <f>MIN(MAX(1-(H873-1)/4,0),1)</f>
        <v/>
      </c>
      <c r="O873" s="2">
        <f>1-MIN(I873/8,1)</f>
        <v/>
      </c>
      <c r="P873" s="10">
        <f>ROUND(100*(J873*Assumptions!$B$6+K873*Assumptions!$B$7+L873*Assumptions!$B$8+M873*Assumptions!$B$9+N873*Assumptions!$B$10+O873*Assumptions!$B$11),1)</f>
        <v/>
      </c>
      <c r="Q873" s="2">
        <f>IF(P873&gt;=Assumptions!$B$14,"High",IF(P873&gt;=Assumptions!$B$15,"Medium","Low"))</f>
        <v/>
      </c>
      <c r="R873" s="2">
        <f>Cleaned_Data!L873</f>
        <v/>
      </c>
    </row>
    <row r="874">
      <c r="A874" s="2">
        <f>Cleaned_Data!A874</f>
        <v/>
      </c>
      <c r="B874" s="2">
        <f>Cleaned_Data!B874</f>
        <v/>
      </c>
      <c r="C874" s="2">
        <f>Cleaned_Data!G874</f>
        <v/>
      </c>
      <c r="D874" s="2">
        <f>Cleaned_Data!I874</f>
        <v/>
      </c>
      <c r="E874" s="2">
        <f>Cleaned_Data!H874</f>
        <v/>
      </c>
      <c r="F874" s="2">
        <f>Cleaned_Data!F874</f>
        <v/>
      </c>
      <c r="G874" s="9">
        <f>SUMPRODUCT(($B$2:$B$1196=B874)*($F$2:$F$1196&lt;=F874))/SUMPRODUCT(($B$2:$B$1196=B874)*1)</f>
        <v/>
      </c>
      <c r="H874" s="2">
        <f>Cleaned_Data!J874</f>
        <v/>
      </c>
      <c r="I874" s="2">
        <f>Cleaned_Data!E874</f>
        <v/>
      </c>
      <c r="J874" s="2">
        <f>IF(C874="Yes",1,0)</f>
        <v/>
      </c>
      <c r="K874" s="2">
        <f>MIN(MAX(1-(D874-1)/4,0),1)</f>
        <v/>
      </c>
      <c r="L874" s="2">
        <f>MIN(E874/60,1)</f>
        <v/>
      </c>
      <c r="M874" s="2">
        <f>MIN(MAX(1-G874,0),1)</f>
        <v/>
      </c>
      <c r="N874" s="2">
        <f>MIN(MAX(1-(H874-1)/4,0),1)</f>
        <v/>
      </c>
      <c r="O874" s="2">
        <f>1-MIN(I874/8,1)</f>
        <v/>
      </c>
      <c r="P874" s="10">
        <f>ROUND(100*(J874*Assumptions!$B$6+K874*Assumptions!$B$7+L874*Assumptions!$B$8+M874*Assumptions!$B$9+N874*Assumptions!$B$10+O874*Assumptions!$B$11),1)</f>
        <v/>
      </c>
      <c r="Q874" s="2">
        <f>IF(P874&gt;=Assumptions!$B$14,"High",IF(P874&gt;=Assumptions!$B$15,"Medium","Low"))</f>
        <v/>
      </c>
      <c r="R874" s="2">
        <f>Cleaned_Data!L874</f>
        <v/>
      </c>
    </row>
    <row r="875">
      <c r="A875" s="2">
        <f>Cleaned_Data!A875</f>
        <v/>
      </c>
      <c r="B875" s="2">
        <f>Cleaned_Data!B875</f>
        <v/>
      </c>
      <c r="C875" s="2">
        <f>Cleaned_Data!G875</f>
        <v/>
      </c>
      <c r="D875" s="2">
        <f>Cleaned_Data!I875</f>
        <v/>
      </c>
      <c r="E875" s="2">
        <f>Cleaned_Data!H875</f>
        <v/>
      </c>
      <c r="F875" s="2">
        <f>Cleaned_Data!F875</f>
        <v/>
      </c>
      <c r="G875" s="9">
        <f>SUMPRODUCT(($B$2:$B$1196=B875)*($F$2:$F$1196&lt;=F875))/SUMPRODUCT(($B$2:$B$1196=B875)*1)</f>
        <v/>
      </c>
      <c r="H875" s="2">
        <f>Cleaned_Data!J875</f>
        <v/>
      </c>
      <c r="I875" s="2">
        <f>Cleaned_Data!E875</f>
        <v/>
      </c>
      <c r="J875" s="2">
        <f>IF(C875="Yes",1,0)</f>
        <v/>
      </c>
      <c r="K875" s="2">
        <f>MIN(MAX(1-(D875-1)/4,0),1)</f>
        <v/>
      </c>
      <c r="L875" s="2">
        <f>MIN(E875/60,1)</f>
        <v/>
      </c>
      <c r="M875" s="2">
        <f>MIN(MAX(1-G875,0),1)</f>
        <v/>
      </c>
      <c r="N875" s="2">
        <f>MIN(MAX(1-(H875-1)/4,0),1)</f>
        <v/>
      </c>
      <c r="O875" s="2">
        <f>1-MIN(I875/8,1)</f>
        <v/>
      </c>
      <c r="P875" s="10">
        <f>ROUND(100*(J875*Assumptions!$B$6+K875*Assumptions!$B$7+L875*Assumptions!$B$8+M875*Assumptions!$B$9+N875*Assumptions!$B$10+O875*Assumptions!$B$11),1)</f>
        <v/>
      </c>
      <c r="Q875" s="2">
        <f>IF(P875&gt;=Assumptions!$B$14,"High",IF(P875&gt;=Assumptions!$B$15,"Medium","Low"))</f>
        <v/>
      </c>
      <c r="R875" s="2">
        <f>Cleaned_Data!L875</f>
        <v/>
      </c>
    </row>
    <row r="876">
      <c r="A876" s="2">
        <f>Cleaned_Data!A876</f>
        <v/>
      </c>
      <c r="B876" s="2">
        <f>Cleaned_Data!B876</f>
        <v/>
      </c>
      <c r="C876" s="2">
        <f>Cleaned_Data!G876</f>
        <v/>
      </c>
      <c r="D876" s="2">
        <f>Cleaned_Data!I876</f>
        <v/>
      </c>
      <c r="E876" s="2">
        <f>Cleaned_Data!H876</f>
        <v/>
      </c>
      <c r="F876" s="2">
        <f>Cleaned_Data!F876</f>
        <v/>
      </c>
      <c r="G876" s="9">
        <f>SUMPRODUCT(($B$2:$B$1196=B876)*($F$2:$F$1196&lt;=F876))/SUMPRODUCT(($B$2:$B$1196=B876)*1)</f>
        <v/>
      </c>
      <c r="H876" s="2">
        <f>Cleaned_Data!J876</f>
        <v/>
      </c>
      <c r="I876" s="2">
        <f>Cleaned_Data!E876</f>
        <v/>
      </c>
      <c r="J876" s="2">
        <f>IF(C876="Yes",1,0)</f>
        <v/>
      </c>
      <c r="K876" s="2">
        <f>MIN(MAX(1-(D876-1)/4,0),1)</f>
        <v/>
      </c>
      <c r="L876" s="2">
        <f>MIN(E876/60,1)</f>
        <v/>
      </c>
      <c r="M876" s="2">
        <f>MIN(MAX(1-G876,0),1)</f>
        <v/>
      </c>
      <c r="N876" s="2">
        <f>MIN(MAX(1-(H876-1)/4,0),1)</f>
        <v/>
      </c>
      <c r="O876" s="2">
        <f>1-MIN(I876/8,1)</f>
        <v/>
      </c>
      <c r="P876" s="10">
        <f>ROUND(100*(J876*Assumptions!$B$6+K876*Assumptions!$B$7+L876*Assumptions!$B$8+M876*Assumptions!$B$9+N876*Assumptions!$B$10+O876*Assumptions!$B$11),1)</f>
        <v/>
      </c>
      <c r="Q876" s="2">
        <f>IF(P876&gt;=Assumptions!$B$14,"High",IF(P876&gt;=Assumptions!$B$15,"Medium","Low"))</f>
        <v/>
      </c>
      <c r="R876" s="2">
        <f>Cleaned_Data!L876</f>
        <v/>
      </c>
    </row>
    <row r="877">
      <c r="A877" s="2">
        <f>Cleaned_Data!A877</f>
        <v/>
      </c>
      <c r="B877" s="2">
        <f>Cleaned_Data!B877</f>
        <v/>
      </c>
      <c r="C877" s="2">
        <f>Cleaned_Data!G877</f>
        <v/>
      </c>
      <c r="D877" s="2">
        <f>Cleaned_Data!I877</f>
        <v/>
      </c>
      <c r="E877" s="2">
        <f>Cleaned_Data!H877</f>
        <v/>
      </c>
      <c r="F877" s="2">
        <f>Cleaned_Data!F877</f>
        <v/>
      </c>
      <c r="G877" s="9">
        <f>SUMPRODUCT(($B$2:$B$1196=B877)*($F$2:$F$1196&lt;=F877))/SUMPRODUCT(($B$2:$B$1196=B877)*1)</f>
        <v/>
      </c>
      <c r="H877" s="2">
        <f>Cleaned_Data!J877</f>
        <v/>
      </c>
      <c r="I877" s="2">
        <f>Cleaned_Data!E877</f>
        <v/>
      </c>
      <c r="J877" s="2">
        <f>IF(C877="Yes",1,0)</f>
        <v/>
      </c>
      <c r="K877" s="2">
        <f>MIN(MAX(1-(D877-1)/4,0),1)</f>
        <v/>
      </c>
      <c r="L877" s="2">
        <f>MIN(E877/60,1)</f>
        <v/>
      </c>
      <c r="M877" s="2">
        <f>MIN(MAX(1-G877,0),1)</f>
        <v/>
      </c>
      <c r="N877" s="2">
        <f>MIN(MAX(1-(H877-1)/4,0),1)</f>
        <v/>
      </c>
      <c r="O877" s="2">
        <f>1-MIN(I877/8,1)</f>
        <v/>
      </c>
      <c r="P877" s="10">
        <f>ROUND(100*(J877*Assumptions!$B$6+K877*Assumptions!$B$7+L877*Assumptions!$B$8+M877*Assumptions!$B$9+N877*Assumptions!$B$10+O877*Assumptions!$B$11),1)</f>
        <v/>
      </c>
      <c r="Q877" s="2">
        <f>IF(P877&gt;=Assumptions!$B$14,"High",IF(P877&gt;=Assumptions!$B$15,"Medium","Low"))</f>
        <v/>
      </c>
      <c r="R877" s="2">
        <f>Cleaned_Data!L877</f>
        <v/>
      </c>
    </row>
    <row r="878">
      <c r="A878" s="2">
        <f>Cleaned_Data!A878</f>
        <v/>
      </c>
      <c r="B878" s="2">
        <f>Cleaned_Data!B878</f>
        <v/>
      </c>
      <c r="C878" s="2">
        <f>Cleaned_Data!G878</f>
        <v/>
      </c>
      <c r="D878" s="2">
        <f>Cleaned_Data!I878</f>
        <v/>
      </c>
      <c r="E878" s="2">
        <f>Cleaned_Data!H878</f>
        <v/>
      </c>
      <c r="F878" s="2">
        <f>Cleaned_Data!F878</f>
        <v/>
      </c>
      <c r="G878" s="9">
        <f>SUMPRODUCT(($B$2:$B$1196=B878)*($F$2:$F$1196&lt;=F878))/SUMPRODUCT(($B$2:$B$1196=B878)*1)</f>
        <v/>
      </c>
      <c r="H878" s="2">
        <f>Cleaned_Data!J878</f>
        <v/>
      </c>
      <c r="I878" s="2">
        <f>Cleaned_Data!E878</f>
        <v/>
      </c>
      <c r="J878" s="2">
        <f>IF(C878="Yes",1,0)</f>
        <v/>
      </c>
      <c r="K878" s="2">
        <f>MIN(MAX(1-(D878-1)/4,0),1)</f>
        <v/>
      </c>
      <c r="L878" s="2">
        <f>MIN(E878/60,1)</f>
        <v/>
      </c>
      <c r="M878" s="2">
        <f>MIN(MAX(1-G878,0),1)</f>
        <v/>
      </c>
      <c r="N878" s="2">
        <f>MIN(MAX(1-(H878-1)/4,0),1)</f>
        <v/>
      </c>
      <c r="O878" s="2">
        <f>1-MIN(I878/8,1)</f>
        <v/>
      </c>
      <c r="P878" s="10">
        <f>ROUND(100*(J878*Assumptions!$B$6+K878*Assumptions!$B$7+L878*Assumptions!$B$8+M878*Assumptions!$B$9+N878*Assumptions!$B$10+O878*Assumptions!$B$11),1)</f>
        <v/>
      </c>
      <c r="Q878" s="2">
        <f>IF(P878&gt;=Assumptions!$B$14,"High",IF(P878&gt;=Assumptions!$B$15,"Medium","Low"))</f>
        <v/>
      </c>
      <c r="R878" s="2">
        <f>Cleaned_Data!L878</f>
        <v/>
      </c>
    </row>
    <row r="879">
      <c r="A879" s="2">
        <f>Cleaned_Data!A879</f>
        <v/>
      </c>
      <c r="B879" s="2">
        <f>Cleaned_Data!B879</f>
        <v/>
      </c>
      <c r="C879" s="2">
        <f>Cleaned_Data!G879</f>
        <v/>
      </c>
      <c r="D879" s="2">
        <f>Cleaned_Data!I879</f>
        <v/>
      </c>
      <c r="E879" s="2">
        <f>Cleaned_Data!H879</f>
        <v/>
      </c>
      <c r="F879" s="2">
        <f>Cleaned_Data!F879</f>
        <v/>
      </c>
      <c r="G879" s="9">
        <f>SUMPRODUCT(($B$2:$B$1196=B879)*($F$2:$F$1196&lt;=F879))/SUMPRODUCT(($B$2:$B$1196=B879)*1)</f>
        <v/>
      </c>
      <c r="H879" s="2">
        <f>Cleaned_Data!J879</f>
        <v/>
      </c>
      <c r="I879" s="2">
        <f>Cleaned_Data!E879</f>
        <v/>
      </c>
      <c r="J879" s="2">
        <f>IF(C879="Yes",1,0)</f>
        <v/>
      </c>
      <c r="K879" s="2">
        <f>MIN(MAX(1-(D879-1)/4,0),1)</f>
        <v/>
      </c>
      <c r="L879" s="2">
        <f>MIN(E879/60,1)</f>
        <v/>
      </c>
      <c r="M879" s="2">
        <f>MIN(MAX(1-G879,0),1)</f>
        <v/>
      </c>
      <c r="N879" s="2">
        <f>MIN(MAX(1-(H879-1)/4,0),1)</f>
        <v/>
      </c>
      <c r="O879" s="2">
        <f>1-MIN(I879/8,1)</f>
        <v/>
      </c>
      <c r="P879" s="10">
        <f>ROUND(100*(J879*Assumptions!$B$6+K879*Assumptions!$B$7+L879*Assumptions!$B$8+M879*Assumptions!$B$9+N879*Assumptions!$B$10+O879*Assumptions!$B$11),1)</f>
        <v/>
      </c>
      <c r="Q879" s="2">
        <f>IF(P879&gt;=Assumptions!$B$14,"High",IF(P879&gt;=Assumptions!$B$15,"Medium","Low"))</f>
        <v/>
      </c>
      <c r="R879" s="2">
        <f>Cleaned_Data!L879</f>
        <v/>
      </c>
    </row>
    <row r="880">
      <c r="A880" s="2">
        <f>Cleaned_Data!A880</f>
        <v/>
      </c>
      <c r="B880" s="2">
        <f>Cleaned_Data!B880</f>
        <v/>
      </c>
      <c r="C880" s="2">
        <f>Cleaned_Data!G880</f>
        <v/>
      </c>
      <c r="D880" s="2">
        <f>Cleaned_Data!I880</f>
        <v/>
      </c>
      <c r="E880" s="2">
        <f>Cleaned_Data!H880</f>
        <v/>
      </c>
      <c r="F880" s="2">
        <f>Cleaned_Data!F880</f>
        <v/>
      </c>
      <c r="G880" s="9">
        <f>SUMPRODUCT(($B$2:$B$1196=B880)*($F$2:$F$1196&lt;=F880))/SUMPRODUCT(($B$2:$B$1196=B880)*1)</f>
        <v/>
      </c>
      <c r="H880" s="2">
        <f>Cleaned_Data!J880</f>
        <v/>
      </c>
      <c r="I880" s="2">
        <f>Cleaned_Data!E880</f>
        <v/>
      </c>
      <c r="J880" s="2">
        <f>IF(C880="Yes",1,0)</f>
        <v/>
      </c>
      <c r="K880" s="2">
        <f>MIN(MAX(1-(D880-1)/4,0),1)</f>
        <v/>
      </c>
      <c r="L880" s="2">
        <f>MIN(E880/60,1)</f>
        <v/>
      </c>
      <c r="M880" s="2">
        <f>MIN(MAX(1-G880,0),1)</f>
        <v/>
      </c>
      <c r="N880" s="2">
        <f>MIN(MAX(1-(H880-1)/4,0),1)</f>
        <v/>
      </c>
      <c r="O880" s="2">
        <f>1-MIN(I880/8,1)</f>
        <v/>
      </c>
      <c r="P880" s="10">
        <f>ROUND(100*(J880*Assumptions!$B$6+K880*Assumptions!$B$7+L880*Assumptions!$B$8+M880*Assumptions!$B$9+N880*Assumptions!$B$10+O880*Assumptions!$B$11),1)</f>
        <v/>
      </c>
      <c r="Q880" s="2">
        <f>IF(P880&gt;=Assumptions!$B$14,"High",IF(P880&gt;=Assumptions!$B$15,"Medium","Low"))</f>
        <v/>
      </c>
      <c r="R880" s="2">
        <f>Cleaned_Data!L880</f>
        <v/>
      </c>
    </row>
    <row r="881">
      <c r="A881" s="2">
        <f>Cleaned_Data!A881</f>
        <v/>
      </c>
      <c r="B881" s="2">
        <f>Cleaned_Data!B881</f>
        <v/>
      </c>
      <c r="C881" s="2">
        <f>Cleaned_Data!G881</f>
        <v/>
      </c>
      <c r="D881" s="2">
        <f>Cleaned_Data!I881</f>
        <v/>
      </c>
      <c r="E881" s="2">
        <f>Cleaned_Data!H881</f>
        <v/>
      </c>
      <c r="F881" s="2">
        <f>Cleaned_Data!F881</f>
        <v/>
      </c>
      <c r="G881" s="9">
        <f>SUMPRODUCT(($B$2:$B$1196=B881)*($F$2:$F$1196&lt;=F881))/SUMPRODUCT(($B$2:$B$1196=B881)*1)</f>
        <v/>
      </c>
      <c r="H881" s="2">
        <f>Cleaned_Data!J881</f>
        <v/>
      </c>
      <c r="I881" s="2">
        <f>Cleaned_Data!E881</f>
        <v/>
      </c>
      <c r="J881" s="2">
        <f>IF(C881="Yes",1,0)</f>
        <v/>
      </c>
      <c r="K881" s="2">
        <f>MIN(MAX(1-(D881-1)/4,0),1)</f>
        <v/>
      </c>
      <c r="L881" s="2">
        <f>MIN(E881/60,1)</f>
        <v/>
      </c>
      <c r="M881" s="2">
        <f>MIN(MAX(1-G881,0),1)</f>
        <v/>
      </c>
      <c r="N881" s="2">
        <f>MIN(MAX(1-(H881-1)/4,0),1)</f>
        <v/>
      </c>
      <c r="O881" s="2">
        <f>1-MIN(I881/8,1)</f>
        <v/>
      </c>
      <c r="P881" s="10">
        <f>ROUND(100*(J881*Assumptions!$B$6+K881*Assumptions!$B$7+L881*Assumptions!$B$8+M881*Assumptions!$B$9+N881*Assumptions!$B$10+O881*Assumptions!$B$11),1)</f>
        <v/>
      </c>
      <c r="Q881" s="2">
        <f>IF(P881&gt;=Assumptions!$B$14,"High",IF(P881&gt;=Assumptions!$B$15,"Medium","Low"))</f>
        <v/>
      </c>
      <c r="R881" s="2">
        <f>Cleaned_Data!L881</f>
        <v/>
      </c>
    </row>
    <row r="882">
      <c r="A882" s="2">
        <f>Cleaned_Data!A882</f>
        <v/>
      </c>
      <c r="B882" s="2">
        <f>Cleaned_Data!B882</f>
        <v/>
      </c>
      <c r="C882" s="2">
        <f>Cleaned_Data!G882</f>
        <v/>
      </c>
      <c r="D882" s="2">
        <f>Cleaned_Data!I882</f>
        <v/>
      </c>
      <c r="E882" s="2">
        <f>Cleaned_Data!H882</f>
        <v/>
      </c>
      <c r="F882" s="2">
        <f>Cleaned_Data!F882</f>
        <v/>
      </c>
      <c r="G882" s="9">
        <f>SUMPRODUCT(($B$2:$B$1196=B882)*($F$2:$F$1196&lt;=F882))/SUMPRODUCT(($B$2:$B$1196=B882)*1)</f>
        <v/>
      </c>
      <c r="H882" s="2">
        <f>Cleaned_Data!J882</f>
        <v/>
      </c>
      <c r="I882" s="2">
        <f>Cleaned_Data!E882</f>
        <v/>
      </c>
      <c r="J882" s="2">
        <f>IF(C882="Yes",1,0)</f>
        <v/>
      </c>
      <c r="K882" s="2">
        <f>MIN(MAX(1-(D882-1)/4,0),1)</f>
        <v/>
      </c>
      <c r="L882" s="2">
        <f>MIN(E882/60,1)</f>
        <v/>
      </c>
      <c r="M882" s="2">
        <f>MIN(MAX(1-G882,0),1)</f>
        <v/>
      </c>
      <c r="N882" s="2">
        <f>MIN(MAX(1-(H882-1)/4,0),1)</f>
        <v/>
      </c>
      <c r="O882" s="2">
        <f>1-MIN(I882/8,1)</f>
        <v/>
      </c>
      <c r="P882" s="10">
        <f>ROUND(100*(J882*Assumptions!$B$6+K882*Assumptions!$B$7+L882*Assumptions!$B$8+M882*Assumptions!$B$9+N882*Assumptions!$B$10+O882*Assumptions!$B$11),1)</f>
        <v/>
      </c>
      <c r="Q882" s="2">
        <f>IF(P882&gt;=Assumptions!$B$14,"High",IF(P882&gt;=Assumptions!$B$15,"Medium","Low"))</f>
        <v/>
      </c>
      <c r="R882" s="2">
        <f>Cleaned_Data!L882</f>
        <v/>
      </c>
    </row>
    <row r="883">
      <c r="A883" s="2">
        <f>Cleaned_Data!A883</f>
        <v/>
      </c>
      <c r="B883" s="2">
        <f>Cleaned_Data!B883</f>
        <v/>
      </c>
      <c r="C883" s="2">
        <f>Cleaned_Data!G883</f>
        <v/>
      </c>
      <c r="D883" s="2">
        <f>Cleaned_Data!I883</f>
        <v/>
      </c>
      <c r="E883" s="2">
        <f>Cleaned_Data!H883</f>
        <v/>
      </c>
      <c r="F883" s="2">
        <f>Cleaned_Data!F883</f>
        <v/>
      </c>
      <c r="G883" s="9">
        <f>SUMPRODUCT(($B$2:$B$1196=B883)*($F$2:$F$1196&lt;=F883))/SUMPRODUCT(($B$2:$B$1196=B883)*1)</f>
        <v/>
      </c>
      <c r="H883" s="2">
        <f>Cleaned_Data!J883</f>
        <v/>
      </c>
      <c r="I883" s="2">
        <f>Cleaned_Data!E883</f>
        <v/>
      </c>
      <c r="J883" s="2">
        <f>IF(C883="Yes",1,0)</f>
        <v/>
      </c>
      <c r="K883" s="2">
        <f>MIN(MAX(1-(D883-1)/4,0),1)</f>
        <v/>
      </c>
      <c r="L883" s="2">
        <f>MIN(E883/60,1)</f>
        <v/>
      </c>
      <c r="M883" s="2">
        <f>MIN(MAX(1-G883,0),1)</f>
        <v/>
      </c>
      <c r="N883" s="2">
        <f>MIN(MAX(1-(H883-1)/4,0),1)</f>
        <v/>
      </c>
      <c r="O883" s="2">
        <f>1-MIN(I883/8,1)</f>
        <v/>
      </c>
      <c r="P883" s="10">
        <f>ROUND(100*(J883*Assumptions!$B$6+K883*Assumptions!$B$7+L883*Assumptions!$B$8+M883*Assumptions!$B$9+N883*Assumptions!$B$10+O883*Assumptions!$B$11),1)</f>
        <v/>
      </c>
      <c r="Q883" s="2">
        <f>IF(P883&gt;=Assumptions!$B$14,"High",IF(P883&gt;=Assumptions!$B$15,"Medium","Low"))</f>
        <v/>
      </c>
      <c r="R883" s="2">
        <f>Cleaned_Data!L883</f>
        <v/>
      </c>
    </row>
    <row r="884">
      <c r="A884" s="2">
        <f>Cleaned_Data!A884</f>
        <v/>
      </c>
      <c r="B884" s="2">
        <f>Cleaned_Data!B884</f>
        <v/>
      </c>
      <c r="C884" s="2">
        <f>Cleaned_Data!G884</f>
        <v/>
      </c>
      <c r="D884" s="2">
        <f>Cleaned_Data!I884</f>
        <v/>
      </c>
      <c r="E884" s="2">
        <f>Cleaned_Data!H884</f>
        <v/>
      </c>
      <c r="F884" s="2">
        <f>Cleaned_Data!F884</f>
        <v/>
      </c>
      <c r="G884" s="9">
        <f>SUMPRODUCT(($B$2:$B$1196=B884)*($F$2:$F$1196&lt;=F884))/SUMPRODUCT(($B$2:$B$1196=B884)*1)</f>
        <v/>
      </c>
      <c r="H884" s="2">
        <f>Cleaned_Data!J884</f>
        <v/>
      </c>
      <c r="I884" s="2">
        <f>Cleaned_Data!E884</f>
        <v/>
      </c>
      <c r="J884" s="2">
        <f>IF(C884="Yes",1,0)</f>
        <v/>
      </c>
      <c r="K884" s="2">
        <f>MIN(MAX(1-(D884-1)/4,0),1)</f>
        <v/>
      </c>
      <c r="L884" s="2">
        <f>MIN(E884/60,1)</f>
        <v/>
      </c>
      <c r="M884" s="2">
        <f>MIN(MAX(1-G884,0),1)</f>
        <v/>
      </c>
      <c r="N884" s="2">
        <f>MIN(MAX(1-(H884-1)/4,0),1)</f>
        <v/>
      </c>
      <c r="O884" s="2">
        <f>1-MIN(I884/8,1)</f>
        <v/>
      </c>
      <c r="P884" s="10">
        <f>ROUND(100*(J884*Assumptions!$B$6+K884*Assumptions!$B$7+L884*Assumptions!$B$8+M884*Assumptions!$B$9+N884*Assumptions!$B$10+O884*Assumptions!$B$11),1)</f>
        <v/>
      </c>
      <c r="Q884" s="2">
        <f>IF(P884&gt;=Assumptions!$B$14,"High",IF(P884&gt;=Assumptions!$B$15,"Medium","Low"))</f>
        <v/>
      </c>
      <c r="R884" s="2">
        <f>Cleaned_Data!L884</f>
        <v/>
      </c>
    </row>
    <row r="885">
      <c r="A885" s="2">
        <f>Cleaned_Data!A885</f>
        <v/>
      </c>
      <c r="B885" s="2">
        <f>Cleaned_Data!B885</f>
        <v/>
      </c>
      <c r="C885" s="2">
        <f>Cleaned_Data!G885</f>
        <v/>
      </c>
      <c r="D885" s="2">
        <f>Cleaned_Data!I885</f>
        <v/>
      </c>
      <c r="E885" s="2">
        <f>Cleaned_Data!H885</f>
        <v/>
      </c>
      <c r="F885" s="2">
        <f>Cleaned_Data!F885</f>
        <v/>
      </c>
      <c r="G885" s="9">
        <f>SUMPRODUCT(($B$2:$B$1196=B885)*($F$2:$F$1196&lt;=F885))/SUMPRODUCT(($B$2:$B$1196=B885)*1)</f>
        <v/>
      </c>
      <c r="H885" s="2">
        <f>Cleaned_Data!J885</f>
        <v/>
      </c>
      <c r="I885" s="2">
        <f>Cleaned_Data!E885</f>
        <v/>
      </c>
      <c r="J885" s="2">
        <f>IF(C885="Yes",1,0)</f>
        <v/>
      </c>
      <c r="K885" s="2">
        <f>MIN(MAX(1-(D885-1)/4,0),1)</f>
        <v/>
      </c>
      <c r="L885" s="2">
        <f>MIN(E885/60,1)</f>
        <v/>
      </c>
      <c r="M885" s="2">
        <f>MIN(MAX(1-G885,0),1)</f>
        <v/>
      </c>
      <c r="N885" s="2">
        <f>MIN(MAX(1-(H885-1)/4,0),1)</f>
        <v/>
      </c>
      <c r="O885" s="2">
        <f>1-MIN(I885/8,1)</f>
        <v/>
      </c>
      <c r="P885" s="10">
        <f>ROUND(100*(J885*Assumptions!$B$6+K885*Assumptions!$B$7+L885*Assumptions!$B$8+M885*Assumptions!$B$9+N885*Assumptions!$B$10+O885*Assumptions!$B$11),1)</f>
        <v/>
      </c>
      <c r="Q885" s="2">
        <f>IF(P885&gt;=Assumptions!$B$14,"High",IF(P885&gt;=Assumptions!$B$15,"Medium","Low"))</f>
        <v/>
      </c>
      <c r="R885" s="2">
        <f>Cleaned_Data!L885</f>
        <v/>
      </c>
    </row>
    <row r="886">
      <c r="A886" s="2">
        <f>Cleaned_Data!A886</f>
        <v/>
      </c>
      <c r="B886" s="2">
        <f>Cleaned_Data!B886</f>
        <v/>
      </c>
      <c r="C886" s="2">
        <f>Cleaned_Data!G886</f>
        <v/>
      </c>
      <c r="D886" s="2">
        <f>Cleaned_Data!I886</f>
        <v/>
      </c>
      <c r="E886" s="2">
        <f>Cleaned_Data!H886</f>
        <v/>
      </c>
      <c r="F886" s="2">
        <f>Cleaned_Data!F886</f>
        <v/>
      </c>
      <c r="G886" s="9">
        <f>SUMPRODUCT(($B$2:$B$1196=B886)*($F$2:$F$1196&lt;=F886))/SUMPRODUCT(($B$2:$B$1196=B886)*1)</f>
        <v/>
      </c>
      <c r="H886" s="2">
        <f>Cleaned_Data!J886</f>
        <v/>
      </c>
      <c r="I886" s="2">
        <f>Cleaned_Data!E886</f>
        <v/>
      </c>
      <c r="J886" s="2">
        <f>IF(C886="Yes",1,0)</f>
        <v/>
      </c>
      <c r="K886" s="2">
        <f>MIN(MAX(1-(D886-1)/4,0),1)</f>
        <v/>
      </c>
      <c r="L886" s="2">
        <f>MIN(E886/60,1)</f>
        <v/>
      </c>
      <c r="M886" s="2">
        <f>MIN(MAX(1-G886,0),1)</f>
        <v/>
      </c>
      <c r="N886" s="2">
        <f>MIN(MAX(1-(H886-1)/4,0),1)</f>
        <v/>
      </c>
      <c r="O886" s="2">
        <f>1-MIN(I886/8,1)</f>
        <v/>
      </c>
      <c r="P886" s="10">
        <f>ROUND(100*(J886*Assumptions!$B$6+K886*Assumptions!$B$7+L886*Assumptions!$B$8+M886*Assumptions!$B$9+N886*Assumptions!$B$10+O886*Assumptions!$B$11),1)</f>
        <v/>
      </c>
      <c r="Q886" s="2">
        <f>IF(P886&gt;=Assumptions!$B$14,"High",IF(P886&gt;=Assumptions!$B$15,"Medium","Low"))</f>
        <v/>
      </c>
      <c r="R886" s="2">
        <f>Cleaned_Data!L886</f>
        <v/>
      </c>
    </row>
    <row r="887">
      <c r="A887" s="2">
        <f>Cleaned_Data!A887</f>
        <v/>
      </c>
      <c r="B887" s="2">
        <f>Cleaned_Data!B887</f>
        <v/>
      </c>
      <c r="C887" s="2">
        <f>Cleaned_Data!G887</f>
        <v/>
      </c>
      <c r="D887" s="2">
        <f>Cleaned_Data!I887</f>
        <v/>
      </c>
      <c r="E887" s="2">
        <f>Cleaned_Data!H887</f>
        <v/>
      </c>
      <c r="F887" s="2">
        <f>Cleaned_Data!F887</f>
        <v/>
      </c>
      <c r="G887" s="9">
        <f>SUMPRODUCT(($B$2:$B$1196=B887)*($F$2:$F$1196&lt;=F887))/SUMPRODUCT(($B$2:$B$1196=B887)*1)</f>
        <v/>
      </c>
      <c r="H887" s="2">
        <f>Cleaned_Data!J887</f>
        <v/>
      </c>
      <c r="I887" s="2">
        <f>Cleaned_Data!E887</f>
        <v/>
      </c>
      <c r="J887" s="2">
        <f>IF(C887="Yes",1,0)</f>
        <v/>
      </c>
      <c r="K887" s="2">
        <f>MIN(MAX(1-(D887-1)/4,0),1)</f>
        <v/>
      </c>
      <c r="L887" s="2">
        <f>MIN(E887/60,1)</f>
        <v/>
      </c>
      <c r="M887" s="2">
        <f>MIN(MAX(1-G887,0),1)</f>
        <v/>
      </c>
      <c r="N887" s="2">
        <f>MIN(MAX(1-(H887-1)/4,0),1)</f>
        <v/>
      </c>
      <c r="O887" s="2">
        <f>1-MIN(I887/8,1)</f>
        <v/>
      </c>
      <c r="P887" s="10">
        <f>ROUND(100*(J887*Assumptions!$B$6+K887*Assumptions!$B$7+L887*Assumptions!$B$8+M887*Assumptions!$B$9+N887*Assumptions!$B$10+O887*Assumptions!$B$11),1)</f>
        <v/>
      </c>
      <c r="Q887" s="2">
        <f>IF(P887&gt;=Assumptions!$B$14,"High",IF(P887&gt;=Assumptions!$B$15,"Medium","Low"))</f>
        <v/>
      </c>
      <c r="R887" s="2">
        <f>Cleaned_Data!L887</f>
        <v/>
      </c>
    </row>
    <row r="888">
      <c r="A888" s="2">
        <f>Cleaned_Data!A888</f>
        <v/>
      </c>
      <c r="B888" s="2">
        <f>Cleaned_Data!B888</f>
        <v/>
      </c>
      <c r="C888" s="2">
        <f>Cleaned_Data!G888</f>
        <v/>
      </c>
      <c r="D888" s="2">
        <f>Cleaned_Data!I888</f>
        <v/>
      </c>
      <c r="E888" s="2">
        <f>Cleaned_Data!H888</f>
        <v/>
      </c>
      <c r="F888" s="2">
        <f>Cleaned_Data!F888</f>
        <v/>
      </c>
      <c r="G888" s="9">
        <f>SUMPRODUCT(($B$2:$B$1196=B888)*($F$2:$F$1196&lt;=F888))/SUMPRODUCT(($B$2:$B$1196=B888)*1)</f>
        <v/>
      </c>
      <c r="H888" s="2">
        <f>Cleaned_Data!J888</f>
        <v/>
      </c>
      <c r="I888" s="2">
        <f>Cleaned_Data!E888</f>
        <v/>
      </c>
      <c r="J888" s="2">
        <f>IF(C888="Yes",1,0)</f>
        <v/>
      </c>
      <c r="K888" s="2">
        <f>MIN(MAX(1-(D888-1)/4,0),1)</f>
        <v/>
      </c>
      <c r="L888" s="2">
        <f>MIN(E888/60,1)</f>
        <v/>
      </c>
      <c r="M888" s="2">
        <f>MIN(MAX(1-G888,0),1)</f>
        <v/>
      </c>
      <c r="N888" s="2">
        <f>MIN(MAX(1-(H888-1)/4,0),1)</f>
        <v/>
      </c>
      <c r="O888" s="2">
        <f>1-MIN(I888/8,1)</f>
        <v/>
      </c>
      <c r="P888" s="10">
        <f>ROUND(100*(J888*Assumptions!$B$6+K888*Assumptions!$B$7+L888*Assumptions!$B$8+M888*Assumptions!$B$9+N888*Assumptions!$B$10+O888*Assumptions!$B$11),1)</f>
        <v/>
      </c>
      <c r="Q888" s="2">
        <f>IF(P888&gt;=Assumptions!$B$14,"High",IF(P888&gt;=Assumptions!$B$15,"Medium","Low"))</f>
        <v/>
      </c>
      <c r="R888" s="2">
        <f>Cleaned_Data!L888</f>
        <v/>
      </c>
    </row>
    <row r="889">
      <c r="A889" s="2">
        <f>Cleaned_Data!A889</f>
        <v/>
      </c>
      <c r="B889" s="2">
        <f>Cleaned_Data!B889</f>
        <v/>
      </c>
      <c r="C889" s="2">
        <f>Cleaned_Data!G889</f>
        <v/>
      </c>
      <c r="D889" s="2">
        <f>Cleaned_Data!I889</f>
        <v/>
      </c>
      <c r="E889" s="2">
        <f>Cleaned_Data!H889</f>
        <v/>
      </c>
      <c r="F889" s="2">
        <f>Cleaned_Data!F889</f>
        <v/>
      </c>
      <c r="G889" s="9">
        <f>SUMPRODUCT(($B$2:$B$1196=B889)*($F$2:$F$1196&lt;=F889))/SUMPRODUCT(($B$2:$B$1196=B889)*1)</f>
        <v/>
      </c>
      <c r="H889" s="2">
        <f>Cleaned_Data!J889</f>
        <v/>
      </c>
      <c r="I889" s="2">
        <f>Cleaned_Data!E889</f>
        <v/>
      </c>
      <c r="J889" s="2">
        <f>IF(C889="Yes",1,0)</f>
        <v/>
      </c>
      <c r="K889" s="2">
        <f>MIN(MAX(1-(D889-1)/4,0),1)</f>
        <v/>
      </c>
      <c r="L889" s="2">
        <f>MIN(E889/60,1)</f>
        <v/>
      </c>
      <c r="M889" s="2">
        <f>MIN(MAX(1-G889,0),1)</f>
        <v/>
      </c>
      <c r="N889" s="2">
        <f>MIN(MAX(1-(H889-1)/4,0),1)</f>
        <v/>
      </c>
      <c r="O889" s="2">
        <f>1-MIN(I889/8,1)</f>
        <v/>
      </c>
      <c r="P889" s="10">
        <f>ROUND(100*(J889*Assumptions!$B$6+K889*Assumptions!$B$7+L889*Assumptions!$B$8+M889*Assumptions!$B$9+N889*Assumptions!$B$10+O889*Assumptions!$B$11),1)</f>
        <v/>
      </c>
      <c r="Q889" s="2">
        <f>IF(P889&gt;=Assumptions!$B$14,"High",IF(P889&gt;=Assumptions!$B$15,"Medium","Low"))</f>
        <v/>
      </c>
      <c r="R889" s="2">
        <f>Cleaned_Data!L889</f>
        <v/>
      </c>
    </row>
    <row r="890">
      <c r="A890" s="2">
        <f>Cleaned_Data!A890</f>
        <v/>
      </c>
      <c r="B890" s="2">
        <f>Cleaned_Data!B890</f>
        <v/>
      </c>
      <c r="C890" s="2">
        <f>Cleaned_Data!G890</f>
        <v/>
      </c>
      <c r="D890" s="2">
        <f>Cleaned_Data!I890</f>
        <v/>
      </c>
      <c r="E890" s="2">
        <f>Cleaned_Data!H890</f>
        <v/>
      </c>
      <c r="F890" s="2">
        <f>Cleaned_Data!F890</f>
        <v/>
      </c>
      <c r="G890" s="9">
        <f>SUMPRODUCT(($B$2:$B$1196=B890)*($F$2:$F$1196&lt;=F890))/SUMPRODUCT(($B$2:$B$1196=B890)*1)</f>
        <v/>
      </c>
      <c r="H890" s="2">
        <f>Cleaned_Data!J890</f>
        <v/>
      </c>
      <c r="I890" s="2">
        <f>Cleaned_Data!E890</f>
        <v/>
      </c>
      <c r="J890" s="2">
        <f>IF(C890="Yes",1,0)</f>
        <v/>
      </c>
      <c r="K890" s="2">
        <f>MIN(MAX(1-(D890-1)/4,0),1)</f>
        <v/>
      </c>
      <c r="L890" s="2">
        <f>MIN(E890/60,1)</f>
        <v/>
      </c>
      <c r="M890" s="2">
        <f>MIN(MAX(1-G890,0),1)</f>
        <v/>
      </c>
      <c r="N890" s="2">
        <f>MIN(MAX(1-(H890-1)/4,0),1)</f>
        <v/>
      </c>
      <c r="O890" s="2">
        <f>1-MIN(I890/8,1)</f>
        <v/>
      </c>
      <c r="P890" s="10">
        <f>ROUND(100*(J890*Assumptions!$B$6+K890*Assumptions!$B$7+L890*Assumptions!$B$8+M890*Assumptions!$B$9+N890*Assumptions!$B$10+O890*Assumptions!$B$11),1)</f>
        <v/>
      </c>
      <c r="Q890" s="2">
        <f>IF(P890&gt;=Assumptions!$B$14,"High",IF(P890&gt;=Assumptions!$B$15,"Medium","Low"))</f>
        <v/>
      </c>
      <c r="R890" s="2">
        <f>Cleaned_Data!L890</f>
        <v/>
      </c>
    </row>
    <row r="891">
      <c r="A891" s="2">
        <f>Cleaned_Data!A891</f>
        <v/>
      </c>
      <c r="B891" s="2">
        <f>Cleaned_Data!B891</f>
        <v/>
      </c>
      <c r="C891" s="2">
        <f>Cleaned_Data!G891</f>
        <v/>
      </c>
      <c r="D891" s="2">
        <f>Cleaned_Data!I891</f>
        <v/>
      </c>
      <c r="E891" s="2">
        <f>Cleaned_Data!H891</f>
        <v/>
      </c>
      <c r="F891" s="2">
        <f>Cleaned_Data!F891</f>
        <v/>
      </c>
      <c r="G891" s="9">
        <f>SUMPRODUCT(($B$2:$B$1196=B891)*($F$2:$F$1196&lt;=F891))/SUMPRODUCT(($B$2:$B$1196=B891)*1)</f>
        <v/>
      </c>
      <c r="H891" s="2">
        <f>Cleaned_Data!J891</f>
        <v/>
      </c>
      <c r="I891" s="2">
        <f>Cleaned_Data!E891</f>
        <v/>
      </c>
      <c r="J891" s="2">
        <f>IF(C891="Yes",1,0)</f>
        <v/>
      </c>
      <c r="K891" s="2">
        <f>MIN(MAX(1-(D891-1)/4,0),1)</f>
        <v/>
      </c>
      <c r="L891" s="2">
        <f>MIN(E891/60,1)</f>
        <v/>
      </c>
      <c r="M891" s="2">
        <f>MIN(MAX(1-G891,0),1)</f>
        <v/>
      </c>
      <c r="N891" s="2">
        <f>MIN(MAX(1-(H891-1)/4,0),1)</f>
        <v/>
      </c>
      <c r="O891" s="2">
        <f>1-MIN(I891/8,1)</f>
        <v/>
      </c>
      <c r="P891" s="10">
        <f>ROUND(100*(J891*Assumptions!$B$6+K891*Assumptions!$B$7+L891*Assumptions!$B$8+M891*Assumptions!$B$9+N891*Assumptions!$B$10+O891*Assumptions!$B$11),1)</f>
        <v/>
      </c>
      <c r="Q891" s="2">
        <f>IF(P891&gt;=Assumptions!$B$14,"High",IF(P891&gt;=Assumptions!$B$15,"Medium","Low"))</f>
        <v/>
      </c>
      <c r="R891" s="2">
        <f>Cleaned_Data!L891</f>
        <v/>
      </c>
    </row>
    <row r="892">
      <c r="A892" s="2">
        <f>Cleaned_Data!A892</f>
        <v/>
      </c>
      <c r="B892" s="2">
        <f>Cleaned_Data!B892</f>
        <v/>
      </c>
      <c r="C892" s="2">
        <f>Cleaned_Data!G892</f>
        <v/>
      </c>
      <c r="D892" s="2">
        <f>Cleaned_Data!I892</f>
        <v/>
      </c>
      <c r="E892" s="2">
        <f>Cleaned_Data!H892</f>
        <v/>
      </c>
      <c r="F892" s="2">
        <f>Cleaned_Data!F892</f>
        <v/>
      </c>
      <c r="G892" s="9">
        <f>SUMPRODUCT(($B$2:$B$1196=B892)*($F$2:$F$1196&lt;=F892))/SUMPRODUCT(($B$2:$B$1196=B892)*1)</f>
        <v/>
      </c>
      <c r="H892" s="2">
        <f>Cleaned_Data!J892</f>
        <v/>
      </c>
      <c r="I892" s="2">
        <f>Cleaned_Data!E892</f>
        <v/>
      </c>
      <c r="J892" s="2">
        <f>IF(C892="Yes",1,0)</f>
        <v/>
      </c>
      <c r="K892" s="2">
        <f>MIN(MAX(1-(D892-1)/4,0),1)</f>
        <v/>
      </c>
      <c r="L892" s="2">
        <f>MIN(E892/60,1)</f>
        <v/>
      </c>
      <c r="M892" s="2">
        <f>MIN(MAX(1-G892,0),1)</f>
        <v/>
      </c>
      <c r="N892" s="2">
        <f>MIN(MAX(1-(H892-1)/4,0),1)</f>
        <v/>
      </c>
      <c r="O892" s="2">
        <f>1-MIN(I892/8,1)</f>
        <v/>
      </c>
      <c r="P892" s="10">
        <f>ROUND(100*(J892*Assumptions!$B$6+K892*Assumptions!$B$7+L892*Assumptions!$B$8+M892*Assumptions!$B$9+N892*Assumptions!$B$10+O892*Assumptions!$B$11),1)</f>
        <v/>
      </c>
      <c r="Q892" s="2">
        <f>IF(P892&gt;=Assumptions!$B$14,"High",IF(P892&gt;=Assumptions!$B$15,"Medium","Low"))</f>
        <v/>
      </c>
      <c r="R892" s="2">
        <f>Cleaned_Data!L892</f>
        <v/>
      </c>
    </row>
    <row r="893">
      <c r="A893" s="2">
        <f>Cleaned_Data!A893</f>
        <v/>
      </c>
      <c r="B893" s="2">
        <f>Cleaned_Data!B893</f>
        <v/>
      </c>
      <c r="C893" s="2">
        <f>Cleaned_Data!G893</f>
        <v/>
      </c>
      <c r="D893" s="2">
        <f>Cleaned_Data!I893</f>
        <v/>
      </c>
      <c r="E893" s="2">
        <f>Cleaned_Data!H893</f>
        <v/>
      </c>
      <c r="F893" s="2">
        <f>Cleaned_Data!F893</f>
        <v/>
      </c>
      <c r="G893" s="9">
        <f>SUMPRODUCT(($B$2:$B$1196=B893)*($F$2:$F$1196&lt;=F893))/SUMPRODUCT(($B$2:$B$1196=B893)*1)</f>
        <v/>
      </c>
      <c r="H893" s="2">
        <f>Cleaned_Data!J893</f>
        <v/>
      </c>
      <c r="I893" s="2">
        <f>Cleaned_Data!E893</f>
        <v/>
      </c>
      <c r="J893" s="2">
        <f>IF(C893="Yes",1,0)</f>
        <v/>
      </c>
      <c r="K893" s="2">
        <f>MIN(MAX(1-(D893-1)/4,0),1)</f>
        <v/>
      </c>
      <c r="L893" s="2">
        <f>MIN(E893/60,1)</f>
        <v/>
      </c>
      <c r="M893" s="2">
        <f>MIN(MAX(1-G893,0),1)</f>
        <v/>
      </c>
      <c r="N893" s="2">
        <f>MIN(MAX(1-(H893-1)/4,0),1)</f>
        <v/>
      </c>
      <c r="O893" s="2">
        <f>1-MIN(I893/8,1)</f>
        <v/>
      </c>
      <c r="P893" s="10">
        <f>ROUND(100*(J893*Assumptions!$B$6+K893*Assumptions!$B$7+L893*Assumptions!$B$8+M893*Assumptions!$B$9+N893*Assumptions!$B$10+O893*Assumptions!$B$11),1)</f>
        <v/>
      </c>
      <c r="Q893" s="2">
        <f>IF(P893&gt;=Assumptions!$B$14,"High",IF(P893&gt;=Assumptions!$B$15,"Medium","Low"))</f>
        <v/>
      </c>
      <c r="R893" s="2">
        <f>Cleaned_Data!L893</f>
        <v/>
      </c>
    </row>
    <row r="894">
      <c r="A894" s="2">
        <f>Cleaned_Data!A894</f>
        <v/>
      </c>
      <c r="B894" s="2">
        <f>Cleaned_Data!B894</f>
        <v/>
      </c>
      <c r="C894" s="2">
        <f>Cleaned_Data!G894</f>
        <v/>
      </c>
      <c r="D894" s="2">
        <f>Cleaned_Data!I894</f>
        <v/>
      </c>
      <c r="E894" s="2">
        <f>Cleaned_Data!H894</f>
        <v/>
      </c>
      <c r="F894" s="2">
        <f>Cleaned_Data!F894</f>
        <v/>
      </c>
      <c r="G894" s="9">
        <f>SUMPRODUCT(($B$2:$B$1196=B894)*($F$2:$F$1196&lt;=F894))/SUMPRODUCT(($B$2:$B$1196=B894)*1)</f>
        <v/>
      </c>
      <c r="H894" s="2">
        <f>Cleaned_Data!J894</f>
        <v/>
      </c>
      <c r="I894" s="2">
        <f>Cleaned_Data!E894</f>
        <v/>
      </c>
      <c r="J894" s="2">
        <f>IF(C894="Yes",1,0)</f>
        <v/>
      </c>
      <c r="K894" s="2">
        <f>MIN(MAX(1-(D894-1)/4,0),1)</f>
        <v/>
      </c>
      <c r="L894" s="2">
        <f>MIN(E894/60,1)</f>
        <v/>
      </c>
      <c r="M894" s="2">
        <f>MIN(MAX(1-G894,0),1)</f>
        <v/>
      </c>
      <c r="N894" s="2">
        <f>MIN(MAX(1-(H894-1)/4,0),1)</f>
        <v/>
      </c>
      <c r="O894" s="2">
        <f>1-MIN(I894/8,1)</f>
        <v/>
      </c>
      <c r="P894" s="10">
        <f>ROUND(100*(J894*Assumptions!$B$6+K894*Assumptions!$B$7+L894*Assumptions!$B$8+M894*Assumptions!$B$9+N894*Assumptions!$B$10+O894*Assumptions!$B$11),1)</f>
        <v/>
      </c>
      <c r="Q894" s="2">
        <f>IF(P894&gt;=Assumptions!$B$14,"High",IF(P894&gt;=Assumptions!$B$15,"Medium","Low"))</f>
        <v/>
      </c>
      <c r="R894" s="2">
        <f>Cleaned_Data!L894</f>
        <v/>
      </c>
    </row>
    <row r="895">
      <c r="A895" s="2">
        <f>Cleaned_Data!A895</f>
        <v/>
      </c>
      <c r="B895" s="2">
        <f>Cleaned_Data!B895</f>
        <v/>
      </c>
      <c r="C895" s="2">
        <f>Cleaned_Data!G895</f>
        <v/>
      </c>
      <c r="D895" s="2">
        <f>Cleaned_Data!I895</f>
        <v/>
      </c>
      <c r="E895" s="2">
        <f>Cleaned_Data!H895</f>
        <v/>
      </c>
      <c r="F895" s="2">
        <f>Cleaned_Data!F895</f>
        <v/>
      </c>
      <c r="G895" s="9">
        <f>SUMPRODUCT(($B$2:$B$1196=B895)*($F$2:$F$1196&lt;=F895))/SUMPRODUCT(($B$2:$B$1196=B895)*1)</f>
        <v/>
      </c>
      <c r="H895" s="2">
        <f>Cleaned_Data!J895</f>
        <v/>
      </c>
      <c r="I895" s="2">
        <f>Cleaned_Data!E895</f>
        <v/>
      </c>
      <c r="J895" s="2">
        <f>IF(C895="Yes",1,0)</f>
        <v/>
      </c>
      <c r="K895" s="2">
        <f>MIN(MAX(1-(D895-1)/4,0),1)</f>
        <v/>
      </c>
      <c r="L895" s="2">
        <f>MIN(E895/60,1)</f>
        <v/>
      </c>
      <c r="M895" s="2">
        <f>MIN(MAX(1-G895,0),1)</f>
        <v/>
      </c>
      <c r="N895" s="2">
        <f>MIN(MAX(1-(H895-1)/4,0),1)</f>
        <v/>
      </c>
      <c r="O895" s="2">
        <f>1-MIN(I895/8,1)</f>
        <v/>
      </c>
      <c r="P895" s="10">
        <f>ROUND(100*(J895*Assumptions!$B$6+K895*Assumptions!$B$7+L895*Assumptions!$B$8+M895*Assumptions!$B$9+N895*Assumptions!$B$10+O895*Assumptions!$B$11),1)</f>
        <v/>
      </c>
      <c r="Q895" s="2">
        <f>IF(P895&gt;=Assumptions!$B$14,"High",IF(P895&gt;=Assumptions!$B$15,"Medium","Low"))</f>
        <v/>
      </c>
      <c r="R895" s="2">
        <f>Cleaned_Data!L895</f>
        <v/>
      </c>
    </row>
    <row r="896">
      <c r="A896" s="2">
        <f>Cleaned_Data!A896</f>
        <v/>
      </c>
      <c r="B896" s="2">
        <f>Cleaned_Data!B896</f>
        <v/>
      </c>
      <c r="C896" s="2">
        <f>Cleaned_Data!G896</f>
        <v/>
      </c>
      <c r="D896" s="2">
        <f>Cleaned_Data!I896</f>
        <v/>
      </c>
      <c r="E896" s="2">
        <f>Cleaned_Data!H896</f>
        <v/>
      </c>
      <c r="F896" s="2">
        <f>Cleaned_Data!F896</f>
        <v/>
      </c>
      <c r="G896" s="9">
        <f>SUMPRODUCT(($B$2:$B$1196=B896)*($F$2:$F$1196&lt;=F896))/SUMPRODUCT(($B$2:$B$1196=B896)*1)</f>
        <v/>
      </c>
      <c r="H896" s="2">
        <f>Cleaned_Data!J896</f>
        <v/>
      </c>
      <c r="I896" s="2">
        <f>Cleaned_Data!E896</f>
        <v/>
      </c>
      <c r="J896" s="2">
        <f>IF(C896="Yes",1,0)</f>
        <v/>
      </c>
      <c r="K896" s="2">
        <f>MIN(MAX(1-(D896-1)/4,0),1)</f>
        <v/>
      </c>
      <c r="L896" s="2">
        <f>MIN(E896/60,1)</f>
        <v/>
      </c>
      <c r="M896" s="2">
        <f>MIN(MAX(1-G896,0),1)</f>
        <v/>
      </c>
      <c r="N896" s="2">
        <f>MIN(MAX(1-(H896-1)/4,0),1)</f>
        <v/>
      </c>
      <c r="O896" s="2">
        <f>1-MIN(I896/8,1)</f>
        <v/>
      </c>
      <c r="P896" s="10">
        <f>ROUND(100*(J896*Assumptions!$B$6+K896*Assumptions!$B$7+L896*Assumptions!$B$8+M896*Assumptions!$B$9+N896*Assumptions!$B$10+O896*Assumptions!$B$11),1)</f>
        <v/>
      </c>
      <c r="Q896" s="2">
        <f>IF(P896&gt;=Assumptions!$B$14,"High",IF(P896&gt;=Assumptions!$B$15,"Medium","Low"))</f>
        <v/>
      </c>
      <c r="R896" s="2">
        <f>Cleaned_Data!L896</f>
        <v/>
      </c>
    </row>
    <row r="897">
      <c r="A897" s="2">
        <f>Cleaned_Data!A897</f>
        <v/>
      </c>
      <c r="B897" s="2">
        <f>Cleaned_Data!B897</f>
        <v/>
      </c>
      <c r="C897" s="2">
        <f>Cleaned_Data!G897</f>
        <v/>
      </c>
      <c r="D897" s="2">
        <f>Cleaned_Data!I897</f>
        <v/>
      </c>
      <c r="E897" s="2">
        <f>Cleaned_Data!H897</f>
        <v/>
      </c>
      <c r="F897" s="2">
        <f>Cleaned_Data!F897</f>
        <v/>
      </c>
      <c r="G897" s="9">
        <f>SUMPRODUCT(($B$2:$B$1196=B897)*($F$2:$F$1196&lt;=F897))/SUMPRODUCT(($B$2:$B$1196=B897)*1)</f>
        <v/>
      </c>
      <c r="H897" s="2">
        <f>Cleaned_Data!J897</f>
        <v/>
      </c>
      <c r="I897" s="2">
        <f>Cleaned_Data!E897</f>
        <v/>
      </c>
      <c r="J897" s="2">
        <f>IF(C897="Yes",1,0)</f>
        <v/>
      </c>
      <c r="K897" s="2">
        <f>MIN(MAX(1-(D897-1)/4,0),1)</f>
        <v/>
      </c>
      <c r="L897" s="2">
        <f>MIN(E897/60,1)</f>
        <v/>
      </c>
      <c r="M897" s="2">
        <f>MIN(MAX(1-G897,0),1)</f>
        <v/>
      </c>
      <c r="N897" s="2">
        <f>MIN(MAX(1-(H897-1)/4,0),1)</f>
        <v/>
      </c>
      <c r="O897" s="2">
        <f>1-MIN(I897/8,1)</f>
        <v/>
      </c>
      <c r="P897" s="10">
        <f>ROUND(100*(J897*Assumptions!$B$6+K897*Assumptions!$B$7+L897*Assumptions!$B$8+M897*Assumptions!$B$9+N897*Assumptions!$B$10+O897*Assumptions!$B$11),1)</f>
        <v/>
      </c>
      <c r="Q897" s="2">
        <f>IF(P897&gt;=Assumptions!$B$14,"High",IF(P897&gt;=Assumptions!$B$15,"Medium","Low"))</f>
        <v/>
      </c>
      <c r="R897" s="2">
        <f>Cleaned_Data!L897</f>
        <v/>
      </c>
    </row>
    <row r="898">
      <c r="A898" s="2">
        <f>Cleaned_Data!A898</f>
        <v/>
      </c>
      <c r="B898" s="2">
        <f>Cleaned_Data!B898</f>
        <v/>
      </c>
      <c r="C898" s="2">
        <f>Cleaned_Data!G898</f>
        <v/>
      </c>
      <c r="D898" s="2">
        <f>Cleaned_Data!I898</f>
        <v/>
      </c>
      <c r="E898" s="2">
        <f>Cleaned_Data!H898</f>
        <v/>
      </c>
      <c r="F898" s="2">
        <f>Cleaned_Data!F898</f>
        <v/>
      </c>
      <c r="G898" s="9">
        <f>SUMPRODUCT(($B$2:$B$1196=B898)*($F$2:$F$1196&lt;=F898))/SUMPRODUCT(($B$2:$B$1196=B898)*1)</f>
        <v/>
      </c>
      <c r="H898" s="2">
        <f>Cleaned_Data!J898</f>
        <v/>
      </c>
      <c r="I898" s="2">
        <f>Cleaned_Data!E898</f>
        <v/>
      </c>
      <c r="J898" s="2">
        <f>IF(C898="Yes",1,0)</f>
        <v/>
      </c>
      <c r="K898" s="2">
        <f>MIN(MAX(1-(D898-1)/4,0),1)</f>
        <v/>
      </c>
      <c r="L898" s="2">
        <f>MIN(E898/60,1)</f>
        <v/>
      </c>
      <c r="M898" s="2">
        <f>MIN(MAX(1-G898,0),1)</f>
        <v/>
      </c>
      <c r="N898" s="2">
        <f>MIN(MAX(1-(H898-1)/4,0),1)</f>
        <v/>
      </c>
      <c r="O898" s="2">
        <f>1-MIN(I898/8,1)</f>
        <v/>
      </c>
      <c r="P898" s="10">
        <f>ROUND(100*(J898*Assumptions!$B$6+K898*Assumptions!$B$7+L898*Assumptions!$B$8+M898*Assumptions!$B$9+N898*Assumptions!$B$10+O898*Assumptions!$B$11),1)</f>
        <v/>
      </c>
      <c r="Q898" s="2">
        <f>IF(P898&gt;=Assumptions!$B$14,"High",IF(P898&gt;=Assumptions!$B$15,"Medium","Low"))</f>
        <v/>
      </c>
      <c r="R898" s="2">
        <f>Cleaned_Data!L898</f>
        <v/>
      </c>
    </row>
    <row r="899">
      <c r="A899" s="2">
        <f>Cleaned_Data!A899</f>
        <v/>
      </c>
      <c r="B899" s="2">
        <f>Cleaned_Data!B899</f>
        <v/>
      </c>
      <c r="C899" s="2">
        <f>Cleaned_Data!G899</f>
        <v/>
      </c>
      <c r="D899" s="2">
        <f>Cleaned_Data!I899</f>
        <v/>
      </c>
      <c r="E899" s="2">
        <f>Cleaned_Data!H899</f>
        <v/>
      </c>
      <c r="F899" s="2">
        <f>Cleaned_Data!F899</f>
        <v/>
      </c>
      <c r="G899" s="9">
        <f>SUMPRODUCT(($B$2:$B$1196=B899)*($F$2:$F$1196&lt;=F899))/SUMPRODUCT(($B$2:$B$1196=B899)*1)</f>
        <v/>
      </c>
      <c r="H899" s="2">
        <f>Cleaned_Data!J899</f>
        <v/>
      </c>
      <c r="I899" s="2">
        <f>Cleaned_Data!E899</f>
        <v/>
      </c>
      <c r="J899" s="2">
        <f>IF(C899="Yes",1,0)</f>
        <v/>
      </c>
      <c r="K899" s="2">
        <f>MIN(MAX(1-(D899-1)/4,0),1)</f>
        <v/>
      </c>
      <c r="L899" s="2">
        <f>MIN(E899/60,1)</f>
        <v/>
      </c>
      <c r="M899" s="2">
        <f>MIN(MAX(1-G899,0),1)</f>
        <v/>
      </c>
      <c r="N899" s="2">
        <f>MIN(MAX(1-(H899-1)/4,0),1)</f>
        <v/>
      </c>
      <c r="O899" s="2">
        <f>1-MIN(I899/8,1)</f>
        <v/>
      </c>
      <c r="P899" s="10">
        <f>ROUND(100*(J899*Assumptions!$B$6+K899*Assumptions!$B$7+L899*Assumptions!$B$8+M899*Assumptions!$B$9+N899*Assumptions!$B$10+O899*Assumptions!$B$11),1)</f>
        <v/>
      </c>
      <c r="Q899" s="2">
        <f>IF(P899&gt;=Assumptions!$B$14,"High",IF(P899&gt;=Assumptions!$B$15,"Medium","Low"))</f>
        <v/>
      </c>
      <c r="R899" s="2">
        <f>Cleaned_Data!L899</f>
        <v/>
      </c>
    </row>
    <row r="900">
      <c r="A900" s="2">
        <f>Cleaned_Data!A900</f>
        <v/>
      </c>
      <c r="B900" s="2">
        <f>Cleaned_Data!B900</f>
        <v/>
      </c>
      <c r="C900" s="2">
        <f>Cleaned_Data!G900</f>
        <v/>
      </c>
      <c r="D900" s="2">
        <f>Cleaned_Data!I900</f>
        <v/>
      </c>
      <c r="E900" s="2">
        <f>Cleaned_Data!H900</f>
        <v/>
      </c>
      <c r="F900" s="2">
        <f>Cleaned_Data!F900</f>
        <v/>
      </c>
      <c r="G900" s="9">
        <f>SUMPRODUCT(($B$2:$B$1196=B900)*($F$2:$F$1196&lt;=F900))/SUMPRODUCT(($B$2:$B$1196=B900)*1)</f>
        <v/>
      </c>
      <c r="H900" s="2">
        <f>Cleaned_Data!J900</f>
        <v/>
      </c>
      <c r="I900" s="2">
        <f>Cleaned_Data!E900</f>
        <v/>
      </c>
      <c r="J900" s="2">
        <f>IF(C900="Yes",1,0)</f>
        <v/>
      </c>
      <c r="K900" s="2">
        <f>MIN(MAX(1-(D900-1)/4,0),1)</f>
        <v/>
      </c>
      <c r="L900" s="2">
        <f>MIN(E900/60,1)</f>
        <v/>
      </c>
      <c r="M900" s="2">
        <f>MIN(MAX(1-G900,0),1)</f>
        <v/>
      </c>
      <c r="N900" s="2">
        <f>MIN(MAX(1-(H900-1)/4,0),1)</f>
        <v/>
      </c>
      <c r="O900" s="2">
        <f>1-MIN(I900/8,1)</f>
        <v/>
      </c>
      <c r="P900" s="10">
        <f>ROUND(100*(J900*Assumptions!$B$6+K900*Assumptions!$B$7+L900*Assumptions!$B$8+M900*Assumptions!$B$9+N900*Assumptions!$B$10+O900*Assumptions!$B$11),1)</f>
        <v/>
      </c>
      <c r="Q900" s="2">
        <f>IF(P900&gt;=Assumptions!$B$14,"High",IF(P900&gt;=Assumptions!$B$15,"Medium","Low"))</f>
        <v/>
      </c>
      <c r="R900" s="2">
        <f>Cleaned_Data!L900</f>
        <v/>
      </c>
    </row>
    <row r="901">
      <c r="A901" s="2">
        <f>Cleaned_Data!A901</f>
        <v/>
      </c>
      <c r="B901" s="2">
        <f>Cleaned_Data!B901</f>
        <v/>
      </c>
      <c r="C901" s="2">
        <f>Cleaned_Data!G901</f>
        <v/>
      </c>
      <c r="D901" s="2">
        <f>Cleaned_Data!I901</f>
        <v/>
      </c>
      <c r="E901" s="2">
        <f>Cleaned_Data!H901</f>
        <v/>
      </c>
      <c r="F901" s="2">
        <f>Cleaned_Data!F901</f>
        <v/>
      </c>
      <c r="G901" s="9">
        <f>SUMPRODUCT(($B$2:$B$1196=B901)*($F$2:$F$1196&lt;=F901))/SUMPRODUCT(($B$2:$B$1196=B901)*1)</f>
        <v/>
      </c>
      <c r="H901" s="2">
        <f>Cleaned_Data!J901</f>
        <v/>
      </c>
      <c r="I901" s="2">
        <f>Cleaned_Data!E901</f>
        <v/>
      </c>
      <c r="J901" s="2">
        <f>IF(C901="Yes",1,0)</f>
        <v/>
      </c>
      <c r="K901" s="2">
        <f>MIN(MAX(1-(D901-1)/4,0),1)</f>
        <v/>
      </c>
      <c r="L901" s="2">
        <f>MIN(E901/60,1)</f>
        <v/>
      </c>
      <c r="M901" s="2">
        <f>MIN(MAX(1-G901,0),1)</f>
        <v/>
      </c>
      <c r="N901" s="2">
        <f>MIN(MAX(1-(H901-1)/4,0),1)</f>
        <v/>
      </c>
      <c r="O901" s="2">
        <f>1-MIN(I901/8,1)</f>
        <v/>
      </c>
      <c r="P901" s="10">
        <f>ROUND(100*(J901*Assumptions!$B$6+K901*Assumptions!$B$7+L901*Assumptions!$B$8+M901*Assumptions!$B$9+N901*Assumptions!$B$10+O901*Assumptions!$B$11),1)</f>
        <v/>
      </c>
      <c r="Q901" s="2">
        <f>IF(P901&gt;=Assumptions!$B$14,"High",IF(P901&gt;=Assumptions!$B$15,"Medium","Low"))</f>
        <v/>
      </c>
      <c r="R901" s="2">
        <f>Cleaned_Data!L901</f>
        <v/>
      </c>
    </row>
    <row r="902">
      <c r="A902" s="2">
        <f>Cleaned_Data!A902</f>
        <v/>
      </c>
      <c r="B902" s="2">
        <f>Cleaned_Data!B902</f>
        <v/>
      </c>
      <c r="C902" s="2">
        <f>Cleaned_Data!G902</f>
        <v/>
      </c>
      <c r="D902" s="2">
        <f>Cleaned_Data!I902</f>
        <v/>
      </c>
      <c r="E902" s="2">
        <f>Cleaned_Data!H902</f>
        <v/>
      </c>
      <c r="F902" s="2">
        <f>Cleaned_Data!F902</f>
        <v/>
      </c>
      <c r="G902" s="9">
        <f>SUMPRODUCT(($B$2:$B$1196=B902)*($F$2:$F$1196&lt;=F902))/SUMPRODUCT(($B$2:$B$1196=B902)*1)</f>
        <v/>
      </c>
      <c r="H902" s="2">
        <f>Cleaned_Data!J902</f>
        <v/>
      </c>
      <c r="I902" s="2">
        <f>Cleaned_Data!E902</f>
        <v/>
      </c>
      <c r="J902" s="2">
        <f>IF(C902="Yes",1,0)</f>
        <v/>
      </c>
      <c r="K902" s="2">
        <f>MIN(MAX(1-(D902-1)/4,0),1)</f>
        <v/>
      </c>
      <c r="L902" s="2">
        <f>MIN(E902/60,1)</f>
        <v/>
      </c>
      <c r="M902" s="2">
        <f>MIN(MAX(1-G902,0),1)</f>
        <v/>
      </c>
      <c r="N902" s="2">
        <f>MIN(MAX(1-(H902-1)/4,0),1)</f>
        <v/>
      </c>
      <c r="O902" s="2">
        <f>1-MIN(I902/8,1)</f>
        <v/>
      </c>
      <c r="P902" s="10">
        <f>ROUND(100*(J902*Assumptions!$B$6+K902*Assumptions!$B$7+L902*Assumptions!$B$8+M902*Assumptions!$B$9+N902*Assumptions!$B$10+O902*Assumptions!$B$11),1)</f>
        <v/>
      </c>
      <c r="Q902" s="2">
        <f>IF(P902&gt;=Assumptions!$B$14,"High",IF(P902&gt;=Assumptions!$B$15,"Medium","Low"))</f>
        <v/>
      </c>
      <c r="R902" s="2">
        <f>Cleaned_Data!L902</f>
        <v/>
      </c>
    </row>
    <row r="903">
      <c r="A903" s="2">
        <f>Cleaned_Data!A903</f>
        <v/>
      </c>
      <c r="B903" s="2">
        <f>Cleaned_Data!B903</f>
        <v/>
      </c>
      <c r="C903" s="2">
        <f>Cleaned_Data!G903</f>
        <v/>
      </c>
      <c r="D903" s="2">
        <f>Cleaned_Data!I903</f>
        <v/>
      </c>
      <c r="E903" s="2">
        <f>Cleaned_Data!H903</f>
        <v/>
      </c>
      <c r="F903" s="2">
        <f>Cleaned_Data!F903</f>
        <v/>
      </c>
      <c r="G903" s="9">
        <f>SUMPRODUCT(($B$2:$B$1196=B903)*($F$2:$F$1196&lt;=F903))/SUMPRODUCT(($B$2:$B$1196=B903)*1)</f>
        <v/>
      </c>
      <c r="H903" s="2">
        <f>Cleaned_Data!J903</f>
        <v/>
      </c>
      <c r="I903" s="2">
        <f>Cleaned_Data!E903</f>
        <v/>
      </c>
      <c r="J903" s="2">
        <f>IF(C903="Yes",1,0)</f>
        <v/>
      </c>
      <c r="K903" s="2">
        <f>MIN(MAX(1-(D903-1)/4,0),1)</f>
        <v/>
      </c>
      <c r="L903" s="2">
        <f>MIN(E903/60,1)</f>
        <v/>
      </c>
      <c r="M903" s="2">
        <f>MIN(MAX(1-G903,0),1)</f>
        <v/>
      </c>
      <c r="N903" s="2">
        <f>MIN(MAX(1-(H903-1)/4,0),1)</f>
        <v/>
      </c>
      <c r="O903" s="2">
        <f>1-MIN(I903/8,1)</f>
        <v/>
      </c>
      <c r="P903" s="10">
        <f>ROUND(100*(J903*Assumptions!$B$6+K903*Assumptions!$B$7+L903*Assumptions!$B$8+M903*Assumptions!$B$9+N903*Assumptions!$B$10+O903*Assumptions!$B$11),1)</f>
        <v/>
      </c>
      <c r="Q903" s="2">
        <f>IF(P903&gt;=Assumptions!$B$14,"High",IF(P903&gt;=Assumptions!$B$15,"Medium","Low"))</f>
        <v/>
      </c>
      <c r="R903" s="2">
        <f>Cleaned_Data!L903</f>
        <v/>
      </c>
    </row>
    <row r="904">
      <c r="A904" s="2">
        <f>Cleaned_Data!A904</f>
        <v/>
      </c>
      <c r="B904" s="2">
        <f>Cleaned_Data!B904</f>
        <v/>
      </c>
      <c r="C904" s="2">
        <f>Cleaned_Data!G904</f>
        <v/>
      </c>
      <c r="D904" s="2">
        <f>Cleaned_Data!I904</f>
        <v/>
      </c>
      <c r="E904" s="2">
        <f>Cleaned_Data!H904</f>
        <v/>
      </c>
      <c r="F904" s="2">
        <f>Cleaned_Data!F904</f>
        <v/>
      </c>
      <c r="G904" s="9">
        <f>SUMPRODUCT(($B$2:$B$1196=B904)*($F$2:$F$1196&lt;=F904))/SUMPRODUCT(($B$2:$B$1196=B904)*1)</f>
        <v/>
      </c>
      <c r="H904" s="2">
        <f>Cleaned_Data!J904</f>
        <v/>
      </c>
      <c r="I904" s="2">
        <f>Cleaned_Data!E904</f>
        <v/>
      </c>
      <c r="J904" s="2">
        <f>IF(C904="Yes",1,0)</f>
        <v/>
      </c>
      <c r="K904" s="2">
        <f>MIN(MAX(1-(D904-1)/4,0),1)</f>
        <v/>
      </c>
      <c r="L904" s="2">
        <f>MIN(E904/60,1)</f>
        <v/>
      </c>
      <c r="M904" s="2">
        <f>MIN(MAX(1-G904,0),1)</f>
        <v/>
      </c>
      <c r="N904" s="2">
        <f>MIN(MAX(1-(H904-1)/4,0),1)</f>
        <v/>
      </c>
      <c r="O904" s="2">
        <f>1-MIN(I904/8,1)</f>
        <v/>
      </c>
      <c r="P904" s="10">
        <f>ROUND(100*(J904*Assumptions!$B$6+K904*Assumptions!$B$7+L904*Assumptions!$B$8+M904*Assumptions!$B$9+N904*Assumptions!$B$10+O904*Assumptions!$B$11),1)</f>
        <v/>
      </c>
      <c r="Q904" s="2">
        <f>IF(P904&gt;=Assumptions!$B$14,"High",IF(P904&gt;=Assumptions!$B$15,"Medium","Low"))</f>
        <v/>
      </c>
      <c r="R904" s="2">
        <f>Cleaned_Data!L904</f>
        <v/>
      </c>
    </row>
    <row r="905">
      <c r="A905" s="2">
        <f>Cleaned_Data!A905</f>
        <v/>
      </c>
      <c r="B905" s="2">
        <f>Cleaned_Data!B905</f>
        <v/>
      </c>
      <c r="C905" s="2">
        <f>Cleaned_Data!G905</f>
        <v/>
      </c>
      <c r="D905" s="2">
        <f>Cleaned_Data!I905</f>
        <v/>
      </c>
      <c r="E905" s="2">
        <f>Cleaned_Data!H905</f>
        <v/>
      </c>
      <c r="F905" s="2">
        <f>Cleaned_Data!F905</f>
        <v/>
      </c>
      <c r="G905" s="9">
        <f>SUMPRODUCT(($B$2:$B$1196=B905)*($F$2:$F$1196&lt;=F905))/SUMPRODUCT(($B$2:$B$1196=B905)*1)</f>
        <v/>
      </c>
      <c r="H905" s="2">
        <f>Cleaned_Data!J905</f>
        <v/>
      </c>
      <c r="I905" s="2">
        <f>Cleaned_Data!E905</f>
        <v/>
      </c>
      <c r="J905" s="2">
        <f>IF(C905="Yes",1,0)</f>
        <v/>
      </c>
      <c r="K905" s="2">
        <f>MIN(MAX(1-(D905-1)/4,0),1)</f>
        <v/>
      </c>
      <c r="L905" s="2">
        <f>MIN(E905/60,1)</f>
        <v/>
      </c>
      <c r="M905" s="2">
        <f>MIN(MAX(1-G905,0),1)</f>
        <v/>
      </c>
      <c r="N905" s="2">
        <f>MIN(MAX(1-(H905-1)/4,0),1)</f>
        <v/>
      </c>
      <c r="O905" s="2">
        <f>1-MIN(I905/8,1)</f>
        <v/>
      </c>
      <c r="P905" s="10">
        <f>ROUND(100*(J905*Assumptions!$B$6+K905*Assumptions!$B$7+L905*Assumptions!$B$8+M905*Assumptions!$B$9+N905*Assumptions!$B$10+O905*Assumptions!$B$11),1)</f>
        <v/>
      </c>
      <c r="Q905" s="2">
        <f>IF(P905&gt;=Assumptions!$B$14,"High",IF(P905&gt;=Assumptions!$B$15,"Medium","Low"))</f>
        <v/>
      </c>
      <c r="R905" s="2">
        <f>Cleaned_Data!L905</f>
        <v/>
      </c>
    </row>
    <row r="906">
      <c r="A906" s="2">
        <f>Cleaned_Data!A906</f>
        <v/>
      </c>
      <c r="B906" s="2">
        <f>Cleaned_Data!B906</f>
        <v/>
      </c>
      <c r="C906" s="2">
        <f>Cleaned_Data!G906</f>
        <v/>
      </c>
      <c r="D906" s="2">
        <f>Cleaned_Data!I906</f>
        <v/>
      </c>
      <c r="E906" s="2">
        <f>Cleaned_Data!H906</f>
        <v/>
      </c>
      <c r="F906" s="2">
        <f>Cleaned_Data!F906</f>
        <v/>
      </c>
      <c r="G906" s="9">
        <f>SUMPRODUCT(($B$2:$B$1196=B906)*($F$2:$F$1196&lt;=F906))/SUMPRODUCT(($B$2:$B$1196=B906)*1)</f>
        <v/>
      </c>
      <c r="H906" s="2">
        <f>Cleaned_Data!J906</f>
        <v/>
      </c>
      <c r="I906" s="2">
        <f>Cleaned_Data!E906</f>
        <v/>
      </c>
      <c r="J906" s="2">
        <f>IF(C906="Yes",1,0)</f>
        <v/>
      </c>
      <c r="K906" s="2">
        <f>MIN(MAX(1-(D906-1)/4,0),1)</f>
        <v/>
      </c>
      <c r="L906" s="2">
        <f>MIN(E906/60,1)</f>
        <v/>
      </c>
      <c r="M906" s="2">
        <f>MIN(MAX(1-G906,0),1)</f>
        <v/>
      </c>
      <c r="N906" s="2">
        <f>MIN(MAX(1-(H906-1)/4,0),1)</f>
        <v/>
      </c>
      <c r="O906" s="2">
        <f>1-MIN(I906/8,1)</f>
        <v/>
      </c>
      <c r="P906" s="10">
        <f>ROUND(100*(J906*Assumptions!$B$6+K906*Assumptions!$B$7+L906*Assumptions!$B$8+M906*Assumptions!$B$9+N906*Assumptions!$B$10+O906*Assumptions!$B$11),1)</f>
        <v/>
      </c>
      <c r="Q906" s="2">
        <f>IF(P906&gt;=Assumptions!$B$14,"High",IF(P906&gt;=Assumptions!$B$15,"Medium","Low"))</f>
        <v/>
      </c>
      <c r="R906" s="2">
        <f>Cleaned_Data!L906</f>
        <v/>
      </c>
    </row>
    <row r="907">
      <c r="A907" s="2">
        <f>Cleaned_Data!A907</f>
        <v/>
      </c>
      <c r="B907" s="2">
        <f>Cleaned_Data!B907</f>
        <v/>
      </c>
      <c r="C907" s="2">
        <f>Cleaned_Data!G907</f>
        <v/>
      </c>
      <c r="D907" s="2">
        <f>Cleaned_Data!I907</f>
        <v/>
      </c>
      <c r="E907" s="2">
        <f>Cleaned_Data!H907</f>
        <v/>
      </c>
      <c r="F907" s="2">
        <f>Cleaned_Data!F907</f>
        <v/>
      </c>
      <c r="G907" s="9">
        <f>SUMPRODUCT(($B$2:$B$1196=B907)*($F$2:$F$1196&lt;=F907))/SUMPRODUCT(($B$2:$B$1196=B907)*1)</f>
        <v/>
      </c>
      <c r="H907" s="2">
        <f>Cleaned_Data!J907</f>
        <v/>
      </c>
      <c r="I907" s="2">
        <f>Cleaned_Data!E907</f>
        <v/>
      </c>
      <c r="J907" s="2">
        <f>IF(C907="Yes",1,0)</f>
        <v/>
      </c>
      <c r="K907" s="2">
        <f>MIN(MAX(1-(D907-1)/4,0),1)</f>
        <v/>
      </c>
      <c r="L907" s="2">
        <f>MIN(E907/60,1)</f>
        <v/>
      </c>
      <c r="M907" s="2">
        <f>MIN(MAX(1-G907,0),1)</f>
        <v/>
      </c>
      <c r="N907" s="2">
        <f>MIN(MAX(1-(H907-1)/4,0),1)</f>
        <v/>
      </c>
      <c r="O907" s="2">
        <f>1-MIN(I907/8,1)</f>
        <v/>
      </c>
      <c r="P907" s="10">
        <f>ROUND(100*(J907*Assumptions!$B$6+K907*Assumptions!$B$7+L907*Assumptions!$B$8+M907*Assumptions!$B$9+N907*Assumptions!$B$10+O907*Assumptions!$B$11),1)</f>
        <v/>
      </c>
      <c r="Q907" s="2">
        <f>IF(P907&gt;=Assumptions!$B$14,"High",IF(P907&gt;=Assumptions!$B$15,"Medium","Low"))</f>
        <v/>
      </c>
      <c r="R907" s="2">
        <f>Cleaned_Data!L907</f>
        <v/>
      </c>
    </row>
    <row r="908">
      <c r="A908" s="2">
        <f>Cleaned_Data!A908</f>
        <v/>
      </c>
      <c r="B908" s="2">
        <f>Cleaned_Data!B908</f>
        <v/>
      </c>
      <c r="C908" s="2">
        <f>Cleaned_Data!G908</f>
        <v/>
      </c>
      <c r="D908" s="2">
        <f>Cleaned_Data!I908</f>
        <v/>
      </c>
      <c r="E908" s="2">
        <f>Cleaned_Data!H908</f>
        <v/>
      </c>
      <c r="F908" s="2">
        <f>Cleaned_Data!F908</f>
        <v/>
      </c>
      <c r="G908" s="9">
        <f>SUMPRODUCT(($B$2:$B$1196=B908)*($F$2:$F$1196&lt;=F908))/SUMPRODUCT(($B$2:$B$1196=B908)*1)</f>
        <v/>
      </c>
      <c r="H908" s="2">
        <f>Cleaned_Data!J908</f>
        <v/>
      </c>
      <c r="I908" s="2">
        <f>Cleaned_Data!E908</f>
        <v/>
      </c>
      <c r="J908" s="2">
        <f>IF(C908="Yes",1,0)</f>
        <v/>
      </c>
      <c r="K908" s="2">
        <f>MIN(MAX(1-(D908-1)/4,0),1)</f>
        <v/>
      </c>
      <c r="L908" s="2">
        <f>MIN(E908/60,1)</f>
        <v/>
      </c>
      <c r="M908" s="2">
        <f>MIN(MAX(1-G908,0),1)</f>
        <v/>
      </c>
      <c r="N908" s="2">
        <f>MIN(MAX(1-(H908-1)/4,0),1)</f>
        <v/>
      </c>
      <c r="O908" s="2">
        <f>1-MIN(I908/8,1)</f>
        <v/>
      </c>
      <c r="P908" s="10">
        <f>ROUND(100*(J908*Assumptions!$B$6+K908*Assumptions!$B$7+L908*Assumptions!$B$8+M908*Assumptions!$B$9+N908*Assumptions!$B$10+O908*Assumptions!$B$11),1)</f>
        <v/>
      </c>
      <c r="Q908" s="2">
        <f>IF(P908&gt;=Assumptions!$B$14,"High",IF(P908&gt;=Assumptions!$B$15,"Medium","Low"))</f>
        <v/>
      </c>
      <c r="R908" s="2">
        <f>Cleaned_Data!L908</f>
        <v/>
      </c>
    </row>
    <row r="909">
      <c r="A909" s="2">
        <f>Cleaned_Data!A909</f>
        <v/>
      </c>
      <c r="B909" s="2">
        <f>Cleaned_Data!B909</f>
        <v/>
      </c>
      <c r="C909" s="2">
        <f>Cleaned_Data!G909</f>
        <v/>
      </c>
      <c r="D909" s="2">
        <f>Cleaned_Data!I909</f>
        <v/>
      </c>
      <c r="E909" s="2">
        <f>Cleaned_Data!H909</f>
        <v/>
      </c>
      <c r="F909" s="2">
        <f>Cleaned_Data!F909</f>
        <v/>
      </c>
      <c r="G909" s="9">
        <f>SUMPRODUCT(($B$2:$B$1196=B909)*($F$2:$F$1196&lt;=F909))/SUMPRODUCT(($B$2:$B$1196=B909)*1)</f>
        <v/>
      </c>
      <c r="H909" s="2">
        <f>Cleaned_Data!J909</f>
        <v/>
      </c>
      <c r="I909" s="2">
        <f>Cleaned_Data!E909</f>
        <v/>
      </c>
      <c r="J909" s="2">
        <f>IF(C909="Yes",1,0)</f>
        <v/>
      </c>
      <c r="K909" s="2">
        <f>MIN(MAX(1-(D909-1)/4,0),1)</f>
        <v/>
      </c>
      <c r="L909" s="2">
        <f>MIN(E909/60,1)</f>
        <v/>
      </c>
      <c r="M909" s="2">
        <f>MIN(MAX(1-G909,0),1)</f>
        <v/>
      </c>
      <c r="N909" s="2">
        <f>MIN(MAX(1-(H909-1)/4,0),1)</f>
        <v/>
      </c>
      <c r="O909" s="2">
        <f>1-MIN(I909/8,1)</f>
        <v/>
      </c>
      <c r="P909" s="10">
        <f>ROUND(100*(J909*Assumptions!$B$6+K909*Assumptions!$B$7+L909*Assumptions!$B$8+M909*Assumptions!$B$9+N909*Assumptions!$B$10+O909*Assumptions!$B$11),1)</f>
        <v/>
      </c>
      <c r="Q909" s="2">
        <f>IF(P909&gt;=Assumptions!$B$14,"High",IF(P909&gt;=Assumptions!$B$15,"Medium","Low"))</f>
        <v/>
      </c>
      <c r="R909" s="2">
        <f>Cleaned_Data!L909</f>
        <v/>
      </c>
    </row>
    <row r="910">
      <c r="A910" s="2">
        <f>Cleaned_Data!A910</f>
        <v/>
      </c>
      <c r="B910" s="2">
        <f>Cleaned_Data!B910</f>
        <v/>
      </c>
      <c r="C910" s="2">
        <f>Cleaned_Data!G910</f>
        <v/>
      </c>
      <c r="D910" s="2">
        <f>Cleaned_Data!I910</f>
        <v/>
      </c>
      <c r="E910" s="2">
        <f>Cleaned_Data!H910</f>
        <v/>
      </c>
      <c r="F910" s="2">
        <f>Cleaned_Data!F910</f>
        <v/>
      </c>
      <c r="G910" s="9">
        <f>SUMPRODUCT(($B$2:$B$1196=B910)*($F$2:$F$1196&lt;=F910))/SUMPRODUCT(($B$2:$B$1196=B910)*1)</f>
        <v/>
      </c>
      <c r="H910" s="2">
        <f>Cleaned_Data!J910</f>
        <v/>
      </c>
      <c r="I910" s="2">
        <f>Cleaned_Data!E910</f>
        <v/>
      </c>
      <c r="J910" s="2">
        <f>IF(C910="Yes",1,0)</f>
        <v/>
      </c>
      <c r="K910" s="2">
        <f>MIN(MAX(1-(D910-1)/4,0),1)</f>
        <v/>
      </c>
      <c r="L910" s="2">
        <f>MIN(E910/60,1)</f>
        <v/>
      </c>
      <c r="M910" s="2">
        <f>MIN(MAX(1-G910,0),1)</f>
        <v/>
      </c>
      <c r="N910" s="2">
        <f>MIN(MAX(1-(H910-1)/4,0),1)</f>
        <v/>
      </c>
      <c r="O910" s="2">
        <f>1-MIN(I910/8,1)</f>
        <v/>
      </c>
      <c r="P910" s="10">
        <f>ROUND(100*(J910*Assumptions!$B$6+K910*Assumptions!$B$7+L910*Assumptions!$B$8+M910*Assumptions!$B$9+N910*Assumptions!$B$10+O910*Assumptions!$B$11),1)</f>
        <v/>
      </c>
      <c r="Q910" s="2">
        <f>IF(P910&gt;=Assumptions!$B$14,"High",IF(P910&gt;=Assumptions!$B$15,"Medium","Low"))</f>
        <v/>
      </c>
      <c r="R910" s="2">
        <f>Cleaned_Data!L910</f>
        <v/>
      </c>
    </row>
    <row r="911">
      <c r="A911" s="2">
        <f>Cleaned_Data!A911</f>
        <v/>
      </c>
      <c r="B911" s="2">
        <f>Cleaned_Data!B911</f>
        <v/>
      </c>
      <c r="C911" s="2">
        <f>Cleaned_Data!G911</f>
        <v/>
      </c>
      <c r="D911" s="2">
        <f>Cleaned_Data!I911</f>
        <v/>
      </c>
      <c r="E911" s="2">
        <f>Cleaned_Data!H911</f>
        <v/>
      </c>
      <c r="F911" s="2">
        <f>Cleaned_Data!F911</f>
        <v/>
      </c>
      <c r="G911" s="9">
        <f>SUMPRODUCT(($B$2:$B$1196=B911)*($F$2:$F$1196&lt;=F911))/SUMPRODUCT(($B$2:$B$1196=B911)*1)</f>
        <v/>
      </c>
      <c r="H911" s="2">
        <f>Cleaned_Data!J911</f>
        <v/>
      </c>
      <c r="I911" s="2">
        <f>Cleaned_Data!E911</f>
        <v/>
      </c>
      <c r="J911" s="2">
        <f>IF(C911="Yes",1,0)</f>
        <v/>
      </c>
      <c r="K911" s="2">
        <f>MIN(MAX(1-(D911-1)/4,0),1)</f>
        <v/>
      </c>
      <c r="L911" s="2">
        <f>MIN(E911/60,1)</f>
        <v/>
      </c>
      <c r="M911" s="2">
        <f>MIN(MAX(1-G911,0),1)</f>
        <v/>
      </c>
      <c r="N911" s="2">
        <f>MIN(MAX(1-(H911-1)/4,0),1)</f>
        <v/>
      </c>
      <c r="O911" s="2">
        <f>1-MIN(I911/8,1)</f>
        <v/>
      </c>
      <c r="P911" s="10">
        <f>ROUND(100*(J911*Assumptions!$B$6+K911*Assumptions!$B$7+L911*Assumptions!$B$8+M911*Assumptions!$B$9+N911*Assumptions!$B$10+O911*Assumptions!$B$11),1)</f>
        <v/>
      </c>
      <c r="Q911" s="2">
        <f>IF(P911&gt;=Assumptions!$B$14,"High",IF(P911&gt;=Assumptions!$B$15,"Medium","Low"))</f>
        <v/>
      </c>
      <c r="R911" s="2">
        <f>Cleaned_Data!L911</f>
        <v/>
      </c>
    </row>
    <row r="912">
      <c r="A912" s="2">
        <f>Cleaned_Data!A912</f>
        <v/>
      </c>
      <c r="B912" s="2">
        <f>Cleaned_Data!B912</f>
        <v/>
      </c>
      <c r="C912" s="2">
        <f>Cleaned_Data!G912</f>
        <v/>
      </c>
      <c r="D912" s="2">
        <f>Cleaned_Data!I912</f>
        <v/>
      </c>
      <c r="E912" s="2">
        <f>Cleaned_Data!H912</f>
        <v/>
      </c>
      <c r="F912" s="2">
        <f>Cleaned_Data!F912</f>
        <v/>
      </c>
      <c r="G912" s="9">
        <f>SUMPRODUCT(($B$2:$B$1196=B912)*($F$2:$F$1196&lt;=F912))/SUMPRODUCT(($B$2:$B$1196=B912)*1)</f>
        <v/>
      </c>
      <c r="H912" s="2">
        <f>Cleaned_Data!J912</f>
        <v/>
      </c>
      <c r="I912" s="2">
        <f>Cleaned_Data!E912</f>
        <v/>
      </c>
      <c r="J912" s="2">
        <f>IF(C912="Yes",1,0)</f>
        <v/>
      </c>
      <c r="K912" s="2">
        <f>MIN(MAX(1-(D912-1)/4,0),1)</f>
        <v/>
      </c>
      <c r="L912" s="2">
        <f>MIN(E912/60,1)</f>
        <v/>
      </c>
      <c r="M912" s="2">
        <f>MIN(MAX(1-G912,0),1)</f>
        <v/>
      </c>
      <c r="N912" s="2">
        <f>MIN(MAX(1-(H912-1)/4,0),1)</f>
        <v/>
      </c>
      <c r="O912" s="2">
        <f>1-MIN(I912/8,1)</f>
        <v/>
      </c>
      <c r="P912" s="10">
        <f>ROUND(100*(J912*Assumptions!$B$6+K912*Assumptions!$B$7+L912*Assumptions!$B$8+M912*Assumptions!$B$9+N912*Assumptions!$B$10+O912*Assumptions!$B$11),1)</f>
        <v/>
      </c>
      <c r="Q912" s="2">
        <f>IF(P912&gt;=Assumptions!$B$14,"High",IF(P912&gt;=Assumptions!$B$15,"Medium","Low"))</f>
        <v/>
      </c>
      <c r="R912" s="2">
        <f>Cleaned_Data!L912</f>
        <v/>
      </c>
    </row>
    <row r="913">
      <c r="A913" s="2">
        <f>Cleaned_Data!A913</f>
        <v/>
      </c>
      <c r="B913" s="2">
        <f>Cleaned_Data!B913</f>
        <v/>
      </c>
      <c r="C913" s="2">
        <f>Cleaned_Data!G913</f>
        <v/>
      </c>
      <c r="D913" s="2">
        <f>Cleaned_Data!I913</f>
        <v/>
      </c>
      <c r="E913" s="2">
        <f>Cleaned_Data!H913</f>
        <v/>
      </c>
      <c r="F913" s="2">
        <f>Cleaned_Data!F913</f>
        <v/>
      </c>
      <c r="G913" s="9">
        <f>SUMPRODUCT(($B$2:$B$1196=B913)*($F$2:$F$1196&lt;=F913))/SUMPRODUCT(($B$2:$B$1196=B913)*1)</f>
        <v/>
      </c>
      <c r="H913" s="2">
        <f>Cleaned_Data!J913</f>
        <v/>
      </c>
      <c r="I913" s="2">
        <f>Cleaned_Data!E913</f>
        <v/>
      </c>
      <c r="J913" s="2">
        <f>IF(C913="Yes",1,0)</f>
        <v/>
      </c>
      <c r="K913" s="2">
        <f>MIN(MAX(1-(D913-1)/4,0),1)</f>
        <v/>
      </c>
      <c r="L913" s="2">
        <f>MIN(E913/60,1)</f>
        <v/>
      </c>
      <c r="M913" s="2">
        <f>MIN(MAX(1-G913,0),1)</f>
        <v/>
      </c>
      <c r="N913" s="2">
        <f>MIN(MAX(1-(H913-1)/4,0),1)</f>
        <v/>
      </c>
      <c r="O913" s="2">
        <f>1-MIN(I913/8,1)</f>
        <v/>
      </c>
      <c r="P913" s="10">
        <f>ROUND(100*(J913*Assumptions!$B$6+K913*Assumptions!$B$7+L913*Assumptions!$B$8+M913*Assumptions!$B$9+N913*Assumptions!$B$10+O913*Assumptions!$B$11),1)</f>
        <v/>
      </c>
      <c r="Q913" s="2">
        <f>IF(P913&gt;=Assumptions!$B$14,"High",IF(P913&gt;=Assumptions!$B$15,"Medium","Low"))</f>
        <v/>
      </c>
      <c r="R913" s="2">
        <f>Cleaned_Data!L913</f>
        <v/>
      </c>
    </row>
    <row r="914">
      <c r="A914" s="2">
        <f>Cleaned_Data!A914</f>
        <v/>
      </c>
      <c r="B914" s="2">
        <f>Cleaned_Data!B914</f>
        <v/>
      </c>
      <c r="C914" s="2">
        <f>Cleaned_Data!G914</f>
        <v/>
      </c>
      <c r="D914" s="2">
        <f>Cleaned_Data!I914</f>
        <v/>
      </c>
      <c r="E914" s="2">
        <f>Cleaned_Data!H914</f>
        <v/>
      </c>
      <c r="F914" s="2">
        <f>Cleaned_Data!F914</f>
        <v/>
      </c>
      <c r="G914" s="9">
        <f>SUMPRODUCT(($B$2:$B$1196=B914)*($F$2:$F$1196&lt;=F914))/SUMPRODUCT(($B$2:$B$1196=B914)*1)</f>
        <v/>
      </c>
      <c r="H914" s="2">
        <f>Cleaned_Data!J914</f>
        <v/>
      </c>
      <c r="I914" s="2">
        <f>Cleaned_Data!E914</f>
        <v/>
      </c>
      <c r="J914" s="2">
        <f>IF(C914="Yes",1,0)</f>
        <v/>
      </c>
      <c r="K914" s="2">
        <f>MIN(MAX(1-(D914-1)/4,0),1)</f>
        <v/>
      </c>
      <c r="L914" s="2">
        <f>MIN(E914/60,1)</f>
        <v/>
      </c>
      <c r="M914" s="2">
        <f>MIN(MAX(1-G914,0),1)</f>
        <v/>
      </c>
      <c r="N914" s="2">
        <f>MIN(MAX(1-(H914-1)/4,0),1)</f>
        <v/>
      </c>
      <c r="O914" s="2">
        <f>1-MIN(I914/8,1)</f>
        <v/>
      </c>
      <c r="P914" s="10">
        <f>ROUND(100*(J914*Assumptions!$B$6+K914*Assumptions!$B$7+L914*Assumptions!$B$8+M914*Assumptions!$B$9+N914*Assumptions!$B$10+O914*Assumptions!$B$11),1)</f>
        <v/>
      </c>
      <c r="Q914" s="2">
        <f>IF(P914&gt;=Assumptions!$B$14,"High",IF(P914&gt;=Assumptions!$B$15,"Medium","Low"))</f>
        <v/>
      </c>
      <c r="R914" s="2">
        <f>Cleaned_Data!L914</f>
        <v/>
      </c>
    </row>
    <row r="915">
      <c r="A915" s="2">
        <f>Cleaned_Data!A915</f>
        <v/>
      </c>
      <c r="B915" s="2">
        <f>Cleaned_Data!B915</f>
        <v/>
      </c>
      <c r="C915" s="2">
        <f>Cleaned_Data!G915</f>
        <v/>
      </c>
      <c r="D915" s="2">
        <f>Cleaned_Data!I915</f>
        <v/>
      </c>
      <c r="E915" s="2">
        <f>Cleaned_Data!H915</f>
        <v/>
      </c>
      <c r="F915" s="2">
        <f>Cleaned_Data!F915</f>
        <v/>
      </c>
      <c r="G915" s="9">
        <f>SUMPRODUCT(($B$2:$B$1196=B915)*($F$2:$F$1196&lt;=F915))/SUMPRODUCT(($B$2:$B$1196=B915)*1)</f>
        <v/>
      </c>
      <c r="H915" s="2">
        <f>Cleaned_Data!J915</f>
        <v/>
      </c>
      <c r="I915" s="2">
        <f>Cleaned_Data!E915</f>
        <v/>
      </c>
      <c r="J915" s="2">
        <f>IF(C915="Yes",1,0)</f>
        <v/>
      </c>
      <c r="K915" s="2">
        <f>MIN(MAX(1-(D915-1)/4,0),1)</f>
        <v/>
      </c>
      <c r="L915" s="2">
        <f>MIN(E915/60,1)</f>
        <v/>
      </c>
      <c r="M915" s="2">
        <f>MIN(MAX(1-G915,0),1)</f>
        <v/>
      </c>
      <c r="N915" s="2">
        <f>MIN(MAX(1-(H915-1)/4,0),1)</f>
        <v/>
      </c>
      <c r="O915" s="2">
        <f>1-MIN(I915/8,1)</f>
        <v/>
      </c>
      <c r="P915" s="10">
        <f>ROUND(100*(J915*Assumptions!$B$6+K915*Assumptions!$B$7+L915*Assumptions!$B$8+M915*Assumptions!$B$9+N915*Assumptions!$B$10+O915*Assumptions!$B$11),1)</f>
        <v/>
      </c>
      <c r="Q915" s="2">
        <f>IF(P915&gt;=Assumptions!$B$14,"High",IF(P915&gt;=Assumptions!$B$15,"Medium","Low"))</f>
        <v/>
      </c>
      <c r="R915" s="2">
        <f>Cleaned_Data!L915</f>
        <v/>
      </c>
    </row>
    <row r="916">
      <c r="A916" s="2">
        <f>Cleaned_Data!A916</f>
        <v/>
      </c>
      <c r="B916" s="2">
        <f>Cleaned_Data!B916</f>
        <v/>
      </c>
      <c r="C916" s="2">
        <f>Cleaned_Data!G916</f>
        <v/>
      </c>
      <c r="D916" s="2">
        <f>Cleaned_Data!I916</f>
        <v/>
      </c>
      <c r="E916" s="2">
        <f>Cleaned_Data!H916</f>
        <v/>
      </c>
      <c r="F916" s="2">
        <f>Cleaned_Data!F916</f>
        <v/>
      </c>
      <c r="G916" s="9">
        <f>SUMPRODUCT(($B$2:$B$1196=B916)*($F$2:$F$1196&lt;=F916))/SUMPRODUCT(($B$2:$B$1196=B916)*1)</f>
        <v/>
      </c>
      <c r="H916" s="2">
        <f>Cleaned_Data!J916</f>
        <v/>
      </c>
      <c r="I916" s="2">
        <f>Cleaned_Data!E916</f>
        <v/>
      </c>
      <c r="J916" s="2">
        <f>IF(C916="Yes",1,0)</f>
        <v/>
      </c>
      <c r="K916" s="2">
        <f>MIN(MAX(1-(D916-1)/4,0),1)</f>
        <v/>
      </c>
      <c r="L916" s="2">
        <f>MIN(E916/60,1)</f>
        <v/>
      </c>
      <c r="M916" s="2">
        <f>MIN(MAX(1-G916,0),1)</f>
        <v/>
      </c>
      <c r="N916" s="2">
        <f>MIN(MAX(1-(H916-1)/4,0),1)</f>
        <v/>
      </c>
      <c r="O916" s="2">
        <f>1-MIN(I916/8,1)</f>
        <v/>
      </c>
      <c r="P916" s="10">
        <f>ROUND(100*(J916*Assumptions!$B$6+K916*Assumptions!$B$7+L916*Assumptions!$B$8+M916*Assumptions!$B$9+N916*Assumptions!$B$10+O916*Assumptions!$B$11),1)</f>
        <v/>
      </c>
      <c r="Q916" s="2">
        <f>IF(P916&gt;=Assumptions!$B$14,"High",IF(P916&gt;=Assumptions!$B$15,"Medium","Low"))</f>
        <v/>
      </c>
      <c r="R916" s="2">
        <f>Cleaned_Data!L916</f>
        <v/>
      </c>
    </row>
    <row r="917">
      <c r="A917" s="2">
        <f>Cleaned_Data!A917</f>
        <v/>
      </c>
      <c r="B917" s="2">
        <f>Cleaned_Data!B917</f>
        <v/>
      </c>
      <c r="C917" s="2">
        <f>Cleaned_Data!G917</f>
        <v/>
      </c>
      <c r="D917" s="2">
        <f>Cleaned_Data!I917</f>
        <v/>
      </c>
      <c r="E917" s="2">
        <f>Cleaned_Data!H917</f>
        <v/>
      </c>
      <c r="F917" s="2">
        <f>Cleaned_Data!F917</f>
        <v/>
      </c>
      <c r="G917" s="9">
        <f>SUMPRODUCT(($B$2:$B$1196=B917)*($F$2:$F$1196&lt;=F917))/SUMPRODUCT(($B$2:$B$1196=B917)*1)</f>
        <v/>
      </c>
      <c r="H917" s="2">
        <f>Cleaned_Data!J917</f>
        <v/>
      </c>
      <c r="I917" s="2">
        <f>Cleaned_Data!E917</f>
        <v/>
      </c>
      <c r="J917" s="2">
        <f>IF(C917="Yes",1,0)</f>
        <v/>
      </c>
      <c r="K917" s="2">
        <f>MIN(MAX(1-(D917-1)/4,0),1)</f>
        <v/>
      </c>
      <c r="L917" s="2">
        <f>MIN(E917/60,1)</f>
        <v/>
      </c>
      <c r="M917" s="2">
        <f>MIN(MAX(1-G917,0),1)</f>
        <v/>
      </c>
      <c r="N917" s="2">
        <f>MIN(MAX(1-(H917-1)/4,0),1)</f>
        <v/>
      </c>
      <c r="O917" s="2">
        <f>1-MIN(I917/8,1)</f>
        <v/>
      </c>
      <c r="P917" s="10">
        <f>ROUND(100*(J917*Assumptions!$B$6+K917*Assumptions!$B$7+L917*Assumptions!$B$8+M917*Assumptions!$B$9+N917*Assumptions!$B$10+O917*Assumptions!$B$11),1)</f>
        <v/>
      </c>
      <c r="Q917" s="2">
        <f>IF(P917&gt;=Assumptions!$B$14,"High",IF(P917&gt;=Assumptions!$B$15,"Medium","Low"))</f>
        <v/>
      </c>
      <c r="R917" s="2">
        <f>Cleaned_Data!L917</f>
        <v/>
      </c>
    </row>
    <row r="918">
      <c r="A918" s="2">
        <f>Cleaned_Data!A918</f>
        <v/>
      </c>
      <c r="B918" s="2">
        <f>Cleaned_Data!B918</f>
        <v/>
      </c>
      <c r="C918" s="2">
        <f>Cleaned_Data!G918</f>
        <v/>
      </c>
      <c r="D918" s="2">
        <f>Cleaned_Data!I918</f>
        <v/>
      </c>
      <c r="E918" s="2">
        <f>Cleaned_Data!H918</f>
        <v/>
      </c>
      <c r="F918" s="2">
        <f>Cleaned_Data!F918</f>
        <v/>
      </c>
      <c r="G918" s="9">
        <f>SUMPRODUCT(($B$2:$B$1196=B918)*($F$2:$F$1196&lt;=F918))/SUMPRODUCT(($B$2:$B$1196=B918)*1)</f>
        <v/>
      </c>
      <c r="H918" s="2">
        <f>Cleaned_Data!J918</f>
        <v/>
      </c>
      <c r="I918" s="2">
        <f>Cleaned_Data!E918</f>
        <v/>
      </c>
      <c r="J918" s="2">
        <f>IF(C918="Yes",1,0)</f>
        <v/>
      </c>
      <c r="K918" s="2">
        <f>MIN(MAX(1-(D918-1)/4,0),1)</f>
        <v/>
      </c>
      <c r="L918" s="2">
        <f>MIN(E918/60,1)</f>
        <v/>
      </c>
      <c r="M918" s="2">
        <f>MIN(MAX(1-G918,0),1)</f>
        <v/>
      </c>
      <c r="N918" s="2">
        <f>MIN(MAX(1-(H918-1)/4,0),1)</f>
        <v/>
      </c>
      <c r="O918" s="2">
        <f>1-MIN(I918/8,1)</f>
        <v/>
      </c>
      <c r="P918" s="10">
        <f>ROUND(100*(J918*Assumptions!$B$6+K918*Assumptions!$B$7+L918*Assumptions!$B$8+M918*Assumptions!$B$9+N918*Assumptions!$B$10+O918*Assumptions!$B$11),1)</f>
        <v/>
      </c>
      <c r="Q918" s="2">
        <f>IF(P918&gt;=Assumptions!$B$14,"High",IF(P918&gt;=Assumptions!$B$15,"Medium","Low"))</f>
        <v/>
      </c>
      <c r="R918" s="2">
        <f>Cleaned_Data!L918</f>
        <v/>
      </c>
    </row>
    <row r="919">
      <c r="A919" s="2">
        <f>Cleaned_Data!A919</f>
        <v/>
      </c>
      <c r="B919" s="2">
        <f>Cleaned_Data!B919</f>
        <v/>
      </c>
      <c r="C919" s="2">
        <f>Cleaned_Data!G919</f>
        <v/>
      </c>
      <c r="D919" s="2">
        <f>Cleaned_Data!I919</f>
        <v/>
      </c>
      <c r="E919" s="2">
        <f>Cleaned_Data!H919</f>
        <v/>
      </c>
      <c r="F919" s="2">
        <f>Cleaned_Data!F919</f>
        <v/>
      </c>
      <c r="G919" s="9">
        <f>SUMPRODUCT(($B$2:$B$1196=B919)*($F$2:$F$1196&lt;=F919))/SUMPRODUCT(($B$2:$B$1196=B919)*1)</f>
        <v/>
      </c>
      <c r="H919" s="2">
        <f>Cleaned_Data!J919</f>
        <v/>
      </c>
      <c r="I919" s="2">
        <f>Cleaned_Data!E919</f>
        <v/>
      </c>
      <c r="J919" s="2">
        <f>IF(C919="Yes",1,0)</f>
        <v/>
      </c>
      <c r="K919" s="2">
        <f>MIN(MAX(1-(D919-1)/4,0),1)</f>
        <v/>
      </c>
      <c r="L919" s="2">
        <f>MIN(E919/60,1)</f>
        <v/>
      </c>
      <c r="M919" s="2">
        <f>MIN(MAX(1-G919,0),1)</f>
        <v/>
      </c>
      <c r="N919" s="2">
        <f>MIN(MAX(1-(H919-1)/4,0),1)</f>
        <v/>
      </c>
      <c r="O919" s="2">
        <f>1-MIN(I919/8,1)</f>
        <v/>
      </c>
      <c r="P919" s="10">
        <f>ROUND(100*(J919*Assumptions!$B$6+K919*Assumptions!$B$7+L919*Assumptions!$B$8+M919*Assumptions!$B$9+N919*Assumptions!$B$10+O919*Assumptions!$B$11),1)</f>
        <v/>
      </c>
      <c r="Q919" s="2">
        <f>IF(P919&gt;=Assumptions!$B$14,"High",IF(P919&gt;=Assumptions!$B$15,"Medium","Low"))</f>
        <v/>
      </c>
      <c r="R919" s="2">
        <f>Cleaned_Data!L919</f>
        <v/>
      </c>
    </row>
    <row r="920">
      <c r="A920" s="2">
        <f>Cleaned_Data!A920</f>
        <v/>
      </c>
      <c r="B920" s="2">
        <f>Cleaned_Data!B920</f>
        <v/>
      </c>
      <c r="C920" s="2">
        <f>Cleaned_Data!G920</f>
        <v/>
      </c>
      <c r="D920" s="2">
        <f>Cleaned_Data!I920</f>
        <v/>
      </c>
      <c r="E920" s="2">
        <f>Cleaned_Data!H920</f>
        <v/>
      </c>
      <c r="F920" s="2">
        <f>Cleaned_Data!F920</f>
        <v/>
      </c>
      <c r="G920" s="9">
        <f>SUMPRODUCT(($B$2:$B$1196=B920)*($F$2:$F$1196&lt;=F920))/SUMPRODUCT(($B$2:$B$1196=B920)*1)</f>
        <v/>
      </c>
      <c r="H920" s="2">
        <f>Cleaned_Data!J920</f>
        <v/>
      </c>
      <c r="I920" s="2">
        <f>Cleaned_Data!E920</f>
        <v/>
      </c>
      <c r="J920" s="2">
        <f>IF(C920="Yes",1,0)</f>
        <v/>
      </c>
      <c r="K920" s="2">
        <f>MIN(MAX(1-(D920-1)/4,0),1)</f>
        <v/>
      </c>
      <c r="L920" s="2">
        <f>MIN(E920/60,1)</f>
        <v/>
      </c>
      <c r="M920" s="2">
        <f>MIN(MAX(1-G920,0),1)</f>
        <v/>
      </c>
      <c r="N920" s="2">
        <f>MIN(MAX(1-(H920-1)/4,0),1)</f>
        <v/>
      </c>
      <c r="O920" s="2">
        <f>1-MIN(I920/8,1)</f>
        <v/>
      </c>
      <c r="P920" s="10">
        <f>ROUND(100*(J920*Assumptions!$B$6+K920*Assumptions!$B$7+L920*Assumptions!$B$8+M920*Assumptions!$B$9+N920*Assumptions!$B$10+O920*Assumptions!$B$11),1)</f>
        <v/>
      </c>
      <c r="Q920" s="2">
        <f>IF(P920&gt;=Assumptions!$B$14,"High",IF(P920&gt;=Assumptions!$B$15,"Medium","Low"))</f>
        <v/>
      </c>
      <c r="R920" s="2">
        <f>Cleaned_Data!L920</f>
        <v/>
      </c>
    </row>
    <row r="921">
      <c r="A921" s="2">
        <f>Cleaned_Data!A921</f>
        <v/>
      </c>
      <c r="B921" s="2">
        <f>Cleaned_Data!B921</f>
        <v/>
      </c>
      <c r="C921" s="2">
        <f>Cleaned_Data!G921</f>
        <v/>
      </c>
      <c r="D921" s="2">
        <f>Cleaned_Data!I921</f>
        <v/>
      </c>
      <c r="E921" s="2">
        <f>Cleaned_Data!H921</f>
        <v/>
      </c>
      <c r="F921" s="2">
        <f>Cleaned_Data!F921</f>
        <v/>
      </c>
      <c r="G921" s="9">
        <f>SUMPRODUCT(($B$2:$B$1196=B921)*($F$2:$F$1196&lt;=F921))/SUMPRODUCT(($B$2:$B$1196=B921)*1)</f>
        <v/>
      </c>
      <c r="H921" s="2">
        <f>Cleaned_Data!J921</f>
        <v/>
      </c>
      <c r="I921" s="2">
        <f>Cleaned_Data!E921</f>
        <v/>
      </c>
      <c r="J921" s="2">
        <f>IF(C921="Yes",1,0)</f>
        <v/>
      </c>
      <c r="K921" s="2">
        <f>MIN(MAX(1-(D921-1)/4,0),1)</f>
        <v/>
      </c>
      <c r="L921" s="2">
        <f>MIN(E921/60,1)</f>
        <v/>
      </c>
      <c r="M921" s="2">
        <f>MIN(MAX(1-G921,0),1)</f>
        <v/>
      </c>
      <c r="N921" s="2">
        <f>MIN(MAX(1-(H921-1)/4,0),1)</f>
        <v/>
      </c>
      <c r="O921" s="2">
        <f>1-MIN(I921/8,1)</f>
        <v/>
      </c>
      <c r="P921" s="10">
        <f>ROUND(100*(J921*Assumptions!$B$6+K921*Assumptions!$B$7+L921*Assumptions!$B$8+M921*Assumptions!$B$9+N921*Assumptions!$B$10+O921*Assumptions!$B$11),1)</f>
        <v/>
      </c>
      <c r="Q921" s="2">
        <f>IF(P921&gt;=Assumptions!$B$14,"High",IF(P921&gt;=Assumptions!$B$15,"Medium","Low"))</f>
        <v/>
      </c>
      <c r="R921" s="2">
        <f>Cleaned_Data!L921</f>
        <v/>
      </c>
    </row>
    <row r="922">
      <c r="A922" s="2">
        <f>Cleaned_Data!A922</f>
        <v/>
      </c>
      <c r="B922" s="2">
        <f>Cleaned_Data!B922</f>
        <v/>
      </c>
      <c r="C922" s="2">
        <f>Cleaned_Data!G922</f>
        <v/>
      </c>
      <c r="D922" s="2">
        <f>Cleaned_Data!I922</f>
        <v/>
      </c>
      <c r="E922" s="2">
        <f>Cleaned_Data!H922</f>
        <v/>
      </c>
      <c r="F922" s="2">
        <f>Cleaned_Data!F922</f>
        <v/>
      </c>
      <c r="G922" s="9">
        <f>SUMPRODUCT(($B$2:$B$1196=B922)*($F$2:$F$1196&lt;=F922))/SUMPRODUCT(($B$2:$B$1196=B922)*1)</f>
        <v/>
      </c>
      <c r="H922" s="2">
        <f>Cleaned_Data!J922</f>
        <v/>
      </c>
      <c r="I922" s="2">
        <f>Cleaned_Data!E922</f>
        <v/>
      </c>
      <c r="J922" s="2">
        <f>IF(C922="Yes",1,0)</f>
        <v/>
      </c>
      <c r="K922" s="2">
        <f>MIN(MAX(1-(D922-1)/4,0),1)</f>
        <v/>
      </c>
      <c r="L922" s="2">
        <f>MIN(E922/60,1)</f>
        <v/>
      </c>
      <c r="M922" s="2">
        <f>MIN(MAX(1-G922,0),1)</f>
        <v/>
      </c>
      <c r="N922" s="2">
        <f>MIN(MAX(1-(H922-1)/4,0),1)</f>
        <v/>
      </c>
      <c r="O922" s="2">
        <f>1-MIN(I922/8,1)</f>
        <v/>
      </c>
      <c r="P922" s="10">
        <f>ROUND(100*(J922*Assumptions!$B$6+K922*Assumptions!$B$7+L922*Assumptions!$B$8+M922*Assumptions!$B$9+N922*Assumptions!$B$10+O922*Assumptions!$B$11),1)</f>
        <v/>
      </c>
      <c r="Q922" s="2">
        <f>IF(P922&gt;=Assumptions!$B$14,"High",IF(P922&gt;=Assumptions!$B$15,"Medium","Low"))</f>
        <v/>
      </c>
      <c r="R922" s="2">
        <f>Cleaned_Data!L922</f>
        <v/>
      </c>
    </row>
    <row r="923">
      <c r="A923" s="2">
        <f>Cleaned_Data!A923</f>
        <v/>
      </c>
      <c r="B923" s="2">
        <f>Cleaned_Data!B923</f>
        <v/>
      </c>
      <c r="C923" s="2">
        <f>Cleaned_Data!G923</f>
        <v/>
      </c>
      <c r="D923" s="2">
        <f>Cleaned_Data!I923</f>
        <v/>
      </c>
      <c r="E923" s="2">
        <f>Cleaned_Data!H923</f>
        <v/>
      </c>
      <c r="F923" s="2">
        <f>Cleaned_Data!F923</f>
        <v/>
      </c>
      <c r="G923" s="9">
        <f>SUMPRODUCT(($B$2:$B$1196=B923)*($F$2:$F$1196&lt;=F923))/SUMPRODUCT(($B$2:$B$1196=B923)*1)</f>
        <v/>
      </c>
      <c r="H923" s="2">
        <f>Cleaned_Data!J923</f>
        <v/>
      </c>
      <c r="I923" s="2">
        <f>Cleaned_Data!E923</f>
        <v/>
      </c>
      <c r="J923" s="2">
        <f>IF(C923="Yes",1,0)</f>
        <v/>
      </c>
      <c r="K923" s="2">
        <f>MIN(MAX(1-(D923-1)/4,0),1)</f>
        <v/>
      </c>
      <c r="L923" s="2">
        <f>MIN(E923/60,1)</f>
        <v/>
      </c>
      <c r="M923" s="2">
        <f>MIN(MAX(1-G923,0),1)</f>
        <v/>
      </c>
      <c r="N923" s="2">
        <f>MIN(MAX(1-(H923-1)/4,0),1)</f>
        <v/>
      </c>
      <c r="O923" s="2">
        <f>1-MIN(I923/8,1)</f>
        <v/>
      </c>
      <c r="P923" s="10">
        <f>ROUND(100*(J923*Assumptions!$B$6+K923*Assumptions!$B$7+L923*Assumptions!$B$8+M923*Assumptions!$B$9+N923*Assumptions!$B$10+O923*Assumptions!$B$11),1)</f>
        <v/>
      </c>
      <c r="Q923" s="2">
        <f>IF(P923&gt;=Assumptions!$B$14,"High",IF(P923&gt;=Assumptions!$B$15,"Medium","Low"))</f>
        <v/>
      </c>
      <c r="R923" s="2">
        <f>Cleaned_Data!L923</f>
        <v/>
      </c>
    </row>
    <row r="924">
      <c r="A924" s="2">
        <f>Cleaned_Data!A924</f>
        <v/>
      </c>
      <c r="B924" s="2">
        <f>Cleaned_Data!B924</f>
        <v/>
      </c>
      <c r="C924" s="2">
        <f>Cleaned_Data!G924</f>
        <v/>
      </c>
      <c r="D924" s="2">
        <f>Cleaned_Data!I924</f>
        <v/>
      </c>
      <c r="E924" s="2">
        <f>Cleaned_Data!H924</f>
        <v/>
      </c>
      <c r="F924" s="2">
        <f>Cleaned_Data!F924</f>
        <v/>
      </c>
      <c r="G924" s="9">
        <f>SUMPRODUCT(($B$2:$B$1196=B924)*($F$2:$F$1196&lt;=F924))/SUMPRODUCT(($B$2:$B$1196=B924)*1)</f>
        <v/>
      </c>
      <c r="H924" s="2">
        <f>Cleaned_Data!J924</f>
        <v/>
      </c>
      <c r="I924" s="2">
        <f>Cleaned_Data!E924</f>
        <v/>
      </c>
      <c r="J924" s="2">
        <f>IF(C924="Yes",1,0)</f>
        <v/>
      </c>
      <c r="K924" s="2">
        <f>MIN(MAX(1-(D924-1)/4,0),1)</f>
        <v/>
      </c>
      <c r="L924" s="2">
        <f>MIN(E924/60,1)</f>
        <v/>
      </c>
      <c r="M924" s="2">
        <f>MIN(MAX(1-G924,0),1)</f>
        <v/>
      </c>
      <c r="N924" s="2">
        <f>MIN(MAX(1-(H924-1)/4,0),1)</f>
        <v/>
      </c>
      <c r="O924" s="2">
        <f>1-MIN(I924/8,1)</f>
        <v/>
      </c>
      <c r="P924" s="10">
        <f>ROUND(100*(J924*Assumptions!$B$6+K924*Assumptions!$B$7+L924*Assumptions!$B$8+M924*Assumptions!$B$9+N924*Assumptions!$B$10+O924*Assumptions!$B$11),1)</f>
        <v/>
      </c>
      <c r="Q924" s="2">
        <f>IF(P924&gt;=Assumptions!$B$14,"High",IF(P924&gt;=Assumptions!$B$15,"Medium","Low"))</f>
        <v/>
      </c>
      <c r="R924" s="2">
        <f>Cleaned_Data!L924</f>
        <v/>
      </c>
    </row>
    <row r="925">
      <c r="A925" s="2">
        <f>Cleaned_Data!A925</f>
        <v/>
      </c>
      <c r="B925" s="2">
        <f>Cleaned_Data!B925</f>
        <v/>
      </c>
      <c r="C925" s="2">
        <f>Cleaned_Data!G925</f>
        <v/>
      </c>
      <c r="D925" s="2">
        <f>Cleaned_Data!I925</f>
        <v/>
      </c>
      <c r="E925" s="2">
        <f>Cleaned_Data!H925</f>
        <v/>
      </c>
      <c r="F925" s="2">
        <f>Cleaned_Data!F925</f>
        <v/>
      </c>
      <c r="G925" s="9">
        <f>SUMPRODUCT(($B$2:$B$1196=B925)*($F$2:$F$1196&lt;=F925))/SUMPRODUCT(($B$2:$B$1196=B925)*1)</f>
        <v/>
      </c>
      <c r="H925" s="2">
        <f>Cleaned_Data!J925</f>
        <v/>
      </c>
      <c r="I925" s="2">
        <f>Cleaned_Data!E925</f>
        <v/>
      </c>
      <c r="J925" s="2">
        <f>IF(C925="Yes",1,0)</f>
        <v/>
      </c>
      <c r="K925" s="2">
        <f>MIN(MAX(1-(D925-1)/4,0),1)</f>
        <v/>
      </c>
      <c r="L925" s="2">
        <f>MIN(E925/60,1)</f>
        <v/>
      </c>
      <c r="M925" s="2">
        <f>MIN(MAX(1-G925,0),1)</f>
        <v/>
      </c>
      <c r="N925" s="2">
        <f>MIN(MAX(1-(H925-1)/4,0),1)</f>
        <v/>
      </c>
      <c r="O925" s="2">
        <f>1-MIN(I925/8,1)</f>
        <v/>
      </c>
      <c r="P925" s="10">
        <f>ROUND(100*(J925*Assumptions!$B$6+K925*Assumptions!$B$7+L925*Assumptions!$B$8+M925*Assumptions!$B$9+N925*Assumptions!$B$10+O925*Assumptions!$B$11),1)</f>
        <v/>
      </c>
      <c r="Q925" s="2">
        <f>IF(P925&gt;=Assumptions!$B$14,"High",IF(P925&gt;=Assumptions!$B$15,"Medium","Low"))</f>
        <v/>
      </c>
      <c r="R925" s="2">
        <f>Cleaned_Data!L925</f>
        <v/>
      </c>
    </row>
    <row r="926">
      <c r="A926" s="2">
        <f>Cleaned_Data!A926</f>
        <v/>
      </c>
      <c r="B926" s="2">
        <f>Cleaned_Data!B926</f>
        <v/>
      </c>
      <c r="C926" s="2">
        <f>Cleaned_Data!G926</f>
        <v/>
      </c>
      <c r="D926" s="2">
        <f>Cleaned_Data!I926</f>
        <v/>
      </c>
      <c r="E926" s="2">
        <f>Cleaned_Data!H926</f>
        <v/>
      </c>
      <c r="F926" s="2">
        <f>Cleaned_Data!F926</f>
        <v/>
      </c>
      <c r="G926" s="9">
        <f>SUMPRODUCT(($B$2:$B$1196=B926)*($F$2:$F$1196&lt;=F926))/SUMPRODUCT(($B$2:$B$1196=B926)*1)</f>
        <v/>
      </c>
      <c r="H926" s="2">
        <f>Cleaned_Data!J926</f>
        <v/>
      </c>
      <c r="I926" s="2">
        <f>Cleaned_Data!E926</f>
        <v/>
      </c>
      <c r="J926" s="2">
        <f>IF(C926="Yes",1,0)</f>
        <v/>
      </c>
      <c r="K926" s="2">
        <f>MIN(MAX(1-(D926-1)/4,0),1)</f>
        <v/>
      </c>
      <c r="L926" s="2">
        <f>MIN(E926/60,1)</f>
        <v/>
      </c>
      <c r="M926" s="2">
        <f>MIN(MAX(1-G926,0),1)</f>
        <v/>
      </c>
      <c r="N926" s="2">
        <f>MIN(MAX(1-(H926-1)/4,0),1)</f>
        <v/>
      </c>
      <c r="O926" s="2">
        <f>1-MIN(I926/8,1)</f>
        <v/>
      </c>
      <c r="P926" s="10">
        <f>ROUND(100*(J926*Assumptions!$B$6+K926*Assumptions!$B$7+L926*Assumptions!$B$8+M926*Assumptions!$B$9+N926*Assumptions!$B$10+O926*Assumptions!$B$11),1)</f>
        <v/>
      </c>
      <c r="Q926" s="2">
        <f>IF(P926&gt;=Assumptions!$B$14,"High",IF(P926&gt;=Assumptions!$B$15,"Medium","Low"))</f>
        <v/>
      </c>
      <c r="R926" s="2">
        <f>Cleaned_Data!L926</f>
        <v/>
      </c>
    </row>
    <row r="927">
      <c r="A927" s="2">
        <f>Cleaned_Data!A927</f>
        <v/>
      </c>
      <c r="B927" s="2">
        <f>Cleaned_Data!B927</f>
        <v/>
      </c>
      <c r="C927" s="2">
        <f>Cleaned_Data!G927</f>
        <v/>
      </c>
      <c r="D927" s="2">
        <f>Cleaned_Data!I927</f>
        <v/>
      </c>
      <c r="E927" s="2">
        <f>Cleaned_Data!H927</f>
        <v/>
      </c>
      <c r="F927" s="2">
        <f>Cleaned_Data!F927</f>
        <v/>
      </c>
      <c r="G927" s="9">
        <f>SUMPRODUCT(($B$2:$B$1196=B927)*($F$2:$F$1196&lt;=F927))/SUMPRODUCT(($B$2:$B$1196=B927)*1)</f>
        <v/>
      </c>
      <c r="H927" s="2">
        <f>Cleaned_Data!J927</f>
        <v/>
      </c>
      <c r="I927" s="2">
        <f>Cleaned_Data!E927</f>
        <v/>
      </c>
      <c r="J927" s="2">
        <f>IF(C927="Yes",1,0)</f>
        <v/>
      </c>
      <c r="K927" s="2">
        <f>MIN(MAX(1-(D927-1)/4,0),1)</f>
        <v/>
      </c>
      <c r="L927" s="2">
        <f>MIN(E927/60,1)</f>
        <v/>
      </c>
      <c r="M927" s="2">
        <f>MIN(MAX(1-G927,0),1)</f>
        <v/>
      </c>
      <c r="N927" s="2">
        <f>MIN(MAX(1-(H927-1)/4,0),1)</f>
        <v/>
      </c>
      <c r="O927" s="2">
        <f>1-MIN(I927/8,1)</f>
        <v/>
      </c>
      <c r="P927" s="10">
        <f>ROUND(100*(J927*Assumptions!$B$6+K927*Assumptions!$B$7+L927*Assumptions!$B$8+M927*Assumptions!$B$9+N927*Assumptions!$B$10+O927*Assumptions!$B$11),1)</f>
        <v/>
      </c>
      <c r="Q927" s="2">
        <f>IF(P927&gt;=Assumptions!$B$14,"High",IF(P927&gt;=Assumptions!$B$15,"Medium","Low"))</f>
        <v/>
      </c>
      <c r="R927" s="2">
        <f>Cleaned_Data!L927</f>
        <v/>
      </c>
    </row>
    <row r="928">
      <c r="A928" s="2">
        <f>Cleaned_Data!A928</f>
        <v/>
      </c>
      <c r="B928" s="2">
        <f>Cleaned_Data!B928</f>
        <v/>
      </c>
      <c r="C928" s="2">
        <f>Cleaned_Data!G928</f>
        <v/>
      </c>
      <c r="D928" s="2">
        <f>Cleaned_Data!I928</f>
        <v/>
      </c>
      <c r="E928" s="2">
        <f>Cleaned_Data!H928</f>
        <v/>
      </c>
      <c r="F928" s="2">
        <f>Cleaned_Data!F928</f>
        <v/>
      </c>
      <c r="G928" s="9">
        <f>SUMPRODUCT(($B$2:$B$1196=B928)*($F$2:$F$1196&lt;=F928))/SUMPRODUCT(($B$2:$B$1196=B928)*1)</f>
        <v/>
      </c>
      <c r="H928" s="2">
        <f>Cleaned_Data!J928</f>
        <v/>
      </c>
      <c r="I928" s="2">
        <f>Cleaned_Data!E928</f>
        <v/>
      </c>
      <c r="J928" s="2">
        <f>IF(C928="Yes",1,0)</f>
        <v/>
      </c>
      <c r="K928" s="2">
        <f>MIN(MAX(1-(D928-1)/4,0),1)</f>
        <v/>
      </c>
      <c r="L928" s="2">
        <f>MIN(E928/60,1)</f>
        <v/>
      </c>
      <c r="M928" s="2">
        <f>MIN(MAX(1-G928,0),1)</f>
        <v/>
      </c>
      <c r="N928" s="2">
        <f>MIN(MAX(1-(H928-1)/4,0),1)</f>
        <v/>
      </c>
      <c r="O928" s="2">
        <f>1-MIN(I928/8,1)</f>
        <v/>
      </c>
      <c r="P928" s="10">
        <f>ROUND(100*(J928*Assumptions!$B$6+K928*Assumptions!$B$7+L928*Assumptions!$B$8+M928*Assumptions!$B$9+N928*Assumptions!$B$10+O928*Assumptions!$B$11),1)</f>
        <v/>
      </c>
      <c r="Q928" s="2">
        <f>IF(P928&gt;=Assumptions!$B$14,"High",IF(P928&gt;=Assumptions!$B$15,"Medium","Low"))</f>
        <v/>
      </c>
      <c r="R928" s="2">
        <f>Cleaned_Data!L928</f>
        <v/>
      </c>
    </row>
    <row r="929">
      <c r="A929" s="2">
        <f>Cleaned_Data!A929</f>
        <v/>
      </c>
      <c r="B929" s="2">
        <f>Cleaned_Data!B929</f>
        <v/>
      </c>
      <c r="C929" s="2">
        <f>Cleaned_Data!G929</f>
        <v/>
      </c>
      <c r="D929" s="2">
        <f>Cleaned_Data!I929</f>
        <v/>
      </c>
      <c r="E929" s="2">
        <f>Cleaned_Data!H929</f>
        <v/>
      </c>
      <c r="F929" s="2">
        <f>Cleaned_Data!F929</f>
        <v/>
      </c>
      <c r="G929" s="9">
        <f>SUMPRODUCT(($B$2:$B$1196=B929)*($F$2:$F$1196&lt;=F929))/SUMPRODUCT(($B$2:$B$1196=B929)*1)</f>
        <v/>
      </c>
      <c r="H929" s="2">
        <f>Cleaned_Data!J929</f>
        <v/>
      </c>
      <c r="I929" s="2">
        <f>Cleaned_Data!E929</f>
        <v/>
      </c>
      <c r="J929" s="2">
        <f>IF(C929="Yes",1,0)</f>
        <v/>
      </c>
      <c r="K929" s="2">
        <f>MIN(MAX(1-(D929-1)/4,0),1)</f>
        <v/>
      </c>
      <c r="L929" s="2">
        <f>MIN(E929/60,1)</f>
        <v/>
      </c>
      <c r="M929" s="2">
        <f>MIN(MAX(1-G929,0),1)</f>
        <v/>
      </c>
      <c r="N929" s="2">
        <f>MIN(MAX(1-(H929-1)/4,0),1)</f>
        <v/>
      </c>
      <c r="O929" s="2">
        <f>1-MIN(I929/8,1)</f>
        <v/>
      </c>
      <c r="P929" s="10">
        <f>ROUND(100*(J929*Assumptions!$B$6+K929*Assumptions!$B$7+L929*Assumptions!$B$8+M929*Assumptions!$B$9+N929*Assumptions!$B$10+O929*Assumptions!$B$11),1)</f>
        <v/>
      </c>
      <c r="Q929" s="2">
        <f>IF(P929&gt;=Assumptions!$B$14,"High",IF(P929&gt;=Assumptions!$B$15,"Medium","Low"))</f>
        <v/>
      </c>
      <c r="R929" s="2">
        <f>Cleaned_Data!L929</f>
        <v/>
      </c>
    </row>
    <row r="930">
      <c r="A930" s="2">
        <f>Cleaned_Data!A930</f>
        <v/>
      </c>
      <c r="B930" s="2">
        <f>Cleaned_Data!B930</f>
        <v/>
      </c>
      <c r="C930" s="2">
        <f>Cleaned_Data!G930</f>
        <v/>
      </c>
      <c r="D930" s="2">
        <f>Cleaned_Data!I930</f>
        <v/>
      </c>
      <c r="E930" s="2">
        <f>Cleaned_Data!H930</f>
        <v/>
      </c>
      <c r="F930" s="2">
        <f>Cleaned_Data!F930</f>
        <v/>
      </c>
      <c r="G930" s="9">
        <f>SUMPRODUCT(($B$2:$B$1196=B930)*($F$2:$F$1196&lt;=F930))/SUMPRODUCT(($B$2:$B$1196=B930)*1)</f>
        <v/>
      </c>
      <c r="H930" s="2">
        <f>Cleaned_Data!J930</f>
        <v/>
      </c>
      <c r="I930" s="2">
        <f>Cleaned_Data!E930</f>
        <v/>
      </c>
      <c r="J930" s="2">
        <f>IF(C930="Yes",1,0)</f>
        <v/>
      </c>
      <c r="K930" s="2">
        <f>MIN(MAX(1-(D930-1)/4,0),1)</f>
        <v/>
      </c>
      <c r="L930" s="2">
        <f>MIN(E930/60,1)</f>
        <v/>
      </c>
      <c r="M930" s="2">
        <f>MIN(MAX(1-G930,0),1)</f>
        <v/>
      </c>
      <c r="N930" s="2">
        <f>MIN(MAX(1-(H930-1)/4,0),1)</f>
        <v/>
      </c>
      <c r="O930" s="2">
        <f>1-MIN(I930/8,1)</f>
        <v/>
      </c>
      <c r="P930" s="10">
        <f>ROUND(100*(J930*Assumptions!$B$6+K930*Assumptions!$B$7+L930*Assumptions!$B$8+M930*Assumptions!$B$9+N930*Assumptions!$B$10+O930*Assumptions!$B$11),1)</f>
        <v/>
      </c>
      <c r="Q930" s="2">
        <f>IF(P930&gt;=Assumptions!$B$14,"High",IF(P930&gt;=Assumptions!$B$15,"Medium","Low"))</f>
        <v/>
      </c>
      <c r="R930" s="2">
        <f>Cleaned_Data!L930</f>
        <v/>
      </c>
    </row>
    <row r="931">
      <c r="A931" s="2">
        <f>Cleaned_Data!A931</f>
        <v/>
      </c>
      <c r="B931" s="2">
        <f>Cleaned_Data!B931</f>
        <v/>
      </c>
      <c r="C931" s="2">
        <f>Cleaned_Data!G931</f>
        <v/>
      </c>
      <c r="D931" s="2">
        <f>Cleaned_Data!I931</f>
        <v/>
      </c>
      <c r="E931" s="2">
        <f>Cleaned_Data!H931</f>
        <v/>
      </c>
      <c r="F931" s="2">
        <f>Cleaned_Data!F931</f>
        <v/>
      </c>
      <c r="G931" s="9">
        <f>SUMPRODUCT(($B$2:$B$1196=B931)*($F$2:$F$1196&lt;=F931))/SUMPRODUCT(($B$2:$B$1196=B931)*1)</f>
        <v/>
      </c>
      <c r="H931" s="2">
        <f>Cleaned_Data!J931</f>
        <v/>
      </c>
      <c r="I931" s="2">
        <f>Cleaned_Data!E931</f>
        <v/>
      </c>
      <c r="J931" s="2">
        <f>IF(C931="Yes",1,0)</f>
        <v/>
      </c>
      <c r="K931" s="2">
        <f>MIN(MAX(1-(D931-1)/4,0),1)</f>
        <v/>
      </c>
      <c r="L931" s="2">
        <f>MIN(E931/60,1)</f>
        <v/>
      </c>
      <c r="M931" s="2">
        <f>MIN(MAX(1-G931,0),1)</f>
        <v/>
      </c>
      <c r="N931" s="2">
        <f>MIN(MAX(1-(H931-1)/4,0),1)</f>
        <v/>
      </c>
      <c r="O931" s="2">
        <f>1-MIN(I931/8,1)</f>
        <v/>
      </c>
      <c r="P931" s="10">
        <f>ROUND(100*(J931*Assumptions!$B$6+K931*Assumptions!$B$7+L931*Assumptions!$B$8+M931*Assumptions!$B$9+N931*Assumptions!$B$10+O931*Assumptions!$B$11),1)</f>
        <v/>
      </c>
      <c r="Q931" s="2">
        <f>IF(P931&gt;=Assumptions!$B$14,"High",IF(P931&gt;=Assumptions!$B$15,"Medium","Low"))</f>
        <v/>
      </c>
      <c r="R931" s="2">
        <f>Cleaned_Data!L931</f>
        <v/>
      </c>
    </row>
    <row r="932">
      <c r="A932" s="2">
        <f>Cleaned_Data!A932</f>
        <v/>
      </c>
      <c r="B932" s="2">
        <f>Cleaned_Data!B932</f>
        <v/>
      </c>
      <c r="C932" s="2">
        <f>Cleaned_Data!G932</f>
        <v/>
      </c>
      <c r="D932" s="2">
        <f>Cleaned_Data!I932</f>
        <v/>
      </c>
      <c r="E932" s="2">
        <f>Cleaned_Data!H932</f>
        <v/>
      </c>
      <c r="F932" s="2">
        <f>Cleaned_Data!F932</f>
        <v/>
      </c>
      <c r="G932" s="9">
        <f>SUMPRODUCT(($B$2:$B$1196=B932)*($F$2:$F$1196&lt;=F932))/SUMPRODUCT(($B$2:$B$1196=B932)*1)</f>
        <v/>
      </c>
      <c r="H932" s="2">
        <f>Cleaned_Data!J932</f>
        <v/>
      </c>
      <c r="I932" s="2">
        <f>Cleaned_Data!E932</f>
        <v/>
      </c>
      <c r="J932" s="2">
        <f>IF(C932="Yes",1,0)</f>
        <v/>
      </c>
      <c r="K932" s="2">
        <f>MIN(MAX(1-(D932-1)/4,0),1)</f>
        <v/>
      </c>
      <c r="L932" s="2">
        <f>MIN(E932/60,1)</f>
        <v/>
      </c>
      <c r="M932" s="2">
        <f>MIN(MAX(1-G932,0),1)</f>
        <v/>
      </c>
      <c r="N932" s="2">
        <f>MIN(MAX(1-(H932-1)/4,0),1)</f>
        <v/>
      </c>
      <c r="O932" s="2">
        <f>1-MIN(I932/8,1)</f>
        <v/>
      </c>
      <c r="P932" s="10">
        <f>ROUND(100*(J932*Assumptions!$B$6+K932*Assumptions!$B$7+L932*Assumptions!$B$8+M932*Assumptions!$B$9+N932*Assumptions!$B$10+O932*Assumptions!$B$11),1)</f>
        <v/>
      </c>
      <c r="Q932" s="2">
        <f>IF(P932&gt;=Assumptions!$B$14,"High",IF(P932&gt;=Assumptions!$B$15,"Medium","Low"))</f>
        <v/>
      </c>
      <c r="R932" s="2">
        <f>Cleaned_Data!L932</f>
        <v/>
      </c>
    </row>
    <row r="933">
      <c r="A933" s="2">
        <f>Cleaned_Data!A933</f>
        <v/>
      </c>
      <c r="B933" s="2">
        <f>Cleaned_Data!B933</f>
        <v/>
      </c>
      <c r="C933" s="2">
        <f>Cleaned_Data!G933</f>
        <v/>
      </c>
      <c r="D933" s="2">
        <f>Cleaned_Data!I933</f>
        <v/>
      </c>
      <c r="E933" s="2">
        <f>Cleaned_Data!H933</f>
        <v/>
      </c>
      <c r="F933" s="2">
        <f>Cleaned_Data!F933</f>
        <v/>
      </c>
      <c r="G933" s="9">
        <f>SUMPRODUCT(($B$2:$B$1196=B933)*($F$2:$F$1196&lt;=F933))/SUMPRODUCT(($B$2:$B$1196=B933)*1)</f>
        <v/>
      </c>
      <c r="H933" s="2">
        <f>Cleaned_Data!J933</f>
        <v/>
      </c>
      <c r="I933" s="2">
        <f>Cleaned_Data!E933</f>
        <v/>
      </c>
      <c r="J933" s="2">
        <f>IF(C933="Yes",1,0)</f>
        <v/>
      </c>
      <c r="K933" s="2">
        <f>MIN(MAX(1-(D933-1)/4,0),1)</f>
        <v/>
      </c>
      <c r="L933" s="2">
        <f>MIN(E933/60,1)</f>
        <v/>
      </c>
      <c r="M933" s="2">
        <f>MIN(MAX(1-G933,0),1)</f>
        <v/>
      </c>
      <c r="N933" s="2">
        <f>MIN(MAX(1-(H933-1)/4,0),1)</f>
        <v/>
      </c>
      <c r="O933" s="2">
        <f>1-MIN(I933/8,1)</f>
        <v/>
      </c>
      <c r="P933" s="10">
        <f>ROUND(100*(J933*Assumptions!$B$6+K933*Assumptions!$B$7+L933*Assumptions!$B$8+M933*Assumptions!$B$9+N933*Assumptions!$B$10+O933*Assumptions!$B$11),1)</f>
        <v/>
      </c>
      <c r="Q933" s="2">
        <f>IF(P933&gt;=Assumptions!$B$14,"High",IF(P933&gt;=Assumptions!$B$15,"Medium","Low"))</f>
        <v/>
      </c>
      <c r="R933" s="2">
        <f>Cleaned_Data!L933</f>
        <v/>
      </c>
    </row>
    <row r="934">
      <c r="A934" s="2">
        <f>Cleaned_Data!A934</f>
        <v/>
      </c>
      <c r="B934" s="2">
        <f>Cleaned_Data!B934</f>
        <v/>
      </c>
      <c r="C934" s="2">
        <f>Cleaned_Data!G934</f>
        <v/>
      </c>
      <c r="D934" s="2">
        <f>Cleaned_Data!I934</f>
        <v/>
      </c>
      <c r="E934" s="2">
        <f>Cleaned_Data!H934</f>
        <v/>
      </c>
      <c r="F934" s="2">
        <f>Cleaned_Data!F934</f>
        <v/>
      </c>
      <c r="G934" s="9">
        <f>SUMPRODUCT(($B$2:$B$1196=B934)*($F$2:$F$1196&lt;=F934))/SUMPRODUCT(($B$2:$B$1196=B934)*1)</f>
        <v/>
      </c>
      <c r="H934" s="2">
        <f>Cleaned_Data!J934</f>
        <v/>
      </c>
      <c r="I934" s="2">
        <f>Cleaned_Data!E934</f>
        <v/>
      </c>
      <c r="J934" s="2">
        <f>IF(C934="Yes",1,0)</f>
        <v/>
      </c>
      <c r="K934" s="2">
        <f>MIN(MAX(1-(D934-1)/4,0),1)</f>
        <v/>
      </c>
      <c r="L934" s="2">
        <f>MIN(E934/60,1)</f>
        <v/>
      </c>
      <c r="M934" s="2">
        <f>MIN(MAX(1-G934,0),1)</f>
        <v/>
      </c>
      <c r="N934" s="2">
        <f>MIN(MAX(1-(H934-1)/4,0),1)</f>
        <v/>
      </c>
      <c r="O934" s="2">
        <f>1-MIN(I934/8,1)</f>
        <v/>
      </c>
      <c r="P934" s="10">
        <f>ROUND(100*(J934*Assumptions!$B$6+K934*Assumptions!$B$7+L934*Assumptions!$B$8+M934*Assumptions!$B$9+N934*Assumptions!$B$10+O934*Assumptions!$B$11),1)</f>
        <v/>
      </c>
      <c r="Q934" s="2">
        <f>IF(P934&gt;=Assumptions!$B$14,"High",IF(P934&gt;=Assumptions!$B$15,"Medium","Low"))</f>
        <v/>
      </c>
      <c r="R934" s="2">
        <f>Cleaned_Data!L934</f>
        <v/>
      </c>
    </row>
    <row r="935">
      <c r="A935" s="2">
        <f>Cleaned_Data!A935</f>
        <v/>
      </c>
      <c r="B935" s="2">
        <f>Cleaned_Data!B935</f>
        <v/>
      </c>
      <c r="C935" s="2">
        <f>Cleaned_Data!G935</f>
        <v/>
      </c>
      <c r="D935" s="2">
        <f>Cleaned_Data!I935</f>
        <v/>
      </c>
      <c r="E935" s="2">
        <f>Cleaned_Data!H935</f>
        <v/>
      </c>
      <c r="F935" s="2">
        <f>Cleaned_Data!F935</f>
        <v/>
      </c>
      <c r="G935" s="9">
        <f>SUMPRODUCT(($B$2:$B$1196=B935)*($F$2:$F$1196&lt;=F935))/SUMPRODUCT(($B$2:$B$1196=B935)*1)</f>
        <v/>
      </c>
      <c r="H935" s="2">
        <f>Cleaned_Data!J935</f>
        <v/>
      </c>
      <c r="I935" s="2">
        <f>Cleaned_Data!E935</f>
        <v/>
      </c>
      <c r="J935" s="2">
        <f>IF(C935="Yes",1,0)</f>
        <v/>
      </c>
      <c r="K935" s="2">
        <f>MIN(MAX(1-(D935-1)/4,0),1)</f>
        <v/>
      </c>
      <c r="L935" s="2">
        <f>MIN(E935/60,1)</f>
        <v/>
      </c>
      <c r="M935" s="2">
        <f>MIN(MAX(1-G935,0),1)</f>
        <v/>
      </c>
      <c r="N935" s="2">
        <f>MIN(MAX(1-(H935-1)/4,0),1)</f>
        <v/>
      </c>
      <c r="O935" s="2">
        <f>1-MIN(I935/8,1)</f>
        <v/>
      </c>
      <c r="P935" s="10">
        <f>ROUND(100*(J935*Assumptions!$B$6+K935*Assumptions!$B$7+L935*Assumptions!$B$8+M935*Assumptions!$B$9+N935*Assumptions!$B$10+O935*Assumptions!$B$11),1)</f>
        <v/>
      </c>
      <c r="Q935" s="2">
        <f>IF(P935&gt;=Assumptions!$B$14,"High",IF(P935&gt;=Assumptions!$B$15,"Medium","Low"))</f>
        <v/>
      </c>
      <c r="R935" s="2">
        <f>Cleaned_Data!L935</f>
        <v/>
      </c>
    </row>
    <row r="936">
      <c r="A936" s="2">
        <f>Cleaned_Data!A936</f>
        <v/>
      </c>
      <c r="B936" s="2">
        <f>Cleaned_Data!B936</f>
        <v/>
      </c>
      <c r="C936" s="2">
        <f>Cleaned_Data!G936</f>
        <v/>
      </c>
      <c r="D936" s="2">
        <f>Cleaned_Data!I936</f>
        <v/>
      </c>
      <c r="E936" s="2">
        <f>Cleaned_Data!H936</f>
        <v/>
      </c>
      <c r="F936" s="2">
        <f>Cleaned_Data!F936</f>
        <v/>
      </c>
      <c r="G936" s="9">
        <f>SUMPRODUCT(($B$2:$B$1196=B936)*($F$2:$F$1196&lt;=F936))/SUMPRODUCT(($B$2:$B$1196=B936)*1)</f>
        <v/>
      </c>
      <c r="H936" s="2">
        <f>Cleaned_Data!J936</f>
        <v/>
      </c>
      <c r="I936" s="2">
        <f>Cleaned_Data!E936</f>
        <v/>
      </c>
      <c r="J936" s="2">
        <f>IF(C936="Yes",1,0)</f>
        <v/>
      </c>
      <c r="K936" s="2">
        <f>MIN(MAX(1-(D936-1)/4,0),1)</f>
        <v/>
      </c>
      <c r="L936" s="2">
        <f>MIN(E936/60,1)</f>
        <v/>
      </c>
      <c r="M936" s="2">
        <f>MIN(MAX(1-G936,0),1)</f>
        <v/>
      </c>
      <c r="N936" s="2">
        <f>MIN(MAX(1-(H936-1)/4,0),1)</f>
        <v/>
      </c>
      <c r="O936" s="2">
        <f>1-MIN(I936/8,1)</f>
        <v/>
      </c>
      <c r="P936" s="10">
        <f>ROUND(100*(J936*Assumptions!$B$6+K936*Assumptions!$B$7+L936*Assumptions!$B$8+M936*Assumptions!$B$9+N936*Assumptions!$B$10+O936*Assumptions!$B$11),1)</f>
        <v/>
      </c>
      <c r="Q936" s="2">
        <f>IF(P936&gt;=Assumptions!$B$14,"High",IF(P936&gt;=Assumptions!$B$15,"Medium","Low"))</f>
        <v/>
      </c>
      <c r="R936" s="2">
        <f>Cleaned_Data!L936</f>
        <v/>
      </c>
    </row>
    <row r="937">
      <c r="A937" s="2">
        <f>Cleaned_Data!A937</f>
        <v/>
      </c>
      <c r="B937" s="2">
        <f>Cleaned_Data!B937</f>
        <v/>
      </c>
      <c r="C937" s="2">
        <f>Cleaned_Data!G937</f>
        <v/>
      </c>
      <c r="D937" s="2">
        <f>Cleaned_Data!I937</f>
        <v/>
      </c>
      <c r="E937" s="2">
        <f>Cleaned_Data!H937</f>
        <v/>
      </c>
      <c r="F937" s="2">
        <f>Cleaned_Data!F937</f>
        <v/>
      </c>
      <c r="G937" s="9">
        <f>SUMPRODUCT(($B$2:$B$1196=B937)*($F$2:$F$1196&lt;=F937))/SUMPRODUCT(($B$2:$B$1196=B937)*1)</f>
        <v/>
      </c>
      <c r="H937" s="2">
        <f>Cleaned_Data!J937</f>
        <v/>
      </c>
      <c r="I937" s="2">
        <f>Cleaned_Data!E937</f>
        <v/>
      </c>
      <c r="J937" s="2">
        <f>IF(C937="Yes",1,0)</f>
        <v/>
      </c>
      <c r="K937" s="2">
        <f>MIN(MAX(1-(D937-1)/4,0),1)</f>
        <v/>
      </c>
      <c r="L937" s="2">
        <f>MIN(E937/60,1)</f>
        <v/>
      </c>
      <c r="M937" s="2">
        <f>MIN(MAX(1-G937,0),1)</f>
        <v/>
      </c>
      <c r="N937" s="2">
        <f>MIN(MAX(1-(H937-1)/4,0),1)</f>
        <v/>
      </c>
      <c r="O937" s="2">
        <f>1-MIN(I937/8,1)</f>
        <v/>
      </c>
      <c r="P937" s="10">
        <f>ROUND(100*(J937*Assumptions!$B$6+K937*Assumptions!$B$7+L937*Assumptions!$B$8+M937*Assumptions!$B$9+N937*Assumptions!$B$10+O937*Assumptions!$B$11),1)</f>
        <v/>
      </c>
      <c r="Q937" s="2">
        <f>IF(P937&gt;=Assumptions!$B$14,"High",IF(P937&gt;=Assumptions!$B$15,"Medium","Low"))</f>
        <v/>
      </c>
      <c r="R937" s="2">
        <f>Cleaned_Data!L937</f>
        <v/>
      </c>
    </row>
    <row r="938">
      <c r="A938" s="2">
        <f>Cleaned_Data!A938</f>
        <v/>
      </c>
      <c r="B938" s="2">
        <f>Cleaned_Data!B938</f>
        <v/>
      </c>
      <c r="C938" s="2">
        <f>Cleaned_Data!G938</f>
        <v/>
      </c>
      <c r="D938" s="2">
        <f>Cleaned_Data!I938</f>
        <v/>
      </c>
      <c r="E938" s="2">
        <f>Cleaned_Data!H938</f>
        <v/>
      </c>
      <c r="F938" s="2">
        <f>Cleaned_Data!F938</f>
        <v/>
      </c>
      <c r="G938" s="9">
        <f>SUMPRODUCT(($B$2:$B$1196=B938)*($F$2:$F$1196&lt;=F938))/SUMPRODUCT(($B$2:$B$1196=B938)*1)</f>
        <v/>
      </c>
      <c r="H938" s="2">
        <f>Cleaned_Data!J938</f>
        <v/>
      </c>
      <c r="I938" s="2">
        <f>Cleaned_Data!E938</f>
        <v/>
      </c>
      <c r="J938" s="2">
        <f>IF(C938="Yes",1,0)</f>
        <v/>
      </c>
      <c r="K938" s="2">
        <f>MIN(MAX(1-(D938-1)/4,0),1)</f>
        <v/>
      </c>
      <c r="L938" s="2">
        <f>MIN(E938/60,1)</f>
        <v/>
      </c>
      <c r="M938" s="2">
        <f>MIN(MAX(1-G938,0),1)</f>
        <v/>
      </c>
      <c r="N938" s="2">
        <f>MIN(MAX(1-(H938-1)/4,0),1)</f>
        <v/>
      </c>
      <c r="O938" s="2">
        <f>1-MIN(I938/8,1)</f>
        <v/>
      </c>
      <c r="P938" s="10">
        <f>ROUND(100*(J938*Assumptions!$B$6+K938*Assumptions!$B$7+L938*Assumptions!$B$8+M938*Assumptions!$B$9+N938*Assumptions!$B$10+O938*Assumptions!$B$11),1)</f>
        <v/>
      </c>
      <c r="Q938" s="2">
        <f>IF(P938&gt;=Assumptions!$B$14,"High",IF(P938&gt;=Assumptions!$B$15,"Medium","Low"))</f>
        <v/>
      </c>
      <c r="R938" s="2">
        <f>Cleaned_Data!L938</f>
        <v/>
      </c>
    </row>
    <row r="939">
      <c r="A939" s="2">
        <f>Cleaned_Data!A939</f>
        <v/>
      </c>
      <c r="B939" s="2">
        <f>Cleaned_Data!B939</f>
        <v/>
      </c>
      <c r="C939" s="2">
        <f>Cleaned_Data!G939</f>
        <v/>
      </c>
      <c r="D939" s="2">
        <f>Cleaned_Data!I939</f>
        <v/>
      </c>
      <c r="E939" s="2">
        <f>Cleaned_Data!H939</f>
        <v/>
      </c>
      <c r="F939" s="2">
        <f>Cleaned_Data!F939</f>
        <v/>
      </c>
      <c r="G939" s="9">
        <f>SUMPRODUCT(($B$2:$B$1196=B939)*($F$2:$F$1196&lt;=F939))/SUMPRODUCT(($B$2:$B$1196=B939)*1)</f>
        <v/>
      </c>
      <c r="H939" s="2">
        <f>Cleaned_Data!J939</f>
        <v/>
      </c>
      <c r="I939" s="2">
        <f>Cleaned_Data!E939</f>
        <v/>
      </c>
      <c r="J939" s="2">
        <f>IF(C939="Yes",1,0)</f>
        <v/>
      </c>
      <c r="K939" s="2">
        <f>MIN(MAX(1-(D939-1)/4,0),1)</f>
        <v/>
      </c>
      <c r="L939" s="2">
        <f>MIN(E939/60,1)</f>
        <v/>
      </c>
      <c r="M939" s="2">
        <f>MIN(MAX(1-G939,0),1)</f>
        <v/>
      </c>
      <c r="N939" s="2">
        <f>MIN(MAX(1-(H939-1)/4,0),1)</f>
        <v/>
      </c>
      <c r="O939" s="2">
        <f>1-MIN(I939/8,1)</f>
        <v/>
      </c>
      <c r="P939" s="10">
        <f>ROUND(100*(J939*Assumptions!$B$6+K939*Assumptions!$B$7+L939*Assumptions!$B$8+M939*Assumptions!$B$9+N939*Assumptions!$B$10+O939*Assumptions!$B$11),1)</f>
        <v/>
      </c>
      <c r="Q939" s="2">
        <f>IF(P939&gt;=Assumptions!$B$14,"High",IF(P939&gt;=Assumptions!$B$15,"Medium","Low"))</f>
        <v/>
      </c>
      <c r="R939" s="2">
        <f>Cleaned_Data!L939</f>
        <v/>
      </c>
    </row>
    <row r="940">
      <c r="A940" s="2">
        <f>Cleaned_Data!A940</f>
        <v/>
      </c>
      <c r="B940" s="2">
        <f>Cleaned_Data!B940</f>
        <v/>
      </c>
      <c r="C940" s="2">
        <f>Cleaned_Data!G940</f>
        <v/>
      </c>
      <c r="D940" s="2">
        <f>Cleaned_Data!I940</f>
        <v/>
      </c>
      <c r="E940" s="2">
        <f>Cleaned_Data!H940</f>
        <v/>
      </c>
      <c r="F940" s="2">
        <f>Cleaned_Data!F940</f>
        <v/>
      </c>
      <c r="G940" s="9">
        <f>SUMPRODUCT(($B$2:$B$1196=B940)*($F$2:$F$1196&lt;=F940))/SUMPRODUCT(($B$2:$B$1196=B940)*1)</f>
        <v/>
      </c>
      <c r="H940" s="2">
        <f>Cleaned_Data!J940</f>
        <v/>
      </c>
      <c r="I940" s="2">
        <f>Cleaned_Data!E940</f>
        <v/>
      </c>
      <c r="J940" s="2">
        <f>IF(C940="Yes",1,0)</f>
        <v/>
      </c>
      <c r="K940" s="2">
        <f>MIN(MAX(1-(D940-1)/4,0),1)</f>
        <v/>
      </c>
      <c r="L940" s="2">
        <f>MIN(E940/60,1)</f>
        <v/>
      </c>
      <c r="M940" s="2">
        <f>MIN(MAX(1-G940,0),1)</f>
        <v/>
      </c>
      <c r="N940" s="2">
        <f>MIN(MAX(1-(H940-1)/4,0),1)</f>
        <v/>
      </c>
      <c r="O940" s="2">
        <f>1-MIN(I940/8,1)</f>
        <v/>
      </c>
      <c r="P940" s="10">
        <f>ROUND(100*(J940*Assumptions!$B$6+K940*Assumptions!$B$7+L940*Assumptions!$B$8+M940*Assumptions!$B$9+N940*Assumptions!$B$10+O940*Assumptions!$B$11),1)</f>
        <v/>
      </c>
      <c r="Q940" s="2">
        <f>IF(P940&gt;=Assumptions!$B$14,"High",IF(P940&gt;=Assumptions!$B$15,"Medium","Low"))</f>
        <v/>
      </c>
      <c r="R940" s="2">
        <f>Cleaned_Data!L940</f>
        <v/>
      </c>
    </row>
    <row r="941">
      <c r="A941" s="2">
        <f>Cleaned_Data!A941</f>
        <v/>
      </c>
      <c r="B941" s="2">
        <f>Cleaned_Data!B941</f>
        <v/>
      </c>
      <c r="C941" s="2">
        <f>Cleaned_Data!G941</f>
        <v/>
      </c>
      <c r="D941" s="2">
        <f>Cleaned_Data!I941</f>
        <v/>
      </c>
      <c r="E941" s="2">
        <f>Cleaned_Data!H941</f>
        <v/>
      </c>
      <c r="F941" s="2">
        <f>Cleaned_Data!F941</f>
        <v/>
      </c>
      <c r="G941" s="9">
        <f>SUMPRODUCT(($B$2:$B$1196=B941)*($F$2:$F$1196&lt;=F941))/SUMPRODUCT(($B$2:$B$1196=B941)*1)</f>
        <v/>
      </c>
      <c r="H941" s="2">
        <f>Cleaned_Data!J941</f>
        <v/>
      </c>
      <c r="I941" s="2">
        <f>Cleaned_Data!E941</f>
        <v/>
      </c>
      <c r="J941" s="2">
        <f>IF(C941="Yes",1,0)</f>
        <v/>
      </c>
      <c r="K941" s="2">
        <f>MIN(MAX(1-(D941-1)/4,0),1)</f>
        <v/>
      </c>
      <c r="L941" s="2">
        <f>MIN(E941/60,1)</f>
        <v/>
      </c>
      <c r="M941" s="2">
        <f>MIN(MAX(1-G941,0),1)</f>
        <v/>
      </c>
      <c r="N941" s="2">
        <f>MIN(MAX(1-(H941-1)/4,0),1)</f>
        <v/>
      </c>
      <c r="O941" s="2">
        <f>1-MIN(I941/8,1)</f>
        <v/>
      </c>
      <c r="P941" s="10">
        <f>ROUND(100*(J941*Assumptions!$B$6+K941*Assumptions!$B$7+L941*Assumptions!$B$8+M941*Assumptions!$B$9+N941*Assumptions!$B$10+O941*Assumptions!$B$11),1)</f>
        <v/>
      </c>
      <c r="Q941" s="2">
        <f>IF(P941&gt;=Assumptions!$B$14,"High",IF(P941&gt;=Assumptions!$B$15,"Medium","Low"))</f>
        <v/>
      </c>
      <c r="R941" s="2">
        <f>Cleaned_Data!L941</f>
        <v/>
      </c>
    </row>
    <row r="942">
      <c r="A942" s="2">
        <f>Cleaned_Data!A942</f>
        <v/>
      </c>
      <c r="B942" s="2">
        <f>Cleaned_Data!B942</f>
        <v/>
      </c>
      <c r="C942" s="2">
        <f>Cleaned_Data!G942</f>
        <v/>
      </c>
      <c r="D942" s="2">
        <f>Cleaned_Data!I942</f>
        <v/>
      </c>
      <c r="E942" s="2">
        <f>Cleaned_Data!H942</f>
        <v/>
      </c>
      <c r="F942" s="2">
        <f>Cleaned_Data!F942</f>
        <v/>
      </c>
      <c r="G942" s="9">
        <f>SUMPRODUCT(($B$2:$B$1196=B942)*($F$2:$F$1196&lt;=F942))/SUMPRODUCT(($B$2:$B$1196=B942)*1)</f>
        <v/>
      </c>
      <c r="H942" s="2">
        <f>Cleaned_Data!J942</f>
        <v/>
      </c>
      <c r="I942" s="2">
        <f>Cleaned_Data!E942</f>
        <v/>
      </c>
      <c r="J942" s="2">
        <f>IF(C942="Yes",1,0)</f>
        <v/>
      </c>
      <c r="K942" s="2">
        <f>MIN(MAX(1-(D942-1)/4,0),1)</f>
        <v/>
      </c>
      <c r="L942" s="2">
        <f>MIN(E942/60,1)</f>
        <v/>
      </c>
      <c r="M942" s="2">
        <f>MIN(MAX(1-G942,0),1)</f>
        <v/>
      </c>
      <c r="N942" s="2">
        <f>MIN(MAX(1-(H942-1)/4,0),1)</f>
        <v/>
      </c>
      <c r="O942" s="2">
        <f>1-MIN(I942/8,1)</f>
        <v/>
      </c>
      <c r="P942" s="10">
        <f>ROUND(100*(J942*Assumptions!$B$6+K942*Assumptions!$B$7+L942*Assumptions!$B$8+M942*Assumptions!$B$9+N942*Assumptions!$B$10+O942*Assumptions!$B$11),1)</f>
        <v/>
      </c>
      <c r="Q942" s="2">
        <f>IF(P942&gt;=Assumptions!$B$14,"High",IF(P942&gt;=Assumptions!$B$15,"Medium","Low"))</f>
        <v/>
      </c>
      <c r="R942" s="2">
        <f>Cleaned_Data!L942</f>
        <v/>
      </c>
    </row>
    <row r="943">
      <c r="A943" s="2">
        <f>Cleaned_Data!A943</f>
        <v/>
      </c>
      <c r="B943" s="2">
        <f>Cleaned_Data!B943</f>
        <v/>
      </c>
      <c r="C943" s="2">
        <f>Cleaned_Data!G943</f>
        <v/>
      </c>
      <c r="D943" s="2">
        <f>Cleaned_Data!I943</f>
        <v/>
      </c>
      <c r="E943" s="2">
        <f>Cleaned_Data!H943</f>
        <v/>
      </c>
      <c r="F943" s="2">
        <f>Cleaned_Data!F943</f>
        <v/>
      </c>
      <c r="G943" s="9">
        <f>SUMPRODUCT(($B$2:$B$1196=B943)*($F$2:$F$1196&lt;=F943))/SUMPRODUCT(($B$2:$B$1196=B943)*1)</f>
        <v/>
      </c>
      <c r="H943" s="2">
        <f>Cleaned_Data!J943</f>
        <v/>
      </c>
      <c r="I943" s="2">
        <f>Cleaned_Data!E943</f>
        <v/>
      </c>
      <c r="J943" s="2">
        <f>IF(C943="Yes",1,0)</f>
        <v/>
      </c>
      <c r="K943" s="2">
        <f>MIN(MAX(1-(D943-1)/4,0),1)</f>
        <v/>
      </c>
      <c r="L943" s="2">
        <f>MIN(E943/60,1)</f>
        <v/>
      </c>
      <c r="M943" s="2">
        <f>MIN(MAX(1-G943,0),1)</f>
        <v/>
      </c>
      <c r="N943" s="2">
        <f>MIN(MAX(1-(H943-1)/4,0),1)</f>
        <v/>
      </c>
      <c r="O943" s="2">
        <f>1-MIN(I943/8,1)</f>
        <v/>
      </c>
      <c r="P943" s="10">
        <f>ROUND(100*(J943*Assumptions!$B$6+K943*Assumptions!$B$7+L943*Assumptions!$B$8+M943*Assumptions!$B$9+N943*Assumptions!$B$10+O943*Assumptions!$B$11),1)</f>
        <v/>
      </c>
      <c r="Q943" s="2">
        <f>IF(P943&gt;=Assumptions!$B$14,"High",IF(P943&gt;=Assumptions!$B$15,"Medium","Low"))</f>
        <v/>
      </c>
      <c r="R943" s="2">
        <f>Cleaned_Data!L943</f>
        <v/>
      </c>
    </row>
    <row r="944">
      <c r="A944" s="2">
        <f>Cleaned_Data!A944</f>
        <v/>
      </c>
      <c r="B944" s="2">
        <f>Cleaned_Data!B944</f>
        <v/>
      </c>
      <c r="C944" s="2">
        <f>Cleaned_Data!G944</f>
        <v/>
      </c>
      <c r="D944" s="2">
        <f>Cleaned_Data!I944</f>
        <v/>
      </c>
      <c r="E944" s="2">
        <f>Cleaned_Data!H944</f>
        <v/>
      </c>
      <c r="F944" s="2">
        <f>Cleaned_Data!F944</f>
        <v/>
      </c>
      <c r="G944" s="9">
        <f>SUMPRODUCT(($B$2:$B$1196=B944)*($F$2:$F$1196&lt;=F944))/SUMPRODUCT(($B$2:$B$1196=B944)*1)</f>
        <v/>
      </c>
      <c r="H944" s="2">
        <f>Cleaned_Data!J944</f>
        <v/>
      </c>
      <c r="I944" s="2">
        <f>Cleaned_Data!E944</f>
        <v/>
      </c>
      <c r="J944" s="2">
        <f>IF(C944="Yes",1,0)</f>
        <v/>
      </c>
      <c r="K944" s="2">
        <f>MIN(MAX(1-(D944-1)/4,0),1)</f>
        <v/>
      </c>
      <c r="L944" s="2">
        <f>MIN(E944/60,1)</f>
        <v/>
      </c>
      <c r="M944" s="2">
        <f>MIN(MAX(1-G944,0),1)</f>
        <v/>
      </c>
      <c r="N944" s="2">
        <f>MIN(MAX(1-(H944-1)/4,0),1)</f>
        <v/>
      </c>
      <c r="O944" s="2">
        <f>1-MIN(I944/8,1)</f>
        <v/>
      </c>
      <c r="P944" s="10">
        <f>ROUND(100*(J944*Assumptions!$B$6+K944*Assumptions!$B$7+L944*Assumptions!$B$8+M944*Assumptions!$B$9+N944*Assumptions!$B$10+O944*Assumptions!$B$11),1)</f>
        <v/>
      </c>
      <c r="Q944" s="2">
        <f>IF(P944&gt;=Assumptions!$B$14,"High",IF(P944&gt;=Assumptions!$B$15,"Medium","Low"))</f>
        <v/>
      </c>
      <c r="R944" s="2">
        <f>Cleaned_Data!L944</f>
        <v/>
      </c>
    </row>
    <row r="945">
      <c r="A945" s="2">
        <f>Cleaned_Data!A945</f>
        <v/>
      </c>
      <c r="B945" s="2">
        <f>Cleaned_Data!B945</f>
        <v/>
      </c>
      <c r="C945" s="2">
        <f>Cleaned_Data!G945</f>
        <v/>
      </c>
      <c r="D945" s="2">
        <f>Cleaned_Data!I945</f>
        <v/>
      </c>
      <c r="E945" s="2">
        <f>Cleaned_Data!H945</f>
        <v/>
      </c>
      <c r="F945" s="2">
        <f>Cleaned_Data!F945</f>
        <v/>
      </c>
      <c r="G945" s="9">
        <f>SUMPRODUCT(($B$2:$B$1196=B945)*($F$2:$F$1196&lt;=F945))/SUMPRODUCT(($B$2:$B$1196=B945)*1)</f>
        <v/>
      </c>
      <c r="H945" s="2">
        <f>Cleaned_Data!J945</f>
        <v/>
      </c>
      <c r="I945" s="2">
        <f>Cleaned_Data!E945</f>
        <v/>
      </c>
      <c r="J945" s="2">
        <f>IF(C945="Yes",1,0)</f>
        <v/>
      </c>
      <c r="K945" s="2">
        <f>MIN(MAX(1-(D945-1)/4,0),1)</f>
        <v/>
      </c>
      <c r="L945" s="2">
        <f>MIN(E945/60,1)</f>
        <v/>
      </c>
      <c r="M945" s="2">
        <f>MIN(MAX(1-G945,0),1)</f>
        <v/>
      </c>
      <c r="N945" s="2">
        <f>MIN(MAX(1-(H945-1)/4,0),1)</f>
        <v/>
      </c>
      <c r="O945" s="2">
        <f>1-MIN(I945/8,1)</f>
        <v/>
      </c>
      <c r="P945" s="10">
        <f>ROUND(100*(J945*Assumptions!$B$6+K945*Assumptions!$B$7+L945*Assumptions!$B$8+M945*Assumptions!$B$9+N945*Assumptions!$B$10+O945*Assumptions!$B$11),1)</f>
        <v/>
      </c>
      <c r="Q945" s="2">
        <f>IF(P945&gt;=Assumptions!$B$14,"High",IF(P945&gt;=Assumptions!$B$15,"Medium","Low"))</f>
        <v/>
      </c>
      <c r="R945" s="2">
        <f>Cleaned_Data!L945</f>
        <v/>
      </c>
    </row>
    <row r="946">
      <c r="A946" s="2">
        <f>Cleaned_Data!A946</f>
        <v/>
      </c>
      <c r="B946" s="2">
        <f>Cleaned_Data!B946</f>
        <v/>
      </c>
      <c r="C946" s="2">
        <f>Cleaned_Data!G946</f>
        <v/>
      </c>
      <c r="D946" s="2">
        <f>Cleaned_Data!I946</f>
        <v/>
      </c>
      <c r="E946" s="2">
        <f>Cleaned_Data!H946</f>
        <v/>
      </c>
      <c r="F946" s="2">
        <f>Cleaned_Data!F946</f>
        <v/>
      </c>
      <c r="G946" s="9">
        <f>SUMPRODUCT(($B$2:$B$1196=B946)*($F$2:$F$1196&lt;=F946))/SUMPRODUCT(($B$2:$B$1196=B946)*1)</f>
        <v/>
      </c>
      <c r="H946" s="2">
        <f>Cleaned_Data!J946</f>
        <v/>
      </c>
      <c r="I946" s="2">
        <f>Cleaned_Data!E946</f>
        <v/>
      </c>
      <c r="J946" s="2">
        <f>IF(C946="Yes",1,0)</f>
        <v/>
      </c>
      <c r="K946" s="2">
        <f>MIN(MAX(1-(D946-1)/4,0),1)</f>
        <v/>
      </c>
      <c r="L946" s="2">
        <f>MIN(E946/60,1)</f>
        <v/>
      </c>
      <c r="M946" s="2">
        <f>MIN(MAX(1-G946,0),1)</f>
        <v/>
      </c>
      <c r="N946" s="2">
        <f>MIN(MAX(1-(H946-1)/4,0),1)</f>
        <v/>
      </c>
      <c r="O946" s="2">
        <f>1-MIN(I946/8,1)</f>
        <v/>
      </c>
      <c r="P946" s="10">
        <f>ROUND(100*(J946*Assumptions!$B$6+K946*Assumptions!$B$7+L946*Assumptions!$B$8+M946*Assumptions!$B$9+N946*Assumptions!$B$10+O946*Assumptions!$B$11),1)</f>
        <v/>
      </c>
      <c r="Q946" s="2">
        <f>IF(P946&gt;=Assumptions!$B$14,"High",IF(P946&gt;=Assumptions!$B$15,"Medium","Low"))</f>
        <v/>
      </c>
      <c r="R946" s="2">
        <f>Cleaned_Data!L946</f>
        <v/>
      </c>
    </row>
    <row r="947">
      <c r="A947" s="2">
        <f>Cleaned_Data!A947</f>
        <v/>
      </c>
      <c r="B947" s="2">
        <f>Cleaned_Data!B947</f>
        <v/>
      </c>
      <c r="C947" s="2">
        <f>Cleaned_Data!G947</f>
        <v/>
      </c>
      <c r="D947" s="2">
        <f>Cleaned_Data!I947</f>
        <v/>
      </c>
      <c r="E947" s="2">
        <f>Cleaned_Data!H947</f>
        <v/>
      </c>
      <c r="F947" s="2">
        <f>Cleaned_Data!F947</f>
        <v/>
      </c>
      <c r="G947" s="9">
        <f>SUMPRODUCT(($B$2:$B$1196=B947)*($F$2:$F$1196&lt;=F947))/SUMPRODUCT(($B$2:$B$1196=B947)*1)</f>
        <v/>
      </c>
      <c r="H947" s="2">
        <f>Cleaned_Data!J947</f>
        <v/>
      </c>
      <c r="I947" s="2">
        <f>Cleaned_Data!E947</f>
        <v/>
      </c>
      <c r="J947" s="2">
        <f>IF(C947="Yes",1,0)</f>
        <v/>
      </c>
      <c r="K947" s="2">
        <f>MIN(MAX(1-(D947-1)/4,0),1)</f>
        <v/>
      </c>
      <c r="L947" s="2">
        <f>MIN(E947/60,1)</f>
        <v/>
      </c>
      <c r="M947" s="2">
        <f>MIN(MAX(1-G947,0),1)</f>
        <v/>
      </c>
      <c r="N947" s="2">
        <f>MIN(MAX(1-(H947-1)/4,0),1)</f>
        <v/>
      </c>
      <c r="O947" s="2">
        <f>1-MIN(I947/8,1)</f>
        <v/>
      </c>
      <c r="P947" s="10">
        <f>ROUND(100*(J947*Assumptions!$B$6+K947*Assumptions!$B$7+L947*Assumptions!$B$8+M947*Assumptions!$B$9+N947*Assumptions!$B$10+O947*Assumptions!$B$11),1)</f>
        <v/>
      </c>
      <c r="Q947" s="2">
        <f>IF(P947&gt;=Assumptions!$B$14,"High",IF(P947&gt;=Assumptions!$B$15,"Medium","Low"))</f>
        <v/>
      </c>
      <c r="R947" s="2">
        <f>Cleaned_Data!L947</f>
        <v/>
      </c>
    </row>
    <row r="948">
      <c r="A948" s="2">
        <f>Cleaned_Data!A948</f>
        <v/>
      </c>
      <c r="B948" s="2">
        <f>Cleaned_Data!B948</f>
        <v/>
      </c>
      <c r="C948" s="2">
        <f>Cleaned_Data!G948</f>
        <v/>
      </c>
      <c r="D948" s="2">
        <f>Cleaned_Data!I948</f>
        <v/>
      </c>
      <c r="E948" s="2">
        <f>Cleaned_Data!H948</f>
        <v/>
      </c>
      <c r="F948" s="2">
        <f>Cleaned_Data!F948</f>
        <v/>
      </c>
      <c r="G948" s="9">
        <f>SUMPRODUCT(($B$2:$B$1196=B948)*($F$2:$F$1196&lt;=F948))/SUMPRODUCT(($B$2:$B$1196=B948)*1)</f>
        <v/>
      </c>
      <c r="H948" s="2">
        <f>Cleaned_Data!J948</f>
        <v/>
      </c>
      <c r="I948" s="2">
        <f>Cleaned_Data!E948</f>
        <v/>
      </c>
      <c r="J948" s="2">
        <f>IF(C948="Yes",1,0)</f>
        <v/>
      </c>
      <c r="K948" s="2">
        <f>MIN(MAX(1-(D948-1)/4,0),1)</f>
        <v/>
      </c>
      <c r="L948" s="2">
        <f>MIN(E948/60,1)</f>
        <v/>
      </c>
      <c r="M948" s="2">
        <f>MIN(MAX(1-G948,0),1)</f>
        <v/>
      </c>
      <c r="N948" s="2">
        <f>MIN(MAX(1-(H948-1)/4,0),1)</f>
        <v/>
      </c>
      <c r="O948" s="2">
        <f>1-MIN(I948/8,1)</f>
        <v/>
      </c>
      <c r="P948" s="10">
        <f>ROUND(100*(J948*Assumptions!$B$6+K948*Assumptions!$B$7+L948*Assumptions!$B$8+M948*Assumptions!$B$9+N948*Assumptions!$B$10+O948*Assumptions!$B$11),1)</f>
        <v/>
      </c>
      <c r="Q948" s="2">
        <f>IF(P948&gt;=Assumptions!$B$14,"High",IF(P948&gt;=Assumptions!$B$15,"Medium","Low"))</f>
        <v/>
      </c>
      <c r="R948" s="2">
        <f>Cleaned_Data!L948</f>
        <v/>
      </c>
    </row>
    <row r="949">
      <c r="A949" s="2">
        <f>Cleaned_Data!A949</f>
        <v/>
      </c>
      <c r="B949" s="2">
        <f>Cleaned_Data!B949</f>
        <v/>
      </c>
      <c r="C949" s="2">
        <f>Cleaned_Data!G949</f>
        <v/>
      </c>
      <c r="D949" s="2">
        <f>Cleaned_Data!I949</f>
        <v/>
      </c>
      <c r="E949" s="2">
        <f>Cleaned_Data!H949</f>
        <v/>
      </c>
      <c r="F949" s="2">
        <f>Cleaned_Data!F949</f>
        <v/>
      </c>
      <c r="G949" s="9">
        <f>SUMPRODUCT(($B$2:$B$1196=B949)*($F$2:$F$1196&lt;=F949))/SUMPRODUCT(($B$2:$B$1196=B949)*1)</f>
        <v/>
      </c>
      <c r="H949" s="2">
        <f>Cleaned_Data!J949</f>
        <v/>
      </c>
      <c r="I949" s="2">
        <f>Cleaned_Data!E949</f>
        <v/>
      </c>
      <c r="J949" s="2">
        <f>IF(C949="Yes",1,0)</f>
        <v/>
      </c>
      <c r="K949" s="2">
        <f>MIN(MAX(1-(D949-1)/4,0),1)</f>
        <v/>
      </c>
      <c r="L949" s="2">
        <f>MIN(E949/60,1)</f>
        <v/>
      </c>
      <c r="M949" s="2">
        <f>MIN(MAX(1-G949,0),1)</f>
        <v/>
      </c>
      <c r="N949" s="2">
        <f>MIN(MAX(1-(H949-1)/4,0),1)</f>
        <v/>
      </c>
      <c r="O949" s="2">
        <f>1-MIN(I949/8,1)</f>
        <v/>
      </c>
      <c r="P949" s="10">
        <f>ROUND(100*(J949*Assumptions!$B$6+K949*Assumptions!$B$7+L949*Assumptions!$B$8+M949*Assumptions!$B$9+N949*Assumptions!$B$10+O949*Assumptions!$B$11),1)</f>
        <v/>
      </c>
      <c r="Q949" s="2">
        <f>IF(P949&gt;=Assumptions!$B$14,"High",IF(P949&gt;=Assumptions!$B$15,"Medium","Low"))</f>
        <v/>
      </c>
      <c r="R949" s="2">
        <f>Cleaned_Data!L949</f>
        <v/>
      </c>
    </row>
    <row r="950">
      <c r="A950" s="2">
        <f>Cleaned_Data!A950</f>
        <v/>
      </c>
      <c r="B950" s="2">
        <f>Cleaned_Data!B950</f>
        <v/>
      </c>
      <c r="C950" s="2">
        <f>Cleaned_Data!G950</f>
        <v/>
      </c>
      <c r="D950" s="2">
        <f>Cleaned_Data!I950</f>
        <v/>
      </c>
      <c r="E950" s="2">
        <f>Cleaned_Data!H950</f>
        <v/>
      </c>
      <c r="F950" s="2">
        <f>Cleaned_Data!F950</f>
        <v/>
      </c>
      <c r="G950" s="9">
        <f>SUMPRODUCT(($B$2:$B$1196=B950)*($F$2:$F$1196&lt;=F950))/SUMPRODUCT(($B$2:$B$1196=B950)*1)</f>
        <v/>
      </c>
      <c r="H950" s="2">
        <f>Cleaned_Data!J950</f>
        <v/>
      </c>
      <c r="I950" s="2">
        <f>Cleaned_Data!E950</f>
        <v/>
      </c>
      <c r="J950" s="2">
        <f>IF(C950="Yes",1,0)</f>
        <v/>
      </c>
      <c r="K950" s="2">
        <f>MIN(MAX(1-(D950-1)/4,0),1)</f>
        <v/>
      </c>
      <c r="L950" s="2">
        <f>MIN(E950/60,1)</f>
        <v/>
      </c>
      <c r="M950" s="2">
        <f>MIN(MAX(1-G950,0),1)</f>
        <v/>
      </c>
      <c r="N950" s="2">
        <f>MIN(MAX(1-(H950-1)/4,0),1)</f>
        <v/>
      </c>
      <c r="O950" s="2">
        <f>1-MIN(I950/8,1)</f>
        <v/>
      </c>
      <c r="P950" s="10">
        <f>ROUND(100*(J950*Assumptions!$B$6+K950*Assumptions!$B$7+L950*Assumptions!$B$8+M950*Assumptions!$B$9+N950*Assumptions!$B$10+O950*Assumptions!$B$11),1)</f>
        <v/>
      </c>
      <c r="Q950" s="2">
        <f>IF(P950&gt;=Assumptions!$B$14,"High",IF(P950&gt;=Assumptions!$B$15,"Medium","Low"))</f>
        <v/>
      </c>
      <c r="R950" s="2">
        <f>Cleaned_Data!L950</f>
        <v/>
      </c>
    </row>
    <row r="951">
      <c r="A951" s="2">
        <f>Cleaned_Data!A951</f>
        <v/>
      </c>
      <c r="B951" s="2">
        <f>Cleaned_Data!B951</f>
        <v/>
      </c>
      <c r="C951" s="2">
        <f>Cleaned_Data!G951</f>
        <v/>
      </c>
      <c r="D951" s="2">
        <f>Cleaned_Data!I951</f>
        <v/>
      </c>
      <c r="E951" s="2">
        <f>Cleaned_Data!H951</f>
        <v/>
      </c>
      <c r="F951" s="2">
        <f>Cleaned_Data!F951</f>
        <v/>
      </c>
      <c r="G951" s="9">
        <f>SUMPRODUCT(($B$2:$B$1196=B951)*($F$2:$F$1196&lt;=F951))/SUMPRODUCT(($B$2:$B$1196=B951)*1)</f>
        <v/>
      </c>
      <c r="H951" s="2">
        <f>Cleaned_Data!J951</f>
        <v/>
      </c>
      <c r="I951" s="2">
        <f>Cleaned_Data!E951</f>
        <v/>
      </c>
      <c r="J951" s="2">
        <f>IF(C951="Yes",1,0)</f>
        <v/>
      </c>
      <c r="K951" s="2">
        <f>MIN(MAX(1-(D951-1)/4,0),1)</f>
        <v/>
      </c>
      <c r="L951" s="2">
        <f>MIN(E951/60,1)</f>
        <v/>
      </c>
      <c r="M951" s="2">
        <f>MIN(MAX(1-G951,0),1)</f>
        <v/>
      </c>
      <c r="N951" s="2">
        <f>MIN(MAX(1-(H951-1)/4,0),1)</f>
        <v/>
      </c>
      <c r="O951" s="2">
        <f>1-MIN(I951/8,1)</f>
        <v/>
      </c>
      <c r="P951" s="10">
        <f>ROUND(100*(J951*Assumptions!$B$6+K951*Assumptions!$B$7+L951*Assumptions!$B$8+M951*Assumptions!$B$9+N951*Assumptions!$B$10+O951*Assumptions!$B$11),1)</f>
        <v/>
      </c>
      <c r="Q951" s="2">
        <f>IF(P951&gt;=Assumptions!$B$14,"High",IF(P951&gt;=Assumptions!$B$15,"Medium","Low"))</f>
        <v/>
      </c>
      <c r="R951" s="2">
        <f>Cleaned_Data!L951</f>
        <v/>
      </c>
    </row>
    <row r="952">
      <c r="A952" s="2">
        <f>Cleaned_Data!A952</f>
        <v/>
      </c>
      <c r="B952" s="2">
        <f>Cleaned_Data!B952</f>
        <v/>
      </c>
      <c r="C952" s="2">
        <f>Cleaned_Data!G952</f>
        <v/>
      </c>
      <c r="D952" s="2">
        <f>Cleaned_Data!I952</f>
        <v/>
      </c>
      <c r="E952" s="2">
        <f>Cleaned_Data!H952</f>
        <v/>
      </c>
      <c r="F952" s="2">
        <f>Cleaned_Data!F952</f>
        <v/>
      </c>
      <c r="G952" s="9">
        <f>SUMPRODUCT(($B$2:$B$1196=B952)*($F$2:$F$1196&lt;=F952))/SUMPRODUCT(($B$2:$B$1196=B952)*1)</f>
        <v/>
      </c>
      <c r="H952" s="2">
        <f>Cleaned_Data!J952</f>
        <v/>
      </c>
      <c r="I952" s="2">
        <f>Cleaned_Data!E952</f>
        <v/>
      </c>
      <c r="J952" s="2">
        <f>IF(C952="Yes",1,0)</f>
        <v/>
      </c>
      <c r="K952" s="2">
        <f>MIN(MAX(1-(D952-1)/4,0),1)</f>
        <v/>
      </c>
      <c r="L952" s="2">
        <f>MIN(E952/60,1)</f>
        <v/>
      </c>
      <c r="M952" s="2">
        <f>MIN(MAX(1-G952,0),1)</f>
        <v/>
      </c>
      <c r="N952" s="2">
        <f>MIN(MAX(1-(H952-1)/4,0),1)</f>
        <v/>
      </c>
      <c r="O952" s="2">
        <f>1-MIN(I952/8,1)</f>
        <v/>
      </c>
      <c r="P952" s="10">
        <f>ROUND(100*(J952*Assumptions!$B$6+K952*Assumptions!$B$7+L952*Assumptions!$B$8+M952*Assumptions!$B$9+N952*Assumptions!$B$10+O952*Assumptions!$B$11),1)</f>
        <v/>
      </c>
      <c r="Q952" s="2">
        <f>IF(P952&gt;=Assumptions!$B$14,"High",IF(P952&gt;=Assumptions!$B$15,"Medium","Low"))</f>
        <v/>
      </c>
      <c r="R952" s="2">
        <f>Cleaned_Data!L952</f>
        <v/>
      </c>
    </row>
    <row r="953">
      <c r="A953" s="2">
        <f>Cleaned_Data!A953</f>
        <v/>
      </c>
      <c r="B953" s="2">
        <f>Cleaned_Data!B953</f>
        <v/>
      </c>
      <c r="C953" s="2">
        <f>Cleaned_Data!G953</f>
        <v/>
      </c>
      <c r="D953" s="2">
        <f>Cleaned_Data!I953</f>
        <v/>
      </c>
      <c r="E953" s="2">
        <f>Cleaned_Data!H953</f>
        <v/>
      </c>
      <c r="F953" s="2">
        <f>Cleaned_Data!F953</f>
        <v/>
      </c>
      <c r="G953" s="9">
        <f>SUMPRODUCT(($B$2:$B$1196=B953)*($F$2:$F$1196&lt;=F953))/SUMPRODUCT(($B$2:$B$1196=B953)*1)</f>
        <v/>
      </c>
      <c r="H953" s="2">
        <f>Cleaned_Data!J953</f>
        <v/>
      </c>
      <c r="I953" s="2">
        <f>Cleaned_Data!E953</f>
        <v/>
      </c>
      <c r="J953" s="2">
        <f>IF(C953="Yes",1,0)</f>
        <v/>
      </c>
      <c r="K953" s="2">
        <f>MIN(MAX(1-(D953-1)/4,0),1)</f>
        <v/>
      </c>
      <c r="L953" s="2">
        <f>MIN(E953/60,1)</f>
        <v/>
      </c>
      <c r="M953" s="2">
        <f>MIN(MAX(1-G953,0),1)</f>
        <v/>
      </c>
      <c r="N953" s="2">
        <f>MIN(MAX(1-(H953-1)/4,0),1)</f>
        <v/>
      </c>
      <c r="O953" s="2">
        <f>1-MIN(I953/8,1)</f>
        <v/>
      </c>
      <c r="P953" s="10">
        <f>ROUND(100*(J953*Assumptions!$B$6+K953*Assumptions!$B$7+L953*Assumptions!$B$8+M953*Assumptions!$B$9+N953*Assumptions!$B$10+O953*Assumptions!$B$11),1)</f>
        <v/>
      </c>
      <c r="Q953" s="2">
        <f>IF(P953&gt;=Assumptions!$B$14,"High",IF(P953&gt;=Assumptions!$B$15,"Medium","Low"))</f>
        <v/>
      </c>
      <c r="R953" s="2">
        <f>Cleaned_Data!L953</f>
        <v/>
      </c>
    </row>
    <row r="954">
      <c r="A954" s="2">
        <f>Cleaned_Data!A954</f>
        <v/>
      </c>
      <c r="B954" s="2">
        <f>Cleaned_Data!B954</f>
        <v/>
      </c>
      <c r="C954" s="2">
        <f>Cleaned_Data!G954</f>
        <v/>
      </c>
      <c r="D954" s="2">
        <f>Cleaned_Data!I954</f>
        <v/>
      </c>
      <c r="E954" s="2">
        <f>Cleaned_Data!H954</f>
        <v/>
      </c>
      <c r="F954" s="2">
        <f>Cleaned_Data!F954</f>
        <v/>
      </c>
      <c r="G954" s="9">
        <f>SUMPRODUCT(($B$2:$B$1196=B954)*($F$2:$F$1196&lt;=F954))/SUMPRODUCT(($B$2:$B$1196=B954)*1)</f>
        <v/>
      </c>
      <c r="H954" s="2">
        <f>Cleaned_Data!J954</f>
        <v/>
      </c>
      <c r="I954" s="2">
        <f>Cleaned_Data!E954</f>
        <v/>
      </c>
      <c r="J954" s="2">
        <f>IF(C954="Yes",1,0)</f>
        <v/>
      </c>
      <c r="K954" s="2">
        <f>MIN(MAX(1-(D954-1)/4,0),1)</f>
        <v/>
      </c>
      <c r="L954" s="2">
        <f>MIN(E954/60,1)</f>
        <v/>
      </c>
      <c r="M954" s="2">
        <f>MIN(MAX(1-G954,0),1)</f>
        <v/>
      </c>
      <c r="N954" s="2">
        <f>MIN(MAX(1-(H954-1)/4,0),1)</f>
        <v/>
      </c>
      <c r="O954" s="2">
        <f>1-MIN(I954/8,1)</f>
        <v/>
      </c>
      <c r="P954" s="10">
        <f>ROUND(100*(J954*Assumptions!$B$6+K954*Assumptions!$B$7+L954*Assumptions!$B$8+M954*Assumptions!$B$9+N954*Assumptions!$B$10+O954*Assumptions!$B$11),1)</f>
        <v/>
      </c>
      <c r="Q954" s="2">
        <f>IF(P954&gt;=Assumptions!$B$14,"High",IF(P954&gt;=Assumptions!$B$15,"Medium","Low"))</f>
        <v/>
      </c>
      <c r="R954" s="2">
        <f>Cleaned_Data!L954</f>
        <v/>
      </c>
    </row>
    <row r="955">
      <c r="A955" s="2">
        <f>Cleaned_Data!A955</f>
        <v/>
      </c>
      <c r="B955" s="2">
        <f>Cleaned_Data!B955</f>
        <v/>
      </c>
      <c r="C955" s="2">
        <f>Cleaned_Data!G955</f>
        <v/>
      </c>
      <c r="D955" s="2">
        <f>Cleaned_Data!I955</f>
        <v/>
      </c>
      <c r="E955" s="2">
        <f>Cleaned_Data!H955</f>
        <v/>
      </c>
      <c r="F955" s="2">
        <f>Cleaned_Data!F955</f>
        <v/>
      </c>
      <c r="G955" s="9">
        <f>SUMPRODUCT(($B$2:$B$1196=B955)*($F$2:$F$1196&lt;=F955))/SUMPRODUCT(($B$2:$B$1196=B955)*1)</f>
        <v/>
      </c>
      <c r="H955" s="2">
        <f>Cleaned_Data!J955</f>
        <v/>
      </c>
      <c r="I955" s="2">
        <f>Cleaned_Data!E955</f>
        <v/>
      </c>
      <c r="J955" s="2">
        <f>IF(C955="Yes",1,0)</f>
        <v/>
      </c>
      <c r="K955" s="2">
        <f>MIN(MAX(1-(D955-1)/4,0),1)</f>
        <v/>
      </c>
      <c r="L955" s="2">
        <f>MIN(E955/60,1)</f>
        <v/>
      </c>
      <c r="M955" s="2">
        <f>MIN(MAX(1-G955,0),1)</f>
        <v/>
      </c>
      <c r="N955" s="2">
        <f>MIN(MAX(1-(H955-1)/4,0),1)</f>
        <v/>
      </c>
      <c r="O955" s="2">
        <f>1-MIN(I955/8,1)</f>
        <v/>
      </c>
      <c r="P955" s="10">
        <f>ROUND(100*(J955*Assumptions!$B$6+K955*Assumptions!$B$7+L955*Assumptions!$B$8+M955*Assumptions!$B$9+N955*Assumptions!$B$10+O955*Assumptions!$B$11),1)</f>
        <v/>
      </c>
      <c r="Q955" s="2">
        <f>IF(P955&gt;=Assumptions!$B$14,"High",IF(P955&gt;=Assumptions!$B$15,"Medium","Low"))</f>
        <v/>
      </c>
      <c r="R955" s="2">
        <f>Cleaned_Data!L955</f>
        <v/>
      </c>
    </row>
    <row r="956">
      <c r="A956" s="2">
        <f>Cleaned_Data!A956</f>
        <v/>
      </c>
      <c r="B956" s="2">
        <f>Cleaned_Data!B956</f>
        <v/>
      </c>
      <c r="C956" s="2">
        <f>Cleaned_Data!G956</f>
        <v/>
      </c>
      <c r="D956" s="2">
        <f>Cleaned_Data!I956</f>
        <v/>
      </c>
      <c r="E956" s="2">
        <f>Cleaned_Data!H956</f>
        <v/>
      </c>
      <c r="F956" s="2">
        <f>Cleaned_Data!F956</f>
        <v/>
      </c>
      <c r="G956" s="9">
        <f>SUMPRODUCT(($B$2:$B$1196=B956)*($F$2:$F$1196&lt;=F956))/SUMPRODUCT(($B$2:$B$1196=B956)*1)</f>
        <v/>
      </c>
      <c r="H956" s="2">
        <f>Cleaned_Data!J956</f>
        <v/>
      </c>
      <c r="I956" s="2">
        <f>Cleaned_Data!E956</f>
        <v/>
      </c>
      <c r="J956" s="2">
        <f>IF(C956="Yes",1,0)</f>
        <v/>
      </c>
      <c r="K956" s="2">
        <f>MIN(MAX(1-(D956-1)/4,0),1)</f>
        <v/>
      </c>
      <c r="L956" s="2">
        <f>MIN(E956/60,1)</f>
        <v/>
      </c>
      <c r="M956" s="2">
        <f>MIN(MAX(1-G956,0),1)</f>
        <v/>
      </c>
      <c r="N956" s="2">
        <f>MIN(MAX(1-(H956-1)/4,0),1)</f>
        <v/>
      </c>
      <c r="O956" s="2">
        <f>1-MIN(I956/8,1)</f>
        <v/>
      </c>
      <c r="P956" s="10">
        <f>ROUND(100*(J956*Assumptions!$B$6+K956*Assumptions!$B$7+L956*Assumptions!$B$8+M956*Assumptions!$B$9+N956*Assumptions!$B$10+O956*Assumptions!$B$11),1)</f>
        <v/>
      </c>
      <c r="Q956" s="2">
        <f>IF(P956&gt;=Assumptions!$B$14,"High",IF(P956&gt;=Assumptions!$B$15,"Medium","Low"))</f>
        <v/>
      </c>
      <c r="R956" s="2">
        <f>Cleaned_Data!L956</f>
        <v/>
      </c>
    </row>
    <row r="957">
      <c r="A957" s="2">
        <f>Cleaned_Data!A957</f>
        <v/>
      </c>
      <c r="B957" s="2">
        <f>Cleaned_Data!B957</f>
        <v/>
      </c>
      <c r="C957" s="2">
        <f>Cleaned_Data!G957</f>
        <v/>
      </c>
      <c r="D957" s="2">
        <f>Cleaned_Data!I957</f>
        <v/>
      </c>
      <c r="E957" s="2">
        <f>Cleaned_Data!H957</f>
        <v/>
      </c>
      <c r="F957" s="2">
        <f>Cleaned_Data!F957</f>
        <v/>
      </c>
      <c r="G957" s="9">
        <f>SUMPRODUCT(($B$2:$B$1196=B957)*($F$2:$F$1196&lt;=F957))/SUMPRODUCT(($B$2:$B$1196=B957)*1)</f>
        <v/>
      </c>
      <c r="H957" s="2">
        <f>Cleaned_Data!J957</f>
        <v/>
      </c>
      <c r="I957" s="2">
        <f>Cleaned_Data!E957</f>
        <v/>
      </c>
      <c r="J957" s="2">
        <f>IF(C957="Yes",1,0)</f>
        <v/>
      </c>
      <c r="K957" s="2">
        <f>MIN(MAX(1-(D957-1)/4,0),1)</f>
        <v/>
      </c>
      <c r="L957" s="2">
        <f>MIN(E957/60,1)</f>
        <v/>
      </c>
      <c r="M957" s="2">
        <f>MIN(MAX(1-G957,0),1)</f>
        <v/>
      </c>
      <c r="N957" s="2">
        <f>MIN(MAX(1-(H957-1)/4,0),1)</f>
        <v/>
      </c>
      <c r="O957" s="2">
        <f>1-MIN(I957/8,1)</f>
        <v/>
      </c>
      <c r="P957" s="10">
        <f>ROUND(100*(J957*Assumptions!$B$6+K957*Assumptions!$B$7+L957*Assumptions!$B$8+M957*Assumptions!$B$9+N957*Assumptions!$B$10+O957*Assumptions!$B$11),1)</f>
        <v/>
      </c>
      <c r="Q957" s="2">
        <f>IF(P957&gt;=Assumptions!$B$14,"High",IF(P957&gt;=Assumptions!$B$15,"Medium","Low"))</f>
        <v/>
      </c>
      <c r="R957" s="2">
        <f>Cleaned_Data!L957</f>
        <v/>
      </c>
    </row>
    <row r="958">
      <c r="A958" s="2">
        <f>Cleaned_Data!A958</f>
        <v/>
      </c>
      <c r="B958" s="2">
        <f>Cleaned_Data!B958</f>
        <v/>
      </c>
      <c r="C958" s="2">
        <f>Cleaned_Data!G958</f>
        <v/>
      </c>
      <c r="D958" s="2">
        <f>Cleaned_Data!I958</f>
        <v/>
      </c>
      <c r="E958" s="2">
        <f>Cleaned_Data!H958</f>
        <v/>
      </c>
      <c r="F958" s="2">
        <f>Cleaned_Data!F958</f>
        <v/>
      </c>
      <c r="G958" s="9">
        <f>SUMPRODUCT(($B$2:$B$1196=B958)*($F$2:$F$1196&lt;=F958))/SUMPRODUCT(($B$2:$B$1196=B958)*1)</f>
        <v/>
      </c>
      <c r="H958" s="2">
        <f>Cleaned_Data!J958</f>
        <v/>
      </c>
      <c r="I958" s="2">
        <f>Cleaned_Data!E958</f>
        <v/>
      </c>
      <c r="J958" s="2">
        <f>IF(C958="Yes",1,0)</f>
        <v/>
      </c>
      <c r="K958" s="2">
        <f>MIN(MAX(1-(D958-1)/4,0),1)</f>
        <v/>
      </c>
      <c r="L958" s="2">
        <f>MIN(E958/60,1)</f>
        <v/>
      </c>
      <c r="M958" s="2">
        <f>MIN(MAX(1-G958,0),1)</f>
        <v/>
      </c>
      <c r="N958" s="2">
        <f>MIN(MAX(1-(H958-1)/4,0),1)</f>
        <v/>
      </c>
      <c r="O958" s="2">
        <f>1-MIN(I958/8,1)</f>
        <v/>
      </c>
      <c r="P958" s="10">
        <f>ROUND(100*(J958*Assumptions!$B$6+K958*Assumptions!$B$7+L958*Assumptions!$B$8+M958*Assumptions!$B$9+N958*Assumptions!$B$10+O958*Assumptions!$B$11),1)</f>
        <v/>
      </c>
      <c r="Q958" s="2">
        <f>IF(P958&gt;=Assumptions!$B$14,"High",IF(P958&gt;=Assumptions!$B$15,"Medium","Low"))</f>
        <v/>
      </c>
      <c r="R958" s="2">
        <f>Cleaned_Data!L958</f>
        <v/>
      </c>
    </row>
    <row r="959">
      <c r="A959" s="2">
        <f>Cleaned_Data!A959</f>
        <v/>
      </c>
      <c r="B959" s="2">
        <f>Cleaned_Data!B959</f>
        <v/>
      </c>
      <c r="C959" s="2">
        <f>Cleaned_Data!G959</f>
        <v/>
      </c>
      <c r="D959" s="2">
        <f>Cleaned_Data!I959</f>
        <v/>
      </c>
      <c r="E959" s="2">
        <f>Cleaned_Data!H959</f>
        <v/>
      </c>
      <c r="F959" s="2">
        <f>Cleaned_Data!F959</f>
        <v/>
      </c>
      <c r="G959" s="9">
        <f>SUMPRODUCT(($B$2:$B$1196=B959)*($F$2:$F$1196&lt;=F959))/SUMPRODUCT(($B$2:$B$1196=B959)*1)</f>
        <v/>
      </c>
      <c r="H959" s="2">
        <f>Cleaned_Data!J959</f>
        <v/>
      </c>
      <c r="I959" s="2">
        <f>Cleaned_Data!E959</f>
        <v/>
      </c>
      <c r="J959" s="2">
        <f>IF(C959="Yes",1,0)</f>
        <v/>
      </c>
      <c r="K959" s="2">
        <f>MIN(MAX(1-(D959-1)/4,0),1)</f>
        <v/>
      </c>
      <c r="L959" s="2">
        <f>MIN(E959/60,1)</f>
        <v/>
      </c>
      <c r="M959" s="2">
        <f>MIN(MAX(1-G959,0),1)</f>
        <v/>
      </c>
      <c r="N959" s="2">
        <f>MIN(MAX(1-(H959-1)/4,0),1)</f>
        <v/>
      </c>
      <c r="O959" s="2">
        <f>1-MIN(I959/8,1)</f>
        <v/>
      </c>
      <c r="P959" s="10">
        <f>ROUND(100*(J959*Assumptions!$B$6+K959*Assumptions!$B$7+L959*Assumptions!$B$8+M959*Assumptions!$B$9+N959*Assumptions!$B$10+O959*Assumptions!$B$11),1)</f>
        <v/>
      </c>
      <c r="Q959" s="2">
        <f>IF(P959&gt;=Assumptions!$B$14,"High",IF(P959&gt;=Assumptions!$B$15,"Medium","Low"))</f>
        <v/>
      </c>
      <c r="R959" s="2">
        <f>Cleaned_Data!L959</f>
        <v/>
      </c>
    </row>
    <row r="960">
      <c r="A960" s="2">
        <f>Cleaned_Data!A960</f>
        <v/>
      </c>
      <c r="B960" s="2">
        <f>Cleaned_Data!B960</f>
        <v/>
      </c>
      <c r="C960" s="2">
        <f>Cleaned_Data!G960</f>
        <v/>
      </c>
      <c r="D960" s="2">
        <f>Cleaned_Data!I960</f>
        <v/>
      </c>
      <c r="E960" s="2">
        <f>Cleaned_Data!H960</f>
        <v/>
      </c>
      <c r="F960" s="2">
        <f>Cleaned_Data!F960</f>
        <v/>
      </c>
      <c r="G960" s="9">
        <f>SUMPRODUCT(($B$2:$B$1196=B960)*($F$2:$F$1196&lt;=F960))/SUMPRODUCT(($B$2:$B$1196=B960)*1)</f>
        <v/>
      </c>
      <c r="H960" s="2">
        <f>Cleaned_Data!J960</f>
        <v/>
      </c>
      <c r="I960" s="2">
        <f>Cleaned_Data!E960</f>
        <v/>
      </c>
      <c r="J960" s="2">
        <f>IF(C960="Yes",1,0)</f>
        <v/>
      </c>
      <c r="K960" s="2">
        <f>MIN(MAX(1-(D960-1)/4,0),1)</f>
        <v/>
      </c>
      <c r="L960" s="2">
        <f>MIN(E960/60,1)</f>
        <v/>
      </c>
      <c r="M960" s="2">
        <f>MIN(MAX(1-G960,0),1)</f>
        <v/>
      </c>
      <c r="N960" s="2">
        <f>MIN(MAX(1-(H960-1)/4,0),1)</f>
        <v/>
      </c>
      <c r="O960" s="2">
        <f>1-MIN(I960/8,1)</f>
        <v/>
      </c>
      <c r="P960" s="10">
        <f>ROUND(100*(J960*Assumptions!$B$6+K960*Assumptions!$B$7+L960*Assumptions!$B$8+M960*Assumptions!$B$9+N960*Assumptions!$B$10+O960*Assumptions!$B$11),1)</f>
        <v/>
      </c>
      <c r="Q960" s="2">
        <f>IF(P960&gt;=Assumptions!$B$14,"High",IF(P960&gt;=Assumptions!$B$15,"Medium","Low"))</f>
        <v/>
      </c>
      <c r="R960" s="2">
        <f>Cleaned_Data!L960</f>
        <v/>
      </c>
    </row>
    <row r="961">
      <c r="A961" s="2">
        <f>Cleaned_Data!A961</f>
        <v/>
      </c>
      <c r="B961" s="2">
        <f>Cleaned_Data!B961</f>
        <v/>
      </c>
      <c r="C961" s="2">
        <f>Cleaned_Data!G961</f>
        <v/>
      </c>
      <c r="D961" s="2">
        <f>Cleaned_Data!I961</f>
        <v/>
      </c>
      <c r="E961" s="2">
        <f>Cleaned_Data!H961</f>
        <v/>
      </c>
      <c r="F961" s="2">
        <f>Cleaned_Data!F961</f>
        <v/>
      </c>
      <c r="G961" s="9">
        <f>SUMPRODUCT(($B$2:$B$1196=B961)*($F$2:$F$1196&lt;=F961))/SUMPRODUCT(($B$2:$B$1196=B961)*1)</f>
        <v/>
      </c>
      <c r="H961" s="2">
        <f>Cleaned_Data!J961</f>
        <v/>
      </c>
      <c r="I961" s="2">
        <f>Cleaned_Data!E961</f>
        <v/>
      </c>
      <c r="J961" s="2">
        <f>IF(C961="Yes",1,0)</f>
        <v/>
      </c>
      <c r="K961" s="2">
        <f>MIN(MAX(1-(D961-1)/4,0),1)</f>
        <v/>
      </c>
      <c r="L961" s="2">
        <f>MIN(E961/60,1)</f>
        <v/>
      </c>
      <c r="M961" s="2">
        <f>MIN(MAX(1-G961,0),1)</f>
        <v/>
      </c>
      <c r="N961" s="2">
        <f>MIN(MAX(1-(H961-1)/4,0),1)</f>
        <v/>
      </c>
      <c r="O961" s="2">
        <f>1-MIN(I961/8,1)</f>
        <v/>
      </c>
      <c r="P961" s="10">
        <f>ROUND(100*(J961*Assumptions!$B$6+K961*Assumptions!$B$7+L961*Assumptions!$B$8+M961*Assumptions!$B$9+N961*Assumptions!$B$10+O961*Assumptions!$B$11),1)</f>
        <v/>
      </c>
      <c r="Q961" s="2">
        <f>IF(P961&gt;=Assumptions!$B$14,"High",IF(P961&gt;=Assumptions!$B$15,"Medium","Low"))</f>
        <v/>
      </c>
      <c r="R961" s="2">
        <f>Cleaned_Data!L961</f>
        <v/>
      </c>
    </row>
    <row r="962">
      <c r="A962" s="2">
        <f>Cleaned_Data!A962</f>
        <v/>
      </c>
      <c r="B962" s="2">
        <f>Cleaned_Data!B962</f>
        <v/>
      </c>
      <c r="C962" s="2">
        <f>Cleaned_Data!G962</f>
        <v/>
      </c>
      <c r="D962" s="2">
        <f>Cleaned_Data!I962</f>
        <v/>
      </c>
      <c r="E962" s="2">
        <f>Cleaned_Data!H962</f>
        <v/>
      </c>
      <c r="F962" s="2">
        <f>Cleaned_Data!F962</f>
        <v/>
      </c>
      <c r="G962" s="9">
        <f>SUMPRODUCT(($B$2:$B$1196=B962)*($F$2:$F$1196&lt;=F962))/SUMPRODUCT(($B$2:$B$1196=B962)*1)</f>
        <v/>
      </c>
      <c r="H962" s="2">
        <f>Cleaned_Data!J962</f>
        <v/>
      </c>
      <c r="I962" s="2">
        <f>Cleaned_Data!E962</f>
        <v/>
      </c>
      <c r="J962" s="2">
        <f>IF(C962="Yes",1,0)</f>
        <v/>
      </c>
      <c r="K962" s="2">
        <f>MIN(MAX(1-(D962-1)/4,0),1)</f>
        <v/>
      </c>
      <c r="L962" s="2">
        <f>MIN(E962/60,1)</f>
        <v/>
      </c>
      <c r="M962" s="2">
        <f>MIN(MAX(1-G962,0),1)</f>
        <v/>
      </c>
      <c r="N962" s="2">
        <f>MIN(MAX(1-(H962-1)/4,0),1)</f>
        <v/>
      </c>
      <c r="O962" s="2">
        <f>1-MIN(I962/8,1)</f>
        <v/>
      </c>
      <c r="P962" s="10">
        <f>ROUND(100*(J962*Assumptions!$B$6+K962*Assumptions!$B$7+L962*Assumptions!$B$8+M962*Assumptions!$B$9+N962*Assumptions!$B$10+O962*Assumptions!$B$11),1)</f>
        <v/>
      </c>
      <c r="Q962" s="2">
        <f>IF(P962&gt;=Assumptions!$B$14,"High",IF(P962&gt;=Assumptions!$B$15,"Medium","Low"))</f>
        <v/>
      </c>
      <c r="R962" s="2">
        <f>Cleaned_Data!L962</f>
        <v/>
      </c>
    </row>
    <row r="963">
      <c r="A963" s="2">
        <f>Cleaned_Data!A963</f>
        <v/>
      </c>
      <c r="B963" s="2">
        <f>Cleaned_Data!B963</f>
        <v/>
      </c>
      <c r="C963" s="2">
        <f>Cleaned_Data!G963</f>
        <v/>
      </c>
      <c r="D963" s="2">
        <f>Cleaned_Data!I963</f>
        <v/>
      </c>
      <c r="E963" s="2">
        <f>Cleaned_Data!H963</f>
        <v/>
      </c>
      <c r="F963" s="2">
        <f>Cleaned_Data!F963</f>
        <v/>
      </c>
      <c r="G963" s="9">
        <f>SUMPRODUCT(($B$2:$B$1196=B963)*($F$2:$F$1196&lt;=F963))/SUMPRODUCT(($B$2:$B$1196=B963)*1)</f>
        <v/>
      </c>
      <c r="H963" s="2">
        <f>Cleaned_Data!J963</f>
        <v/>
      </c>
      <c r="I963" s="2">
        <f>Cleaned_Data!E963</f>
        <v/>
      </c>
      <c r="J963" s="2">
        <f>IF(C963="Yes",1,0)</f>
        <v/>
      </c>
      <c r="K963" s="2">
        <f>MIN(MAX(1-(D963-1)/4,0),1)</f>
        <v/>
      </c>
      <c r="L963" s="2">
        <f>MIN(E963/60,1)</f>
        <v/>
      </c>
      <c r="M963" s="2">
        <f>MIN(MAX(1-G963,0),1)</f>
        <v/>
      </c>
      <c r="N963" s="2">
        <f>MIN(MAX(1-(H963-1)/4,0),1)</f>
        <v/>
      </c>
      <c r="O963" s="2">
        <f>1-MIN(I963/8,1)</f>
        <v/>
      </c>
      <c r="P963" s="10">
        <f>ROUND(100*(J963*Assumptions!$B$6+K963*Assumptions!$B$7+L963*Assumptions!$B$8+M963*Assumptions!$B$9+N963*Assumptions!$B$10+O963*Assumptions!$B$11),1)</f>
        <v/>
      </c>
      <c r="Q963" s="2">
        <f>IF(P963&gt;=Assumptions!$B$14,"High",IF(P963&gt;=Assumptions!$B$15,"Medium","Low"))</f>
        <v/>
      </c>
      <c r="R963" s="2">
        <f>Cleaned_Data!L963</f>
        <v/>
      </c>
    </row>
    <row r="964">
      <c r="A964" s="2">
        <f>Cleaned_Data!A964</f>
        <v/>
      </c>
      <c r="B964" s="2">
        <f>Cleaned_Data!B964</f>
        <v/>
      </c>
      <c r="C964" s="2">
        <f>Cleaned_Data!G964</f>
        <v/>
      </c>
      <c r="D964" s="2">
        <f>Cleaned_Data!I964</f>
        <v/>
      </c>
      <c r="E964" s="2">
        <f>Cleaned_Data!H964</f>
        <v/>
      </c>
      <c r="F964" s="2">
        <f>Cleaned_Data!F964</f>
        <v/>
      </c>
      <c r="G964" s="9">
        <f>SUMPRODUCT(($B$2:$B$1196=B964)*($F$2:$F$1196&lt;=F964))/SUMPRODUCT(($B$2:$B$1196=B964)*1)</f>
        <v/>
      </c>
      <c r="H964" s="2">
        <f>Cleaned_Data!J964</f>
        <v/>
      </c>
      <c r="I964" s="2">
        <f>Cleaned_Data!E964</f>
        <v/>
      </c>
      <c r="J964" s="2">
        <f>IF(C964="Yes",1,0)</f>
        <v/>
      </c>
      <c r="K964" s="2">
        <f>MIN(MAX(1-(D964-1)/4,0),1)</f>
        <v/>
      </c>
      <c r="L964" s="2">
        <f>MIN(E964/60,1)</f>
        <v/>
      </c>
      <c r="M964" s="2">
        <f>MIN(MAX(1-G964,0),1)</f>
        <v/>
      </c>
      <c r="N964" s="2">
        <f>MIN(MAX(1-(H964-1)/4,0),1)</f>
        <v/>
      </c>
      <c r="O964" s="2">
        <f>1-MIN(I964/8,1)</f>
        <v/>
      </c>
      <c r="P964" s="10">
        <f>ROUND(100*(J964*Assumptions!$B$6+K964*Assumptions!$B$7+L964*Assumptions!$B$8+M964*Assumptions!$B$9+N964*Assumptions!$B$10+O964*Assumptions!$B$11),1)</f>
        <v/>
      </c>
      <c r="Q964" s="2">
        <f>IF(P964&gt;=Assumptions!$B$14,"High",IF(P964&gt;=Assumptions!$B$15,"Medium","Low"))</f>
        <v/>
      </c>
      <c r="R964" s="2">
        <f>Cleaned_Data!L964</f>
        <v/>
      </c>
    </row>
    <row r="965">
      <c r="A965" s="2">
        <f>Cleaned_Data!A965</f>
        <v/>
      </c>
      <c r="B965" s="2">
        <f>Cleaned_Data!B965</f>
        <v/>
      </c>
      <c r="C965" s="2">
        <f>Cleaned_Data!G965</f>
        <v/>
      </c>
      <c r="D965" s="2">
        <f>Cleaned_Data!I965</f>
        <v/>
      </c>
      <c r="E965" s="2">
        <f>Cleaned_Data!H965</f>
        <v/>
      </c>
      <c r="F965" s="2">
        <f>Cleaned_Data!F965</f>
        <v/>
      </c>
      <c r="G965" s="9">
        <f>SUMPRODUCT(($B$2:$B$1196=B965)*($F$2:$F$1196&lt;=F965))/SUMPRODUCT(($B$2:$B$1196=B965)*1)</f>
        <v/>
      </c>
      <c r="H965" s="2">
        <f>Cleaned_Data!J965</f>
        <v/>
      </c>
      <c r="I965" s="2">
        <f>Cleaned_Data!E965</f>
        <v/>
      </c>
      <c r="J965" s="2">
        <f>IF(C965="Yes",1,0)</f>
        <v/>
      </c>
      <c r="K965" s="2">
        <f>MIN(MAX(1-(D965-1)/4,0),1)</f>
        <v/>
      </c>
      <c r="L965" s="2">
        <f>MIN(E965/60,1)</f>
        <v/>
      </c>
      <c r="M965" s="2">
        <f>MIN(MAX(1-G965,0),1)</f>
        <v/>
      </c>
      <c r="N965" s="2">
        <f>MIN(MAX(1-(H965-1)/4,0),1)</f>
        <v/>
      </c>
      <c r="O965" s="2">
        <f>1-MIN(I965/8,1)</f>
        <v/>
      </c>
      <c r="P965" s="10">
        <f>ROUND(100*(J965*Assumptions!$B$6+K965*Assumptions!$B$7+L965*Assumptions!$B$8+M965*Assumptions!$B$9+N965*Assumptions!$B$10+O965*Assumptions!$B$11),1)</f>
        <v/>
      </c>
      <c r="Q965" s="2">
        <f>IF(P965&gt;=Assumptions!$B$14,"High",IF(P965&gt;=Assumptions!$B$15,"Medium","Low"))</f>
        <v/>
      </c>
      <c r="R965" s="2">
        <f>Cleaned_Data!L965</f>
        <v/>
      </c>
    </row>
    <row r="966">
      <c r="A966" s="2">
        <f>Cleaned_Data!A966</f>
        <v/>
      </c>
      <c r="B966" s="2">
        <f>Cleaned_Data!B966</f>
        <v/>
      </c>
      <c r="C966" s="2">
        <f>Cleaned_Data!G966</f>
        <v/>
      </c>
      <c r="D966" s="2">
        <f>Cleaned_Data!I966</f>
        <v/>
      </c>
      <c r="E966" s="2">
        <f>Cleaned_Data!H966</f>
        <v/>
      </c>
      <c r="F966" s="2">
        <f>Cleaned_Data!F966</f>
        <v/>
      </c>
      <c r="G966" s="9">
        <f>SUMPRODUCT(($B$2:$B$1196=B966)*($F$2:$F$1196&lt;=F966))/SUMPRODUCT(($B$2:$B$1196=B966)*1)</f>
        <v/>
      </c>
      <c r="H966" s="2">
        <f>Cleaned_Data!J966</f>
        <v/>
      </c>
      <c r="I966" s="2">
        <f>Cleaned_Data!E966</f>
        <v/>
      </c>
      <c r="J966" s="2">
        <f>IF(C966="Yes",1,0)</f>
        <v/>
      </c>
      <c r="K966" s="2">
        <f>MIN(MAX(1-(D966-1)/4,0),1)</f>
        <v/>
      </c>
      <c r="L966" s="2">
        <f>MIN(E966/60,1)</f>
        <v/>
      </c>
      <c r="M966" s="2">
        <f>MIN(MAX(1-G966,0),1)</f>
        <v/>
      </c>
      <c r="N966" s="2">
        <f>MIN(MAX(1-(H966-1)/4,0),1)</f>
        <v/>
      </c>
      <c r="O966" s="2">
        <f>1-MIN(I966/8,1)</f>
        <v/>
      </c>
      <c r="P966" s="10">
        <f>ROUND(100*(J966*Assumptions!$B$6+K966*Assumptions!$B$7+L966*Assumptions!$B$8+M966*Assumptions!$B$9+N966*Assumptions!$B$10+O966*Assumptions!$B$11),1)</f>
        <v/>
      </c>
      <c r="Q966" s="2">
        <f>IF(P966&gt;=Assumptions!$B$14,"High",IF(P966&gt;=Assumptions!$B$15,"Medium","Low"))</f>
        <v/>
      </c>
      <c r="R966" s="2">
        <f>Cleaned_Data!L966</f>
        <v/>
      </c>
    </row>
    <row r="967">
      <c r="A967" s="2">
        <f>Cleaned_Data!A967</f>
        <v/>
      </c>
      <c r="B967" s="2">
        <f>Cleaned_Data!B967</f>
        <v/>
      </c>
      <c r="C967" s="2">
        <f>Cleaned_Data!G967</f>
        <v/>
      </c>
      <c r="D967" s="2">
        <f>Cleaned_Data!I967</f>
        <v/>
      </c>
      <c r="E967" s="2">
        <f>Cleaned_Data!H967</f>
        <v/>
      </c>
      <c r="F967" s="2">
        <f>Cleaned_Data!F967</f>
        <v/>
      </c>
      <c r="G967" s="9">
        <f>SUMPRODUCT(($B$2:$B$1196=B967)*($F$2:$F$1196&lt;=F967))/SUMPRODUCT(($B$2:$B$1196=B967)*1)</f>
        <v/>
      </c>
      <c r="H967" s="2">
        <f>Cleaned_Data!J967</f>
        <v/>
      </c>
      <c r="I967" s="2">
        <f>Cleaned_Data!E967</f>
        <v/>
      </c>
      <c r="J967" s="2">
        <f>IF(C967="Yes",1,0)</f>
        <v/>
      </c>
      <c r="K967" s="2">
        <f>MIN(MAX(1-(D967-1)/4,0),1)</f>
        <v/>
      </c>
      <c r="L967" s="2">
        <f>MIN(E967/60,1)</f>
        <v/>
      </c>
      <c r="M967" s="2">
        <f>MIN(MAX(1-G967,0),1)</f>
        <v/>
      </c>
      <c r="N967" s="2">
        <f>MIN(MAX(1-(H967-1)/4,0),1)</f>
        <v/>
      </c>
      <c r="O967" s="2">
        <f>1-MIN(I967/8,1)</f>
        <v/>
      </c>
      <c r="P967" s="10">
        <f>ROUND(100*(J967*Assumptions!$B$6+K967*Assumptions!$B$7+L967*Assumptions!$B$8+M967*Assumptions!$B$9+N967*Assumptions!$B$10+O967*Assumptions!$B$11),1)</f>
        <v/>
      </c>
      <c r="Q967" s="2">
        <f>IF(P967&gt;=Assumptions!$B$14,"High",IF(P967&gt;=Assumptions!$B$15,"Medium","Low"))</f>
        <v/>
      </c>
      <c r="R967" s="2">
        <f>Cleaned_Data!L967</f>
        <v/>
      </c>
    </row>
    <row r="968">
      <c r="A968" s="2">
        <f>Cleaned_Data!A968</f>
        <v/>
      </c>
      <c r="B968" s="2">
        <f>Cleaned_Data!B968</f>
        <v/>
      </c>
      <c r="C968" s="2">
        <f>Cleaned_Data!G968</f>
        <v/>
      </c>
      <c r="D968" s="2">
        <f>Cleaned_Data!I968</f>
        <v/>
      </c>
      <c r="E968" s="2">
        <f>Cleaned_Data!H968</f>
        <v/>
      </c>
      <c r="F968" s="2">
        <f>Cleaned_Data!F968</f>
        <v/>
      </c>
      <c r="G968" s="9">
        <f>SUMPRODUCT(($B$2:$B$1196=B968)*($F$2:$F$1196&lt;=F968))/SUMPRODUCT(($B$2:$B$1196=B968)*1)</f>
        <v/>
      </c>
      <c r="H968" s="2">
        <f>Cleaned_Data!J968</f>
        <v/>
      </c>
      <c r="I968" s="2">
        <f>Cleaned_Data!E968</f>
        <v/>
      </c>
      <c r="J968" s="2">
        <f>IF(C968="Yes",1,0)</f>
        <v/>
      </c>
      <c r="K968" s="2">
        <f>MIN(MAX(1-(D968-1)/4,0),1)</f>
        <v/>
      </c>
      <c r="L968" s="2">
        <f>MIN(E968/60,1)</f>
        <v/>
      </c>
      <c r="M968" s="2">
        <f>MIN(MAX(1-G968,0),1)</f>
        <v/>
      </c>
      <c r="N968" s="2">
        <f>MIN(MAX(1-(H968-1)/4,0),1)</f>
        <v/>
      </c>
      <c r="O968" s="2">
        <f>1-MIN(I968/8,1)</f>
        <v/>
      </c>
      <c r="P968" s="10">
        <f>ROUND(100*(J968*Assumptions!$B$6+K968*Assumptions!$B$7+L968*Assumptions!$B$8+M968*Assumptions!$B$9+N968*Assumptions!$B$10+O968*Assumptions!$B$11),1)</f>
        <v/>
      </c>
      <c r="Q968" s="2">
        <f>IF(P968&gt;=Assumptions!$B$14,"High",IF(P968&gt;=Assumptions!$B$15,"Medium","Low"))</f>
        <v/>
      </c>
      <c r="R968" s="2">
        <f>Cleaned_Data!L968</f>
        <v/>
      </c>
    </row>
    <row r="969">
      <c r="A969" s="2">
        <f>Cleaned_Data!A969</f>
        <v/>
      </c>
      <c r="B969" s="2">
        <f>Cleaned_Data!B969</f>
        <v/>
      </c>
      <c r="C969" s="2">
        <f>Cleaned_Data!G969</f>
        <v/>
      </c>
      <c r="D969" s="2">
        <f>Cleaned_Data!I969</f>
        <v/>
      </c>
      <c r="E969" s="2">
        <f>Cleaned_Data!H969</f>
        <v/>
      </c>
      <c r="F969" s="2">
        <f>Cleaned_Data!F969</f>
        <v/>
      </c>
      <c r="G969" s="9">
        <f>SUMPRODUCT(($B$2:$B$1196=B969)*($F$2:$F$1196&lt;=F969))/SUMPRODUCT(($B$2:$B$1196=B969)*1)</f>
        <v/>
      </c>
      <c r="H969" s="2">
        <f>Cleaned_Data!J969</f>
        <v/>
      </c>
      <c r="I969" s="2">
        <f>Cleaned_Data!E969</f>
        <v/>
      </c>
      <c r="J969" s="2">
        <f>IF(C969="Yes",1,0)</f>
        <v/>
      </c>
      <c r="K969" s="2">
        <f>MIN(MAX(1-(D969-1)/4,0),1)</f>
        <v/>
      </c>
      <c r="L969" s="2">
        <f>MIN(E969/60,1)</f>
        <v/>
      </c>
      <c r="M969" s="2">
        <f>MIN(MAX(1-G969,0),1)</f>
        <v/>
      </c>
      <c r="N969" s="2">
        <f>MIN(MAX(1-(H969-1)/4,0),1)</f>
        <v/>
      </c>
      <c r="O969" s="2">
        <f>1-MIN(I969/8,1)</f>
        <v/>
      </c>
      <c r="P969" s="10">
        <f>ROUND(100*(J969*Assumptions!$B$6+K969*Assumptions!$B$7+L969*Assumptions!$B$8+M969*Assumptions!$B$9+N969*Assumptions!$B$10+O969*Assumptions!$B$11),1)</f>
        <v/>
      </c>
      <c r="Q969" s="2">
        <f>IF(P969&gt;=Assumptions!$B$14,"High",IF(P969&gt;=Assumptions!$B$15,"Medium","Low"))</f>
        <v/>
      </c>
      <c r="R969" s="2">
        <f>Cleaned_Data!L969</f>
        <v/>
      </c>
    </row>
    <row r="970">
      <c r="A970" s="2">
        <f>Cleaned_Data!A970</f>
        <v/>
      </c>
      <c r="B970" s="2">
        <f>Cleaned_Data!B970</f>
        <v/>
      </c>
      <c r="C970" s="2">
        <f>Cleaned_Data!G970</f>
        <v/>
      </c>
      <c r="D970" s="2">
        <f>Cleaned_Data!I970</f>
        <v/>
      </c>
      <c r="E970" s="2">
        <f>Cleaned_Data!H970</f>
        <v/>
      </c>
      <c r="F970" s="2">
        <f>Cleaned_Data!F970</f>
        <v/>
      </c>
      <c r="G970" s="9">
        <f>SUMPRODUCT(($B$2:$B$1196=B970)*($F$2:$F$1196&lt;=F970))/SUMPRODUCT(($B$2:$B$1196=B970)*1)</f>
        <v/>
      </c>
      <c r="H970" s="2">
        <f>Cleaned_Data!J970</f>
        <v/>
      </c>
      <c r="I970" s="2">
        <f>Cleaned_Data!E970</f>
        <v/>
      </c>
      <c r="J970" s="2">
        <f>IF(C970="Yes",1,0)</f>
        <v/>
      </c>
      <c r="K970" s="2">
        <f>MIN(MAX(1-(D970-1)/4,0),1)</f>
        <v/>
      </c>
      <c r="L970" s="2">
        <f>MIN(E970/60,1)</f>
        <v/>
      </c>
      <c r="M970" s="2">
        <f>MIN(MAX(1-G970,0),1)</f>
        <v/>
      </c>
      <c r="N970" s="2">
        <f>MIN(MAX(1-(H970-1)/4,0),1)</f>
        <v/>
      </c>
      <c r="O970" s="2">
        <f>1-MIN(I970/8,1)</f>
        <v/>
      </c>
      <c r="P970" s="10">
        <f>ROUND(100*(J970*Assumptions!$B$6+K970*Assumptions!$B$7+L970*Assumptions!$B$8+M970*Assumptions!$B$9+N970*Assumptions!$B$10+O970*Assumptions!$B$11),1)</f>
        <v/>
      </c>
      <c r="Q970" s="2">
        <f>IF(P970&gt;=Assumptions!$B$14,"High",IF(P970&gt;=Assumptions!$B$15,"Medium","Low"))</f>
        <v/>
      </c>
      <c r="R970" s="2">
        <f>Cleaned_Data!L970</f>
        <v/>
      </c>
    </row>
    <row r="971">
      <c r="A971" s="2">
        <f>Cleaned_Data!A971</f>
        <v/>
      </c>
      <c r="B971" s="2">
        <f>Cleaned_Data!B971</f>
        <v/>
      </c>
      <c r="C971" s="2">
        <f>Cleaned_Data!G971</f>
        <v/>
      </c>
      <c r="D971" s="2">
        <f>Cleaned_Data!I971</f>
        <v/>
      </c>
      <c r="E971" s="2">
        <f>Cleaned_Data!H971</f>
        <v/>
      </c>
      <c r="F971" s="2">
        <f>Cleaned_Data!F971</f>
        <v/>
      </c>
      <c r="G971" s="9">
        <f>SUMPRODUCT(($B$2:$B$1196=B971)*($F$2:$F$1196&lt;=F971))/SUMPRODUCT(($B$2:$B$1196=B971)*1)</f>
        <v/>
      </c>
      <c r="H971" s="2">
        <f>Cleaned_Data!J971</f>
        <v/>
      </c>
      <c r="I971" s="2">
        <f>Cleaned_Data!E971</f>
        <v/>
      </c>
      <c r="J971" s="2">
        <f>IF(C971="Yes",1,0)</f>
        <v/>
      </c>
      <c r="K971" s="2">
        <f>MIN(MAX(1-(D971-1)/4,0),1)</f>
        <v/>
      </c>
      <c r="L971" s="2">
        <f>MIN(E971/60,1)</f>
        <v/>
      </c>
      <c r="M971" s="2">
        <f>MIN(MAX(1-G971,0),1)</f>
        <v/>
      </c>
      <c r="N971" s="2">
        <f>MIN(MAX(1-(H971-1)/4,0),1)</f>
        <v/>
      </c>
      <c r="O971" s="2">
        <f>1-MIN(I971/8,1)</f>
        <v/>
      </c>
      <c r="P971" s="10">
        <f>ROUND(100*(J971*Assumptions!$B$6+K971*Assumptions!$B$7+L971*Assumptions!$B$8+M971*Assumptions!$B$9+N971*Assumptions!$B$10+O971*Assumptions!$B$11),1)</f>
        <v/>
      </c>
      <c r="Q971" s="2">
        <f>IF(P971&gt;=Assumptions!$B$14,"High",IF(P971&gt;=Assumptions!$B$15,"Medium","Low"))</f>
        <v/>
      </c>
      <c r="R971" s="2">
        <f>Cleaned_Data!L971</f>
        <v/>
      </c>
    </row>
    <row r="972">
      <c r="A972" s="2">
        <f>Cleaned_Data!A972</f>
        <v/>
      </c>
      <c r="B972" s="2">
        <f>Cleaned_Data!B972</f>
        <v/>
      </c>
      <c r="C972" s="2">
        <f>Cleaned_Data!G972</f>
        <v/>
      </c>
      <c r="D972" s="2">
        <f>Cleaned_Data!I972</f>
        <v/>
      </c>
      <c r="E972" s="2">
        <f>Cleaned_Data!H972</f>
        <v/>
      </c>
      <c r="F972" s="2">
        <f>Cleaned_Data!F972</f>
        <v/>
      </c>
      <c r="G972" s="9">
        <f>SUMPRODUCT(($B$2:$B$1196=B972)*($F$2:$F$1196&lt;=F972))/SUMPRODUCT(($B$2:$B$1196=B972)*1)</f>
        <v/>
      </c>
      <c r="H972" s="2">
        <f>Cleaned_Data!J972</f>
        <v/>
      </c>
      <c r="I972" s="2">
        <f>Cleaned_Data!E972</f>
        <v/>
      </c>
      <c r="J972" s="2">
        <f>IF(C972="Yes",1,0)</f>
        <v/>
      </c>
      <c r="K972" s="2">
        <f>MIN(MAX(1-(D972-1)/4,0),1)</f>
        <v/>
      </c>
      <c r="L972" s="2">
        <f>MIN(E972/60,1)</f>
        <v/>
      </c>
      <c r="M972" s="2">
        <f>MIN(MAX(1-G972,0),1)</f>
        <v/>
      </c>
      <c r="N972" s="2">
        <f>MIN(MAX(1-(H972-1)/4,0),1)</f>
        <v/>
      </c>
      <c r="O972" s="2">
        <f>1-MIN(I972/8,1)</f>
        <v/>
      </c>
      <c r="P972" s="10">
        <f>ROUND(100*(J972*Assumptions!$B$6+K972*Assumptions!$B$7+L972*Assumptions!$B$8+M972*Assumptions!$B$9+N972*Assumptions!$B$10+O972*Assumptions!$B$11),1)</f>
        <v/>
      </c>
      <c r="Q972" s="2">
        <f>IF(P972&gt;=Assumptions!$B$14,"High",IF(P972&gt;=Assumptions!$B$15,"Medium","Low"))</f>
        <v/>
      </c>
      <c r="R972" s="2">
        <f>Cleaned_Data!L972</f>
        <v/>
      </c>
    </row>
    <row r="973">
      <c r="A973" s="2">
        <f>Cleaned_Data!A973</f>
        <v/>
      </c>
      <c r="B973" s="2">
        <f>Cleaned_Data!B973</f>
        <v/>
      </c>
      <c r="C973" s="2">
        <f>Cleaned_Data!G973</f>
        <v/>
      </c>
      <c r="D973" s="2">
        <f>Cleaned_Data!I973</f>
        <v/>
      </c>
      <c r="E973" s="2">
        <f>Cleaned_Data!H973</f>
        <v/>
      </c>
      <c r="F973" s="2">
        <f>Cleaned_Data!F973</f>
        <v/>
      </c>
      <c r="G973" s="9">
        <f>SUMPRODUCT(($B$2:$B$1196=B973)*($F$2:$F$1196&lt;=F973))/SUMPRODUCT(($B$2:$B$1196=B973)*1)</f>
        <v/>
      </c>
      <c r="H973" s="2">
        <f>Cleaned_Data!J973</f>
        <v/>
      </c>
      <c r="I973" s="2">
        <f>Cleaned_Data!E973</f>
        <v/>
      </c>
      <c r="J973" s="2">
        <f>IF(C973="Yes",1,0)</f>
        <v/>
      </c>
      <c r="K973" s="2">
        <f>MIN(MAX(1-(D973-1)/4,0),1)</f>
        <v/>
      </c>
      <c r="L973" s="2">
        <f>MIN(E973/60,1)</f>
        <v/>
      </c>
      <c r="M973" s="2">
        <f>MIN(MAX(1-G973,0),1)</f>
        <v/>
      </c>
      <c r="N973" s="2">
        <f>MIN(MAX(1-(H973-1)/4,0),1)</f>
        <v/>
      </c>
      <c r="O973" s="2">
        <f>1-MIN(I973/8,1)</f>
        <v/>
      </c>
      <c r="P973" s="10">
        <f>ROUND(100*(J973*Assumptions!$B$6+K973*Assumptions!$B$7+L973*Assumptions!$B$8+M973*Assumptions!$B$9+N973*Assumptions!$B$10+O973*Assumptions!$B$11),1)</f>
        <v/>
      </c>
      <c r="Q973" s="2">
        <f>IF(P973&gt;=Assumptions!$B$14,"High",IF(P973&gt;=Assumptions!$B$15,"Medium","Low"))</f>
        <v/>
      </c>
      <c r="R973" s="2">
        <f>Cleaned_Data!L973</f>
        <v/>
      </c>
    </row>
    <row r="974">
      <c r="A974" s="2">
        <f>Cleaned_Data!A974</f>
        <v/>
      </c>
      <c r="B974" s="2">
        <f>Cleaned_Data!B974</f>
        <v/>
      </c>
      <c r="C974" s="2">
        <f>Cleaned_Data!G974</f>
        <v/>
      </c>
      <c r="D974" s="2">
        <f>Cleaned_Data!I974</f>
        <v/>
      </c>
      <c r="E974" s="2">
        <f>Cleaned_Data!H974</f>
        <v/>
      </c>
      <c r="F974" s="2">
        <f>Cleaned_Data!F974</f>
        <v/>
      </c>
      <c r="G974" s="9">
        <f>SUMPRODUCT(($B$2:$B$1196=B974)*($F$2:$F$1196&lt;=F974))/SUMPRODUCT(($B$2:$B$1196=B974)*1)</f>
        <v/>
      </c>
      <c r="H974" s="2">
        <f>Cleaned_Data!J974</f>
        <v/>
      </c>
      <c r="I974" s="2">
        <f>Cleaned_Data!E974</f>
        <v/>
      </c>
      <c r="J974" s="2">
        <f>IF(C974="Yes",1,0)</f>
        <v/>
      </c>
      <c r="K974" s="2">
        <f>MIN(MAX(1-(D974-1)/4,0),1)</f>
        <v/>
      </c>
      <c r="L974" s="2">
        <f>MIN(E974/60,1)</f>
        <v/>
      </c>
      <c r="M974" s="2">
        <f>MIN(MAX(1-G974,0),1)</f>
        <v/>
      </c>
      <c r="N974" s="2">
        <f>MIN(MAX(1-(H974-1)/4,0),1)</f>
        <v/>
      </c>
      <c r="O974" s="2">
        <f>1-MIN(I974/8,1)</f>
        <v/>
      </c>
      <c r="P974" s="10">
        <f>ROUND(100*(J974*Assumptions!$B$6+K974*Assumptions!$B$7+L974*Assumptions!$B$8+M974*Assumptions!$B$9+N974*Assumptions!$B$10+O974*Assumptions!$B$11),1)</f>
        <v/>
      </c>
      <c r="Q974" s="2">
        <f>IF(P974&gt;=Assumptions!$B$14,"High",IF(P974&gt;=Assumptions!$B$15,"Medium","Low"))</f>
        <v/>
      </c>
      <c r="R974" s="2">
        <f>Cleaned_Data!L974</f>
        <v/>
      </c>
    </row>
    <row r="975">
      <c r="A975" s="2">
        <f>Cleaned_Data!A975</f>
        <v/>
      </c>
      <c r="B975" s="2">
        <f>Cleaned_Data!B975</f>
        <v/>
      </c>
      <c r="C975" s="2">
        <f>Cleaned_Data!G975</f>
        <v/>
      </c>
      <c r="D975" s="2">
        <f>Cleaned_Data!I975</f>
        <v/>
      </c>
      <c r="E975" s="2">
        <f>Cleaned_Data!H975</f>
        <v/>
      </c>
      <c r="F975" s="2">
        <f>Cleaned_Data!F975</f>
        <v/>
      </c>
      <c r="G975" s="9">
        <f>SUMPRODUCT(($B$2:$B$1196=B975)*($F$2:$F$1196&lt;=F975))/SUMPRODUCT(($B$2:$B$1196=B975)*1)</f>
        <v/>
      </c>
      <c r="H975" s="2">
        <f>Cleaned_Data!J975</f>
        <v/>
      </c>
      <c r="I975" s="2">
        <f>Cleaned_Data!E975</f>
        <v/>
      </c>
      <c r="J975" s="2">
        <f>IF(C975="Yes",1,0)</f>
        <v/>
      </c>
      <c r="K975" s="2">
        <f>MIN(MAX(1-(D975-1)/4,0),1)</f>
        <v/>
      </c>
      <c r="L975" s="2">
        <f>MIN(E975/60,1)</f>
        <v/>
      </c>
      <c r="M975" s="2">
        <f>MIN(MAX(1-G975,0),1)</f>
        <v/>
      </c>
      <c r="N975" s="2">
        <f>MIN(MAX(1-(H975-1)/4,0),1)</f>
        <v/>
      </c>
      <c r="O975" s="2">
        <f>1-MIN(I975/8,1)</f>
        <v/>
      </c>
      <c r="P975" s="10">
        <f>ROUND(100*(J975*Assumptions!$B$6+K975*Assumptions!$B$7+L975*Assumptions!$B$8+M975*Assumptions!$B$9+N975*Assumptions!$B$10+O975*Assumptions!$B$11),1)</f>
        <v/>
      </c>
      <c r="Q975" s="2">
        <f>IF(P975&gt;=Assumptions!$B$14,"High",IF(P975&gt;=Assumptions!$B$15,"Medium","Low"))</f>
        <v/>
      </c>
      <c r="R975" s="2">
        <f>Cleaned_Data!L975</f>
        <v/>
      </c>
    </row>
    <row r="976">
      <c r="A976" s="2">
        <f>Cleaned_Data!A976</f>
        <v/>
      </c>
      <c r="B976" s="2">
        <f>Cleaned_Data!B976</f>
        <v/>
      </c>
      <c r="C976" s="2">
        <f>Cleaned_Data!G976</f>
        <v/>
      </c>
      <c r="D976" s="2">
        <f>Cleaned_Data!I976</f>
        <v/>
      </c>
      <c r="E976" s="2">
        <f>Cleaned_Data!H976</f>
        <v/>
      </c>
      <c r="F976" s="2">
        <f>Cleaned_Data!F976</f>
        <v/>
      </c>
      <c r="G976" s="9">
        <f>SUMPRODUCT(($B$2:$B$1196=B976)*($F$2:$F$1196&lt;=F976))/SUMPRODUCT(($B$2:$B$1196=B976)*1)</f>
        <v/>
      </c>
      <c r="H976" s="2">
        <f>Cleaned_Data!J976</f>
        <v/>
      </c>
      <c r="I976" s="2">
        <f>Cleaned_Data!E976</f>
        <v/>
      </c>
      <c r="J976" s="2">
        <f>IF(C976="Yes",1,0)</f>
        <v/>
      </c>
      <c r="K976" s="2">
        <f>MIN(MAX(1-(D976-1)/4,0),1)</f>
        <v/>
      </c>
      <c r="L976" s="2">
        <f>MIN(E976/60,1)</f>
        <v/>
      </c>
      <c r="M976" s="2">
        <f>MIN(MAX(1-G976,0),1)</f>
        <v/>
      </c>
      <c r="N976" s="2">
        <f>MIN(MAX(1-(H976-1)/4,0),1)</f>
        <v/>
      </c>
      <c r="O976" s="2">
        <f>1-MIN(I976/8,1)</f>
        <v/>
      </c>
      <c r="P976" s="10">
        <f>ROUND(100*(J976*Assumptions!$B$6+K976*Assumptions!$B$7+L976*Assumptions!$B$8+M976*Assumptions!$B$9+N976*Assumptions!$B$10+O976*Assumptions!$B$11),1)</f>
        <v/>
      </c>
      <c r="Q976" s="2">
        <f>IF(P976&gt;=Assumptions!$B$14,"High",IF(P976&gt;=Assumptions!$B$15,"Medium","Low"))</f>
        <v/>
      </c>
      <c r="R976" s="2">
        <f>Cleaned_Data!L976</f>
        <v/>
      </c>
    </row>
    <row r="977">
      <c r="A977" s="2">
        <f>Cleaned_Data!A977</f>
        <v/>
      </c>
      <c r="B977" s="2">
        <f>Cleaned_Data!B977</f>
        <v/>
      </c>
      <c r="C977" s="2">
        <f>Cleaned_Data!G977</f>
        <v/>
      </c>
      <c r="D977" s="2">
        <f>Cleaned_Data!I977</f>
        <v/>
      </c>
      <c r="E977" s="2">
        <f>Cleaned_Data!H977</f>
        <v/>
      </c>
      <c r="F977" s="2">
        <f>Cleaned_Data!F977</f>
        <v/>
      </c>
      <c r="G977" s="9">
        <f>SUMPRODUCT(($B$2:$B$1196=B977)*($F$2:$F$1196&lt;=F977))/SUMPRODUCT(($B$2:$B$1196=B977)*1)</f>
        <v/>
      </c>
      <c r="H977" s="2">
        <f>Cleaned_Data!J977</f>
        <v/>
      </c>
      <c r="I977" s="2">
        <f>Cleaned_Data!E977</f>
        <v/>
      </c>
      <c r="J977" s="2">
        <f>IF(C977="Yes",1,0)</f>
        <v/>
      </c>
      <c r="K977" s="2">
        <f>MIN(MAX(1-(D977-1)/4,0),1)</f>
        <v/>
      </c>
      <c r="L977" s="2">
        <f>MIN(E977/60,1)</f>
        <v/>
      </c>
      <c r="M977" s="2">
        <f>MIN(MAX(1-G977,0),1)</f>
        <v/>
      </c>
      <c r="N977" s="2">
        <f>MIN(MAX(1-(H977-1)/4,0),1)</f>
        <v/>
      </c>
      <c r="O977" s="2">
        <f>1-MIN(I977/8,1)</f>
        <v/>
      </c>
      <c r="P977" s="10">
        <f>ROUND(100*(J977*Assumptions!$B$6+K977*Assumptions!$B$7+L977*Assumptions!$B$8+M977*Assumptions!$B$9+N977*Assumptions!$B$10+O977*Assumptions!$B$11),1)</f>
        <v/>
      </c>
      <c r="Q977" s="2">
        <f>IF(P977&gt;=Assumptions!$B$14,"High",IF(P977&gt;=Assumptions!$B$15,"Medium","Low"))</f>
        <v/>
      </c>
      <c r="R977" s="2">
        <f>Cleaned_Data!L977</f>
        <v/>
      </c>
    </row>
    <row r="978">
      <c r="A978" s="2">
        <f>Cleaned_Data!A978</f>
        <v/>
      </c>
      <c r="B978" s="2">
        <f>Cleaned_Data!B978</f>
        <v/>
      </c>
      <c r="C978" s="2">
        <f>Cleaned_Data!G978</f>
        <v/>
      </c>
      <c r="D978" s="2">
        <f>Cleaned_Data!I978</f>
        <v/>
      </c>
      <c r="E978" s="2">
        <f>Cleaned_Data!H978</f>
        <v/>
      </c>
      <c r="F978" s="2">
        <f>Cleaned_Data!F978</f>
        <v/>
      </c>
      <c r="G978" s="9">
        <f>SUMPRODUCT(($B$2:$B$1196=B978)*($F$2:$F$1196&lt;=F978))/SUMPRODUCT(($B$2:$B$1196=B978)*1)</f>
        <v/>
      </c>
      <c r="H978" s="2">
        <f>Cleaned_Data!J978</f>
        <v/>
      </c>
      <c r="I978" s="2">
        <f>Cleaned_Data!E978</f>
        <v/>
      </c>
      <c r="J978" s="2">
        <f>IF(C978="Yes",1,0)</f>
        <v/>
      </c>
      <c r="K978" s="2">
        <f>MIN(MAX(1-(D978-1)/4,0),1)</f>
        <v/>
      </c>
      <c r="L978" s="2">
        <f>MIN(E978/60,1)</f>
        <v/>
      </c>
      <c r="M978" s="2">
        <f>MIN(MAX(1-G978,0),1)</f>
        <v/>
      </c>
      <c r="N978" s="2">
        <f>MIN(MAX(1-(H978-1)/4,0),1)</f>
        <v/>
      </c>
      <c r="O978" s="2">
        <f>1-MIN(I978/8,1)</f>
        <v/>
      </c>
      <c r="P978" s="10">
        <f>ROUND(100*(J978*Assumptions!$B$6+K978*Assumptions!$B$7+L978*Assumptions!$B$8+M978*Assumptions!$B$9+N978*Assumptions!$B$10+O978*Assumptions!$B$11),1)</f>
        <v/>
      </c>
      <c r="Q978" s="2">
        <f>IF(P978&gt;=Assumptions!$B$14,"High",IF(P978&gt;=Assumptions!$B$15,"Medium","Low"))</f>
        <v/>
      </c>
      <c r="R978" s="2">
        <f>Cleaned_Data!L978</f>
        <v/>
      </c>
    </row>
    <row r="979">
      <c r="A979" s="2">
        <f>Cleaned_Data!A979</f>
        <v/>
      </c>
      <c r="B979" s="2">
        <f>Cleaned_Data!B979</f>
        <v/>
      </c>
      <c r="C979" s="2">
        <f>Cleaned_Data!G979</f>
        <v/>
      </c>
      <c r="D979" s="2">
        <f>Cleaned_Data!I979</f>
        <v/>
      </c>
      <c r="E979" s="2">
        <f>Cleaned_Data!H979</f>
        <v/>
      </c>
      <c r="F979" s="2">
        <f>Cleaned_Data!F979</f>
        <v/>
      </c>
      <c r="G979" s="9">
        <f>SUMPRODUCT(($B$2:$B$1196=B979)*($F$2:$F$1196&lt;=F979))/SUMPRODUCT(($B$2:$B$1196=B979)*1)</f>
        <v/>
      </c>
      <c r="H979" s="2">
        <f>Cleaned_Data!J979</f>
        <v/>
      </c>
      <c r="I979" s="2">
        <f>Cleaned_Data!E979</f>
        <v/>
      </c>
      <c r="J979" s="2">
        <f>IF(C979="Yes",1,0)</f>
        <v/>
      </c>
      <c r="K979" s="2">
        <f>MIN(MAX(1-(D979-1)/4,0),1)</f>
        <v/>
      </c>
      <c r="L979" s="2">
        <f>MIN(E979/60,1)</f>
        <v/>
      </c>
      <c r="M979" s="2">
        <f>MIN(MAX(1-G979,0),1)</f>
        <v/>
      </c>
      <c r="N979" s="2">
        <f>MIN(MAX(1-(H979-1)/4,0),1)</f>
        <v/>
      </c>
      <c r="O979" s="2">
        <f>1-MIN(I979/8,1)</f>
        <v/>
      </c>
      <c r="P979" s="10">
        <f>ROUND(100*(J979*Assumptions!$B$6+K979*Assumptions!$B$7+L979*Assumptions!$B$8+M979*Assumptions!$B$9+N979*Assumptions!$B$10+O979*Assumptions!$B$11),1)</f>
        <v/>
      </c>
      <c r="Q979" s="2">
        <f>IF(P979&gt;=Assumptions!$B$14,"High",IF(P979&gt;=Assumptions!$B$15,"Medium","Low"))</f>
        <v/>
      </c>
      <c r="R979" s="2">
        <f>Cleaned_Data!L979</f>
        <v/>
      </c>
    </row>
    <row r="980">
      <c r="A980" s="2">
        <f>Cleaned_Data!A980</f>
        <v/>
      </c>
      <c r="B980" s="2">
        <f>Cleaned_Data!B980</f>
        <v/>
      </c>
      <c r="C980" s="2">
        <f>Cleaned_Data!G980</f>
        <v/>
      </c>
      <c r="D980" s="2">
        <f>Cleaned_Data!I980</f>
        <v/>
      </c>
      <c r="E980" s="2">
        <f>Cleaned_Data!H980</f>
        <v/>
      </c>
      <c r="F980" s="2">
        <f>Cleaned_Data!F980</f>
        <v/>
      </c>
      <c r="G980" s="9">
        <f>SUMPRODUCT(($B$2:$B$1196=B980)*($F$2:$F$1196&lt;=F980))/SUMPRODUCT(($B$2:$B$1196=B980)*1)</f>
        <v/>
      </c>
      <c r="H980" s="2">
        <f>Cleaned_Data!J980</f>
        <v/>
      </c>
      <c r="I980" s="2">
        <f>Cleaned_Data!E980</f>
        <v/>
      </c>
      <c r="J980" s="2">
        <f>IF(C980="Yes",1,0)</f>
        <v/>
      </c>
      <c r="K980" s="2">
        <f>MIN(MAX(1-(D980-1)/4,0),1)</f>
        <v/>
      </c>
      <c r="L980" s="2">
        <f>MIN(E980/60,1)</f>
        <v/>
      </c>
      <c r="M980" s="2">
        <f>MIN(MAX(1-G980,0),1)</f>
        <v/>
      </c>
      <c r="N980" s="2">
        <f>MIN(MAX(1-(H980-1)/4,0),1)</f>
        <v/>
      </c>
      <c r="O980" s="2">
        <f>1-MIN(I980/8,1)</f>
        <v/>
      </c>
      <c r="P980" s="10">
        <f>ROUND(100*(J980*Assumptions!$B$6+K980*Assumptions!$B$7+L980*Assumptions!$B$8+M980*Assumptions!$B$9+N980*Assumptions!$B$10+O980*Assumptions!$B$11),1)</f>
        <v/>
      </c>
      <c r="Q980" s="2">
        <f>IF(P980&gt;=Assumptions!$B$14,"High",IF(P980&gt;=Assumptions!$B$15,"Medium","Low"))</f>
        <v/>
      </c>
      <c r="R980" s="2">
        <f>Cleaned_Data!L980</f>
        <v/>
      </c>
    </row>
    <row r="981">
      <c r="A981" s="2">
        <f>Cleaned_Data!A981</f>
        <v/>
      </c>
      <c r="B981" s="2">
        <f>Cleaned_Data!B981</f>
        <v/>
      </c>
      <c r="C981" s="2">
        <f>Cleaned_Data!G981</f>
        <v/>
      </c>
      <c r="D981" s="2">
        <f>Cleaned_Data!I981</f>
        <v/>
      </c>
      <c r="E981" s="2">
        <f>Cleaned_Data!H981</f>
        <v/>
      </c>
      <c r="F981" s="2">
        <f>Cleaned_Data!F981</f>
        <v/>
      </c>
      <c r="G981" s="9">
        <f>SUMPRODUCT(($B$2:$B$1196=B981)*($F$2:$F$1196&lt;=F981))/SUMPRODUCT(($B$2:$B$1196=B981)*1)</f>
        <v/>
      </c>
      <c r="H981" s="2">
        <f>Cleaned_Data!J981</f>
        <v/>
      </c>
      <c r="I981" s="2">
        <f>Cleaned_Data!E981</f>
        <v/>
      </c>
      <c r="J981" s="2">
        <f>IF(C981="Yes",1,0)</f>
        <v/>
      </c>
      <c r="K981" s="2">
        <f>MIN(MAX(1-(D981-1)/4,0),1)</f>
        <v/>
      </c>
      <c r="L981" s="2">
        <f>MIN(E981/60,1)</f>
        <v/>
      </c>
      <c r="M981" s="2">
        <f>MIN(MAX(1-G981,0),1)</f>
        <v/>
      </c>
      <c r="N981" s="2">
        <f>MIN(MAX(1-(H981-1)/4,0),1)</f>
        <v/>
      </c>
      <c r="O981" s="2">
        <f>1-MIN(I981/8,1)</f>
        <v/>
      </c>
      <c r="P981" s="10">
        <f>ROUND(100*(J981*Assumptions!$B$6+K981*Assumptions!$B$7+L981*Assumptions!$B$8+M981*Assumptions!$B$9+N981*Assumptions!$B$10+O981*Assumptions!$B$11),1)</f>
        <v/>
      </c>
      <c r="Q981" s="2">
        <f>IF(P981&gt;=Assumptions!$B$14,"High",IF(P981&gt;=Assumptions!$B$15,"Medium","Low"))</f>
        <v/>
      </c>
      <c r="R981" s="2">
        <f>Cleaned_Data!L981</f>
        <v/>
      </c>
    </row>
    <row r="982">
      <c r="A982" s="2">
        <f>Cleaned_Data!A982</f>
        <v/>
      </c>
      <c r="B982" s="2">
        <f>Cleaned_Data!B982</f>
        <v/>
      </c>
      <c r="C982" s="2">
        <f>Cleaned_Data!G982</f>
        <v/>
      </c>
      <c r="D982" s="2">
        <f>Cleaned_Data!I982</f>
        <v/>
      </c>
      <c r="E982" s="2">
        <f>Cleaned_Data!H982</f>
        <v/>
      </c>
      <c r="F982" s="2">
        <f>Cleaned_Data!F982</f>
        <v/>
      </c>
      <c r="G982" s="9">
        <f>SUMPRODUCT(($B$2:$B$1196=B982)*($F$2:$F$1196&lt;=F982))/SUMPRODUCT(($B$2:$B$1196=B982)*1)</f>
        <v/>
      </c>
      <c r="H982" s="2">
        <f>Cleaned_Data!J982</f>
        <v/>
      </c>
      <c r="I982" s="2">
        <f>Cleaned_Data!E982</f>
        <v/>
      </c>
      <c r="J982" s="2">
        <f>IF(C982="Yes",1,0)</f>
        <v/>
      </c>
      <c r="K982" s="2">
        <f>MIN(MAX(1-(D982-1)/4,0),1)</f>
        <v/>
      </c>
      <c r="L982" s="2">
        <f>MIN(E982/60,1)</f>
        <v/>
      </c>
      <c r="M982" s="2">
        <f>MIN(MAX(1-G982,0),1)</f>
        <v/>
      </c>
      <c r="N982" s="2">
        <f>MIN(MAX(1-(H982-1)/4,0),1)</f>
        <v/>
      </c>
      <c r="O982" s="2">
        <f>1-MIN(I982/8,1)</f>
        <v/>
      </c>
      <c r="P982" s="10">
        <f>ROUND(100*(J982*Assumptions!$B$6+K982*Assumptions!$B$7+L982*Assumptions!$B$8+M982*Assumptions!$B$9+N982*Assumptions!$B$10+O982*Assumptions!$B$11),1)</f>
        <v/>
      </c>
      <c r="Q982" s="2">
        <f>IF(P982&gt;=Assumptions!$B$14,"High",IF(P982&gt;=Assumptions!$B$15,"Medium","Low"))</f>
        <v/>
      </c>
      <c r="R982" s="2">
        <f>Cleaned_Data!L982</f>
        <v/>
      </c>
    </row>
    <row r="983">
      <c r="A983" s="2">
        <f>Cleaned_Data!A983</f>
        <v/>
      </c>
      <c r="B983" s="2">
        <f>Cleaned_Data!B983</f>
        <v/>
      </c>
      <c r="C983" s="2">
        <f>Cleaned_Data!G983</f>
        <v/>
      </c>
      <c r="D983" s="2">
        <f>Cleaned_Data!I983</f>
        <v/>
      </c>
      <c r="E983" s="2">
        <f>Cleaned_Data!H983</f>
        <v/>
      </c>
      <c r="F983" s="2">
        <f>Cleaned_Data!F983</f>
        <v/>
      </c>
      <c r="G983" s="9">
        <f>SUMPRODUCT(($B$2:$B$1196=B983)*($F$2:$F$1196&lt;=F983))/SUMPRODUCT(($B$2:$B$1196=B983)*1)</f>
        <v/>
      </c>
      <c r="H983" s="2">
        <f>Cleaned_Data!J983</f>
        <v/>
      </c>
      <c r="I983" s="2">
        <f>Cleaned_Data!E983</f>
        <v/>
      </c>
      <c r="J983" s="2">
        <f>IF(C983="Yes",1,0)</f>
        <v/>
      </c>
      <c r="K983" s="2">
        <f>MIN(MAX(1-(D983-1)/4,0),1)</f>
        <v/>
      </c>
      <c r="L983" s="2">
        <f>MIN(E983/60,1)</f>
        <v/>
      </c>
      <c r="M983" s="2">
        <f>MIN(MAX(1-G983,0),1)</f>
        <v/>
      </c>
      <c r="N983" s="2">
        <f>MIN(MAX(1-(H983-1)/4,0),1)</f>
        <v/>
      </c>
      <c r="O983" s="2">
        <f>1-MIN(I983/8,1)</f>
        <v/>
      </c>
      <c r="P983" s="10">
        <f>ROUND(100*(J983*Assumptions!$B$6+K983*Assumptions!$B$7+L983*Assumptions!$B$8+M983*Assumptions!$B$9+N983*Assumptions!$B$10+O983*Assumptions!$B$11),1)</f>
        <v/>
      </c>
      <c r="Q983" s="2">
        <f>IF(P983&gt;=Assumptions!$B$14,"High",IF(P983&gt;=Assumptions!$B$15,"Medium","Low"))</f>
        <v/>
      </c>
      <c r="R983" s="2">
        <f>Cleaned_Data!L983</f>
        <v/>
      </c>
    </row>
    <row r="984">
      <c r="A984" s="2">
        <f>Cleaned_Data!A984</f>
        <v/>
      </c>
      <c r="B984" s="2">
        <f>Cleaned_Data!B984</f>
        <v/>
      </c>
      <c r="C984" s="2">
        <f>Cleaned_Data!G984</f>
        <v/>
      </c>
      <c r="D984" s="2">
        <f>Cleaned_Data!I984</f>
        <v/>
      </c>
      <c r="E984" s="2">
        <f>Cleaned_Data!H984</f>
        <v/>
      </c>
      <c r="F984" s="2">
        <f>Cleaned_Data!F984</f>
        <v/>
      </c>
      <c r="G984" s="9">
        <f>SUMPRODUCT(($B$2:$B$1196=B984)*($F$2:$F$1196&lt;=F984))/SUMPRODUCT(($B$2:$B$1196=B984)*1)</f>
        <v/>
      </c>
      <c r="H984" s="2">
        <f>Cleaned_Data!J984</f>
        <v/>
      </c>
      <c r="I984" s="2">
        <f>Cleaned_Data!E984</f>
        <v/>
      </c>
      <c r="J984" s="2">
        <f>IF(C984="Yes",1,0)</f>
        <v/>
      </c>
      <c r="K984" s="2">
        <f>MIN(MAX(1-(D984-1)/4,0),1)</f>
        <v/>
      </c>
      <c r="L984" s="2">
        <f>MIN(E984/60,1)</f>
        <v/>
      </c>
      <c r="M984" s="2">
        <f>MIN(MAX(1-G984,0),1)</f>
        <v/>
      </c>
      <c r="N984" s="2">
        <f>MIN(MAX(1-(H984-1)/4,0),1)</f>
        <v/>
      </c>
      <c r="O984" s="2">
        <f>1-MIN(I984/8,1)</f>
        <v/>
      </c>
      <c r="P984" s="10">
        <f>ROUND(100*(J984*Assumptions!$B$6+K984*Assumptions!$B$7+L984*Assumptions!$B$8+M984*Assumptions!$B$9+N984*Assumptions!$B$10+O984*Assumptions!$B$11),1)</f>
        <v/>
      </c>
      <c r="Q984" s="2">
        <f>IF(P984&gt;=Assumptions!$B$14,"High",IF(P984&gt;=Assumptions!$B$15,"Medium","Low"))</f>
        <v/>
      </c>
      <c r="R984" s="2">
        <f>Cleaned_Data!L984</f>
        <v/>
      </c>
    </row>
    <row r="985">
      <c r="A985" s="2">
        <f>Cleaned_Data!A985</f>
        <v/>
      </c>
      <c r="B985" s="2">
        <f>Cleaned_Data!B985</f>
        <v/>
      </c>
      <c r="C985" s="2">
        <f>Cleaned_Data!G985</f>
        <v/>
      </c>
      <c r="D985" s="2">
        <f>Cleaned_Data!I985</f>
        <v/>
      </c>
      <c r="E985" s="2">
        <f>Cleaned_Data!H985</f>
        <v/>
      </c>
      <c r="F985" s="2">
        <f>Cleaned_Data!F985</f>
        <v/>
      </c>
      <c r="G985" s="9">
        <f>SUMPRODUCT(($B$2:$B$1196=B985)*($F$2:$F$1196&lt;=F985))/SUMPRODUCT(($B$2:$B$1196=B985)*1)</f>
        <v/>
      </c>
      <c r="H985" s="2">
        <f>Cleaned_Data!J985</f>
        <v/>
      </c>
      <c r="I985" s="2">
        <f>Cleaned_Data!E985</f>
        <v/>
      </c>
      <c r="J985" s="2">
        <f>IF(C985="Yes",1,0)</f>
        <v/>
      </c>
      <c r="K985" s="2">
        <f>MIN(MAX(1-(D985-1)/4,0),1)</f>
        <v/>
      </c>
      <c r="L985" s="2">
        <f>MIN(E985/60,1)</f>
        <v/>
      </c>
      <c r="M985" s="2">
        <f>MIN(MAX(1-G985,0),1)</f>
        <v/>
      </c>
      <c r="N985" s="2">
        <f>MIN(MAX(1-(H985-1)/4,0),1)</f>
        <v/>
      </c>
      <c r="O985" s="2">
        <f>1-MIN(I985/8,1)</f>
        <v/>
      </c>
      <c r="P985" s="10">
        <f>ROUND(100*(J985*Assumptions!$B$6+K985*Assumptions!$B$7+L985*Assumptions!$B$8+M985*Assumptions!$B$9+N985*Assumptions!$B$10+O985*Assumptions!$B$11),1)</f>
        <v/>
      </c>
      <c r="Q985" s="2">
        <f>IF(P985&gt;=Assumptions!$B$14,"High",IF(P985&gt;=Assumptions!$B$15,"Medium","Low"))</f>
        <v/>
      </c>
      <c r="R985" s="2">
        <f>Cleaned_Data!L985</f>
        <v/>
      </c>
    </row>
    <row r="986">
      <c r="A986" s="2">
        <f>Cleaned_Data!A986</f>
        <v/>
      </c>
      <c r="B986" s="2">
        <f>Cleaned_Data!B986</f>
        <v/>
      </c>
      <c r="C986" s="2">
        <f>Cleaned_Data!G986</f>
        <v/>
      </c>
      <c r="D986" s="2">
        <f>Cleaned_Data!I986</f>
        <v/>
      </c>
      <c r="E986" s="2">
        <f>Cleaned_Data!H986</f>
        <v/>
      </c>
      <c r="F986" s="2">
        <f>Cleaned_Data!F986</f>
        <v/>
      </c>
      <c r="G986" s="9">
        <f>SUMPRODUCT(($B$2:$B$1196=B986)*($F$2:$F$1196&lt;=F986))/SUMPRODUCT(($B$2:$B$1196=B986)*1)</f>
        <v/>
      </c>
      <c r="H986" s="2">
        <f>Cleaned_Data!J986</f>
        <v/>
      </c>
      <c r="I986" s="2">
        <f>Cleaned_Data!E986</f>
        <v/>
      </c>
      <c r="J986" s="2">
        <f>IF(C986="Yes",1,0)</f>
        <v/>
      </c>
      <c r="K986" s="2">
        <f>MIN(MAX(1-(D986-1)/4,0),1)</f>
        <v/>
      </c>
      <c r="L986" s="2">
        <f>MIN(E986/60,1)</f>
        <v/>
      </c>
      <c r="M986" s="2">
        <f>MIN(MAX(1-G986,0),1)</f>
        <v/>
      </c>
      <c r="N986" s="2">
        <f>MIN(MAX(1-(H986-1)/4,0),1)</f>
        <v/>
      </c>
      <c r="O986" s="2">
        <f>1-MIN(I986/8,1)</f>
        <v/>
      </c>
      <c r="P986" s="10">
        <f>ROUND(100*(J986*Assumptions!$B$6+K986*Assumptions!$B$7+L986*Assumptions!$B$8+M986*Assumptions!$B$9+N986*Assumptions!$B$10+O986*Assumptions!$B$11),1)</f>
        <v/>
      </c>
      <c r="Q986" s="2">
        <f>IF(P986&gt;=Assumptions!$B$14,"High",IF(P986&gt;=Assumptions!$B$15,"Medium","Low"))</f>
        <v/>
      </c>
      <c r="R986" s="2">
        <f>Cleaned_Data!L986</f>
        <v/>
      </c>
    </row>
    <row r="987">
      <c r="A987" s="2">
        <f>Cleaned_Data!A987</f>
        <v/>
      </c>
      <c r="B987" s="2">
        <f>Cleaned_Data!B987</f>
        <v/>
      </c>
      <c r="C987" s="2">
        <f>Cleaned_Data!G987</f>
        <v/>
      </c>
      <c r="D987" s="2">
        <f>Cleaned_Data!I987</f>
        <v/>
      </c>
      <c r="E987" s="2">
        <f>Cleaned_Data!H987</f>
        <v/>
      </c>
      <c r="F987" s="2">
        <f>Cleaned_Data!F987</f>
        <v/>
      </c>
      <c r="G987" s="9">
        <f>SUMPRODUCT(($B$2:$B$1196=B987)*($F$2:$F$1196&lt;=F987))/SUMPRODUCT(($B$2:$B$1196=B987)*1)</f>
        <v/>
      </c>
      <c r="H987" s="2">
        <f>Cleaned_Data!J987</f>
        <v/>
      </c>
      <c r="I987" s="2">
        <f>Cleaned_Data!E987</f>
        <v/>
      </c>
      <c r="J987" s="2">
        <f>IF(C987="Yes",1,0)</f>
        <v/>
      </c>
      <c r="K987" s="2">
        <f>MIN(MAX(1-(D987-1)/4,0),1)</f>
        <v/>
      </c>
      <c r="L987" s="2">
        <f>MIN(E987/60,1)</f>
        <v/>
      </c>
      <c r="M987" s="2">
        <f>MIN(MAX(1-G987,0),1)</f>
        <v/>
      </c>
      <c r="N987" s="2">
        <f>MIN(MAX(1-(H987-1)/4,0),1)</f>
        <v/>
      </c>
      <c r="O987" s="2">
        <f>1-MIN(I987/8,1)</f>
        <v/>
      </c>
      <c r="P987" s="10">
        <f>ROUND(100*(J987*Assumptions!$B$6+K987*Assumptions!$B$7+L987*Assumptions!$B$8+M987*Assumptions!$B$9+N987*Assumptions!$B$10+O987*Assumptions!$B$11),1)</f>
        <v/>
      </c>
      <c r="Q987" s="2">
        <f>IF(P987&gt;=Assumptions!$B$14,"High",IF(P987&gt;=Assumptions!$B$15,"Medium","Low"))</f>
        <v/>
      </c>
      <c r="R987" s="2">
        <f>Cleaned_Data!L987</f>
        <v/>
      </c>
    </row>
    <row r="988">
      <c r="A988" s="2">
        <f>Cleaned_Data!A988</f>
        <v/>
      </c>
      <c r="B988" s="2">
        <f>Cleaned_Data!B988</f>
        <v/>
      </c>
      <c r="C988" s="2">
        <f>Cleaned_Data!G988</f>
        <v/>
      </c>
      <c r="D988" s="2">
        <f>Cleaned_Data!I988</f>
        <v/>
      </c>
      <c r="E988" s="2">
        <f>Cleaned_Data!H988</f>
        <v/>
      </c>
      <c r="F988" s="2">
        <f>Cleaned_Data!F988</f>
        <v/>
      </c>
      <c r="G988" s="9">
        <f>SUMPRODUCT(($B$2:$B$1196=B988)*($F$2:$F$1196&lt;=F988))/SUMPRODUCT(($B$2:$B$1196=B988)*1)</f>
        <v/>
      </c>
      <c r="H988" s="2">
        <f>Cleaned_Data!J988</f>
        <v/>
      </c>
      <c r="I988" s="2">
        <f>Cleaned_Data!E988</f>
        <v/>
      </c>
      <c r="J988" s="2">
        <f>IF(C988="Yes",1,0)</f>
        <v/>
      </c>
      <c r="K988" s="2">
        <f>MIN(MAX(1-(D988-1)/4,0),1)</f>
        <v/>
      </c>
      <c r="L988" s="2">
        <f>MIN(E988/60,1)</f>
        <v/>
      </c>
      <c r="M988" s="2">
        <f>MIN(MAX(1-G988,0),1)</f>
        <v/>
      </c>
      <c r="N988" s="2">
        <f>MIN(MAX(1-(H988-1)/4,0),1)</f>
        <v/>
      </c>
      <c r="O988" s="2">
        <f>1-MIN(I988/8,1)</f>
        <v/>
      </c>
      <c r="P988" s="10">
        <f>ROUND(100*(J988*Assumptions!$B$6+K988*Assumptions!$B$7+L988*Assumptions!$B$8+M988*Assumptions!$B$9+N988*Assumptions!$B$10+O988*Assumptions!$B$11),1)</f>
        <v/>
      </c>
      <c r="Q988" s="2">
        <f>IF(P988&gt;=Assumptions!$B$14,"High",IF(P988&gt;=Assumptions!$B$15,"Medium","Low"))</f>
        <v/>
      </c>
      <c r="R988" s="2">
        <f>Cleaned_Data!L988</f>
        <v/>
      </c>
    </row>
    <row r="989">
      <c r="A989" s="2">
        <f>Cleaned_Data!A989</f>
        <v/>
      </c>
      <c r="B989" s="2">
        <f>Cleaned_Data!B989</f>
        <v/>
      </c>
      <c r="C989" s="2">
        <f>Cleaned_Data!G989</f>
        <v/>
      </c>
      <c r="D989" s="2">
        <f>Cleaned_Data!I989</f>
        <v/>
      </c>
      <c r="E989" s="2">
        <f>Cleaned_Data!H989</f>
        <v/>
      </c>
      <c r="F989" s="2">
        <f>Cleaned_Data!F989</f>
        <v/>
      </c>
      <c r="G989" s="9">
        <f>SUMPRODUCT(($B$2:$B$1196=B989)*($F$2:$F$1196&lt;=F989))/SUMPRODUCT(($B$2:$B$1196=B989)*1)</f>
        <v/>
      </c>
      <c r="H989" s="2">
        <f>Cleaned_Data!J989</f>
        <v/>
      </c>
      <c r="I989" s="2">
        <f>Cleaned_Data!E989</f>
        <v/>
      </c>
      <c r="J989" s="2">
        <f>IF(C989="Yes",1,0)</f>
        <v/>
      </c>
      <c r="K989" s="2">
        <f>MIN(MAX(1-(D989-1)/4,0),1)</f>
        <v/>
      </c>
      <c r="L989" s="2">
        <f>MIN(E989/60,1)</f>
        <v/>
      </c>
      <c r="M989" s="2">
        <f>MIN(MAX(1-G989,0),1)</f>
        <v/>
      </c>
      <c r="N989" s="2">
        <f>MIN(MAX(1-(H989-1)/4,0),1)</f>
        <v/>
      </c>
      <c r="O989" s="2">
        <f>1-MIN(I989/8,1)</f>
        <v/>
      </c>
      <c r="P989" s="10">
        <f>ROUND(100*(J989*Assumptions!$B$6+K989*Assumptions!$B$7+L989*Assumptions!$B$8+M989*Assumptions!$B$9+N989*Assumptions!$B$10+O989*Assumptions!$B$11),1)</f>
        <v/>
      </c>
      <c r="Q989" s="2">
        <f>IF(P989&gt;=Assumptions!$B$14,"High",IF(P989&gt;=Assumptions!$B$15,"Medium","Low"))</f>
        <v/>
      </c>
      <c r="R989" s="2">
        <f>Cleaned_Data!L989</f>
        <v/>
      </c>
    </row>
    <row r="990">
      <c r="A990" s="2">
        <f>Cleaned_Data!A990</f>
        <v/>
      </c>
      <c r="B990" s="2">
        <f>Cleaned_Data!B990</f>
        <v/>
      </c>
      <c r="C990" s="2">
        <f>Cleaned_Data!G990</f>
        <v/>
      </c>
      <c r="D990" s="2">
        <f>Cleaned_Data!I990</f>
        <v/>
      </c>
      <c r="E990" s="2">
        <f>Cleaned_Data!H990</f>
        <v/>
      </c>
      <c r="F990" s="2">
        <f>Cleaned_Data!F990</f>
        <v/>
      </c>
      <c r="G990" s="9">
        <f>SUMPRODUCT(($B$2:$B$1196=B990)*($F$2:$F$1196&lt;=F990))/SUMPRODUCT(($B$2:$B$1196=B990)*1)</f>
        <v/>
      </c>
      <c r="H990" s="2">
        <f>Cleaned_Data!J990</f>
        <v/>
      </c>
      <c r="I990" s="2">
        <f>Cleaned_Data!E990</f>
        <v/>
      </c>
      <c r="J990" s="2">
        <f>IF(C990="Yes",1,0)</f>
        <v/>
      </c>
      <c r="K990" s="2">
        <f>MIN(MAX(1-(D990-1)/4,0),1)</f>
        <v/>
      </c>
      <c r="L990" s="2">
        <f>MIN(E990/60,1)</f>
        <v/>
      </c>
      <c r="M990" s="2">
        <f>MIN(MAX(1-G990,0),1)</f>
        <v/>
      </c>
      <c r="N990" s="2">
        <f>MIN(MAX(1-(H990-1)/4,0),1)</f>
        <v/>
      </c>
      <c r="O990" s="2">
        <f>1-MIN(I990/8,1)</f>
        <v/>
      </c>
      <c r="P990" s="10">
        <f>ROUND(100*(J990*Assumptions!$B$6+K990*Assumptions!$B$7+L990*Assumptions!$B$8+M990*Assumptions!$B$9+N990*Assumptions!$B$10+O990*Assumptions!$B$11),1)</f>
        <v/>
      </c>
      <c r="Q990" s="2">
        <f>IF(P990&gt;=Assumptions!$B$14,"High",IF(P990&gt;=Assumptions!$B$15,"Medium","Low"))</f>
        <v/>
      </c>
      <c r="R990" s="2">
        <f>Cleaned_Data!L990</f>
        <v/>
      </c>
    </row>
    <row r="991">
      <c r="A991" s="2">
        <f>Cleaned_Data!A991</f>
        <v/>
      </c>
      <c r="B991" s="2">
        <f>Cleaned_Data!B991</f>
        <v/>
      </c>
      <c r="C991" s="2">
        <f>Cleaned_Data!G991</f>
        <v/>
      </c>
      <c r="D991" s="2">
        <f>Cleaned_Data!I991</f>
        <v/>
      </c>
      <c r="E991" s="2">
        <f>Cleaned_Data!H991</f>
        <v/>
      </c>
      <c r="F991" s="2">
        <f>Cleaned_Data!F991</f>
        <v/>
      </c>
      <c r="G991" s="9">
        <f>SUMPRODUCT(($B$2:$B$1196=B991)*($F$2:$F$1196&lt;=F991))/SUMPRODUCT(($B$2:$B$1196=B991)*1)</f>
        <v/>
      </c>
      <c r="H991" s="2">
        <f>Cleaned_Data!J991</f>
        <v/>
      </c>
      <c r="I991" s="2">
        <f>Cleaned_Data!E991</f>
        <v/>
      </c>
      <c r="J991" s="2">
        <f>IF(C991="Yes",1,0)</f>
        <v/>
      </c>
      <c r="K991" s="2">
        <f>MIN(MAX(1-(D991-1)/4,0),1)</f>
        <v/>
      </c>
      <c r="L991" s="2">
        <f>MIN(E991/60,1)</f>
        <v/>
      </c>
      <c r="M991" s="2">
        <f>MIN(MAX(1-G991,0),1)</f>
        <v/>
      </c>
      <c r="N991" s="2">
        <f>MIN(MAX(1-(H991-1)/4,0),1)</f>
        <v/>
      </c>
      <c r="O991" s="2">
        <f>1-MIN(I991/8,1)</f>
        <v/>
      </c>
      <c r="P991" s="10">
        <f>ROUND(100*(J991*Assumptions!$B$6+K991*Assumptions!$B$7+L991*Assumptions!$B$8+M991*Assumptions!$B$9+N991*Assumptions!$B$10+O991*Assumptions!$B$11),1)</f>
        <v/>
      </c>
      <c r="Q991" s="2">
        <f>IF(P991&gt;=Assumptions!$B$14,"High",IF(P991&gt;=Assumptions!$B$15,"Medium","Low"))</f>
        <v/>
      </c>
      <c r="R991" s="2">
        <f>Cleaned_Data!L991</f>
        <v/>
      </c>
    </row>
    <row r="992">
      <c r="A992" s="2">
        <f>Cleaned_Data!A992</f>
        <v/>
      </c>
      <c r="B992" s="2">
        <f>Cleaned_Data!B992</f>
        <v/>
      </c>
      <c r="C992" s="2">
        <f>Cleaned_Data!G992</f>
        <v/>
      </c>
      <c r="D992" s="2">
        <f>Cleaned_Data!I992</f>
        <v/>
      </c>
      <c r="E992" s="2">
        <f>Cleaned_Data!H992</f>
        <v/>
      </c>
      <c r="F992" s="2">
        <f>Cleaned_Data!F992</f>
        <v/>
      </c>
      <c r="G992" s="9">
        <f>SUMPRODUCT(($B$2:$B$1196=B992)*($F$2:$F$1196&lt;=F992))/SUMPRODUCT(($B$2:$B$1196=B992)*1)</f>
        <v/>
      </c>
      <c r="H992" s="2">
        <f>Cleaned_Data!J992</f>
        <v/>
      </c>
      <c r="I992" s="2">
        <f>Cleaned_Data!E992</f>
        <v/>
      </c>
      <c r="J992" s="2">
        <f>IF(C992="Yes",1,0)</f>
        <v/>
      </c>
      <c r="K992" s="2">
        <f>MIN(MAX(1-(D992-1)/4,0),1)</f>
        <v/>
      </c>
      <c r="L992" s="2">
        <f>MIN(E992/60,1)</f>
        <v/>
      </c>
      <c r="M992" s="2">
        <f>MIN(MAX(1-G992,0),1)</f>
        <v/>
      </c>
      <c r="N992" s="2">
        <f>MIN(MAX(1-(H992-1)/4,0),1)</f>
        <v/>
      </c>
      <c r="O992" s="2">
        <f>1-MIN(I992/8,1)</f>
        <v/>
      </c>
      <c r="P992" s="10">
        <f>ROUND(100*(J992*Assumptions!$B$6+K992*Assumptions!$B$7+L992*Assumptions!$B$8+M992*Assumptions!$B$9+N992*Assumptions!$B$10+O992*Assumptions!$B$11),1)</f>
        <v/>
      </c>
      <c r="Q992" s="2">
        <f>IF(P992&gt;=Assumptions!$B$14,"High",IF(P992&gt;=Assumptions!$B$15,"Medium","Low"))</f>
        <v/>
      </c>
      <c r="R992" s="2">
        <f>Cleaned_Data!L992</f>
        <v/>
      </c>
    </row>
    <row r="993">
      <c r="A993" s="2">
        <f>Cleaned_Data!A993</f>
        <v/>
      </c>
      <c r="B993" s="2">
        <f>Cleaned_Data!B993</f>
        <v/>
      </c>
      <c r="C993" s="2">
        <f>Cleaned_Data!G993</f>
        <v/>
      </c>
      <c r="D993" s="2">
        <f>Cleaned_Data!I993</f>
        <v/>
      </c>
      <c r="E993" s="2">
        <f>Cleaned_Data!H993</f>
        <v/>
      </c>
      <c r="F993" s="2">
        <f>Cleaned_Data!F993</f>
        <v/>
      </c>
      <c r="G993" s="9">
        <f>SUMPRODUCT(($B$2:$B$1196=B993)*($F$2:$F$1196&lt;=F993))/SUMPRODUCT(($B$2:$B$1196=B993)*1)</f>
        <v/>
      </c>
      <c r="H993" s="2">
        <f>Cleaned_Data!J993</f>
        <v/>
      </c>
      <c r="I993" s="2">
        <f>Cleaned_Data!E993</f>
        <v/>
      </c>
      <c r="J993" s="2">
        <f>IF(C993="Yes",1,0)</f>
        <v/>
      </c>
      <c r="K993" s="2">
        <f>MIN(MAX(1-(D993-1)/4,0),1)</f>
        <v/>
      </c>
      <c r="L993" s="2">
        <f>MIN(E993/60,1)</f>
        <v/>
      </c>
      <c r="M993" s="2">
        <f>MIN(MAX(1-G993,0),1)</f>
        <v/>
      </c>
      <c r="N993" s="2">
        <f>MIN(MAX(1-(H993-1)/4,0),1)</f>
        <v/>
      </c>
      <c r="O993" s="2">
        <f>1-MIN(I993/8,1)</f>
        <v/>
      </c>
      <c r="P993" s="10">
        <f>ROUND(100*(J993*Assumptions!$B$6+K993*Assumptions!$B$7+L993*Assumptions!$B$8+M993*Assumptions!$B$9+N993*Assumptions!$B$10+O993*Assumptions!$B$11),1)</f>
        <v/>
      </c>
      <c r="Q993" s="2">
        <f>IF(P993&gt;=Assumptions!$B$14,"High",IF(P993&gt;=Assumptions!$B$15,"Medium","Low"))</f>
        <v/>
      </c>
      <c r="R993" s="2">
        <f>Cleaned_Data!L993</f>
        <v/>
      </c>
    </row>
    <row r="994">
      <c r="A994" s="2">
        <f>Cleaned_Data!A994</f>
        <v/>
      </c>
      <c r="B994" s="2">
        <f>Cleaned_Data!B994</f>
        <v/>
      </c>
      <c r="C994" s="2">
        <f>Cleaned_Data!G994</f>
        <v/>
      </c>
      <c r="D994" s="2">
        <f>Cleaned_Data!I994</f>
        <v/>
      </c>
      <c r="E994" s="2">
        <f>Cleaned_Data!H994</f>
        <v/>
      </c>
      <c r="F994" s="2">
        <f>Cleaned_Data!F994</f>
        <v/>
      </c>
      <c r="G994" s="9">
        <f>SUMPRODUCT(($B$2:$B$1196=B994)*($F$2:$F$1196&lt;=F994))/SUMPRODUCT(($B$2:$B$1196=B994)*1)</f>
        <v/>
      </c>
      <c r="H994" s="2">
        <f>Cleaned_Data!J994</f>
        <v/>
      </c>
      <c r="I994" s="2">
        <f>Cleaned_Data!E994</f>
        <v/>
      </c>
      <c r="J994" s="2">
        <f>IF(C994="Yes",1,0)</f>
        <v/>
      </c>
      <c r="K994" s="2">
        <f>MIN(MAX(1-(D994-1)/4,0),1)</f>
        <v/>
      </c>
      <c r="L994" s="2">
        <f>MIN(E994/60,1)</f>
        <v/>
      </c>
      <c r="M994" s="2">
        <f>MIN(MAX(1-G994,0),1)</f>
        <v/>
      </c>
      <c r="N994" s="2">
        <f>MIN(MAX(1-(H994-1)/4,0),1)</f>
        <v/>
      </c>
      <c r="O994" s="2">
        <f>1-MIN(I994/8,1)</f>
        <v/>
      </c>
      <c r="P994" s="10">
        <f>ROUND(100*(J994*Assumptions!$B$6+K994*Assumptions!$B$7+L994*Assumptions!$B$8+M994*Assumptions!$B$9+N994*Assumptions!$B$10+O994*Assumptions!$B$11),1)</f>
        <v/>
      </c>
      <c r="Q994" s="2">
        <f>IF(P994&gt;=Assumptions!$B$14,"High",IF(P994&gt;=Assumptions!$B$15,"Medium","Low"))</f>
        <v/>
      </c>
      <c r="R994" s="2">
        <f>Cleaned_Data!L994</f>
        <v/>
      </c>
    </row>
    <row r="995">
      <c r="A995" s="2">
        <f>Cleaned_Data!A995</f>
        <v/>
      </c>
      <c r="B995" s="2">
        <f>Cleaned_Data!B995</f>
        <v/>
      </c>
      <c r="C995" s="2">
        <f>Cleaned_Data!G995</f>
        <v/>
      </c>
      <c r="D995" s="2">
        <f>Cleaned_Data!I995</f>
        <v/>
      </c>
      <c r="E995" s="2">
        <f>Cleaned_Data!H995</f>
        <v/>
      </c>
      <c r="F995" s="2">
        <f>Cleaned_Data!F995</f>
        <v/>
      </c>
      <c r="G995" s="9">
        <f>SUMPRODUCT(($B$2:$B$1196=B995)*($F$2:$F$1196&lt;=F995))/SUMPRODUCT(($B$2:$B$1196=B995)*1)</f>
        <v/>
      </c>
      <c r="H995" s="2">
        <f>Cleaned_Data!J995</f>
        <v/>
      </c>
      <c r="I995" s="2">
        <f>Cleaned_Data!E995</f>
        <v/>
      </c>
      <c r="J995" s="2">
        <f>IF(C995="Yes",1,0)</f>
        <v/>
      </c>
      <c r="K995" s="2">
        <f>MIN(MAX(1-(D995-1)/4,0),1)</f>
        <v/>
      </c>
      <c r="L995" s="2">
        <f>MIN(E995/60,1)</f>
        <v/>
      </c>
      <c r="M995" s="2">
        <f>MIN(MAX(1-G995,0),1)</f>
        <v/>
      </c>
      <c r="N995" s="2">
        <f>MIN(MAX(1-(H995-1)/4,0),1)</f>
        <v/>
      </c>
      <c r="O995" s="2">
        <f>1-MIN(I995/8,1)</f>
        <v/>
      </c>
      <c r="P995" s="10">
        <f>ROUND(100*(J995*Assumptions!$B$6+K995*Assumptions!$B$7+L995*Assumptions!$B$8+M995*Assumptions!$B$9+N995*Assumptions!$B$10+O995*Assumptions!$B$11),1)</f>
        <v/>
      </c>
      <c r="Q995" s="2">
        <f>IF(P995&gt;=Assumptions!$B$14,"High",IF(P995&gt;=Assumptions!$B$15,"Medium","Low"))</f>
        <v/>
      </c>
      <c r="R995" s="2">
        <f>Cleaned_Data!L995</f>
        <v/>
      </c>
    </row>
    <row r="996">
      <c r="A996" s="2">
        <f>Cleaned_Data!A996</f>
        <v/>
      </c>
      <c r="B996" s="2">
        <f>Cleaned_Data!B996</f>
        <v/>
      </c>
      <c r="C996" s="2">
        <f>Cleaned_Data!G996</f>
        <v/>
      </c>
      <c r="D996" s="2">
        <f>Cleaned_Data!I996</f>
        <v/>
      </c>
      <c r="E996" s="2">
        <f>Cleaned_Data!H996</f>
        <v/>
      </c>
      <c r="F996" s="2">
        <f>Cleaned_Data!F996</f>
        <v/>
      </c>
      <c r="G996" s="9">
        <f>SUMPRODUCT(($B$2:$B$1196=B996)*($F$2:$F$1196&lt;=F996))/SUMPRODUCT(($B$2:$B$1196=B996)*1)</f>
        <v/>
      </c>
      <c r="H996" s="2">
        <f>Cleaned_Data!J996</f>
        <v/>
      </c>
      <c r="I996" s="2">
        <f>Cleaned_Data!E996</f>
        <v/>
      </c>
      <c r="J996" s="2">
        <f>IF(C996="Yes",1,0)</f>
        <v/>
      </c>
      <c r="K996" s="2">
        <f>MIN(MAX(1-(D996-1)/4,0),1)</f>
        <v/>
      </c>
      <c r="L996" s="2">
        <f>MIN(E996/60,1)</f>
        <v/>
      </c>
      <c r="M996" s="2">
        <f>MIN(MAX(1-G996,0),1)</f>
        <v/>
      </c>
      <c r="N996" s="2">
        <f>MIN(MAX(1-(H996-1)/4,0),1)</f>
        <v/>
      </c>
      <c r="O996" s="2">
        <f>1-MIN(I996/8,1)</f>
        <v/>
      </c>
      <c r="P996" s="10">
        <f>ROUND(100*(J996*Assumptions!$B$6+K996*Assumptions!$B$7+L996*Assumptions!$B$8+M996*Assumptions!$B$9+N996*Assumptions!$B$10+O996*Assumptions!$B$11),1)</f>
        <v/>
      </c>
      <c r="Q996" s="2">
        <f>IF(P996&gt;=Assumptions!$B$14,"High",IF(P996&gt;=Assumptions!$B$15,"Medium","Low"))</f>
        <v/>
      </c>
      <c r="R996" s="2">
        <f>Cleaned_Data!L996</f>
        <v/>
      </c>
    </row>
    <row r="997">
      <c r="A997" s="2">
        <f>Cleaned_Data!A997</f>
        <v/>
      </c>
      <c r="B997" s="2">
        <f>Cleaned_Data!B997</f>
        <v/>
      </c>
      <c r="C997" s="2">
        <f>Cleaned_Data!G997</f>
        <v/>
      </c>
      <c r="D997" s="2">
        <f>Cleaned_Data!I997</f>
        <v/>
      </c>
      <c r="E997" s="2">
        <f>Cleaned_Data!H997</f>
        <v/>
      </c>
      <c r="F997" s="2">
        <f>Cleaned_Data!F997</f>
        <v/>
      </c>
      <c r="G997" s="9">
        <f>SUMPRODUCT(($B$2:$B$1196=B997)*($F$2:$F$1196&lt;=F997))/SUMPRODUCT(($B$2:$B$1196=B997)*1)</f>
        <v/>
      </c>
      <c r="H997" s="2">
        <f>Cleaned_Data!J997</f>
        <v/>
      </c>
      <c r="I997" s="2">
        <f>Cleaned_Data!E997</f>
        <v/>
      </c>
      <c r="J997" s="2">
        <f>IF(C997="Yes",1,0)</f>
        <v/>
      </c>
      <c r="K997" s="2">
        <f>MIN(MAX(1-(D997-1)/4,0),1)</f>
        <v/>
      </c>
      <c r="L997" s="2">
        <f>MIN(E997/60,1)</f>
        <v/>
      </c>
      <c r="M997" s="2">
        <f>MIN(MAX(1-G997,0),1)</f>
        <v/>
      </c>
      <c r="N997" s="2">
        <f>MIN(MAX(1-(H997-1)/4,0),1)</f>
        <v/>
      </c>
      <c r="O997" s="2">
        <f>1-MIN(I997/8,1)</f>
        <v/>
      </c>
      <c r="P997" s="10">
        <f>ROUND(100*(J997*Assumptions!$B$6+K997*Assumptions!$B$7+L997*Assumptions!$B$8+M997*Assumptions!$B$9+N997*Assumptions!$B$10+O997*Assumptions!$B$11),1)</f>
        <v/>
      </c>
      <c r="Q997" s="2">
        <f>IF(P997&gt;=Assumptions!$B$14,"High",IF(P997&gt;=Assumptions!$B$15,"Medium","Low"))</f>
        <v/>
      </c>
      <c r="R997" s="2">
        <f>Cleaned_Data!L997</f>
        <v/>
      </c>
    </row>
    <row r="998">
      <c r="A998" s="2">
        <f>Cleaned_Data!A998</f>
        <v/>
      </c>
      <c r="B998" s="2">
        <f>Cleaned_Data!B998</f>
        <v/>
      </c>
      <c r="C998" s="2">
        <f>Cleaned_Data!G998</f>
        <v/>
      </c>
      <c r="D998" s="2">
        <f>Cleaned_Data!I998</f>
        <v/>
      </c>
      <c r="E998" s="2">
        <f>Cleaned_Data!H998</f>
        <v/>
      </c>
      <c r="F998" s="2">
        <f>Cleaned_Data!F998</f>
        <v/>
      </c>
      <c r="G998" s="9">
        <f>SUMPRODUCT(($B$2:$B$1196=B998)*($F$2:$F$1196&lt;=F998))/SUMPRODUCT(($B$2:$B$1196=B998)*1)</f>
        <v/>
      </c>
      <c r="H998" s="2">
        <f>Cleaned_Data!J998</f>
        <v/>
      </c>
      <c r="I998" s="2">
        <f>Cleaned_Data!E998</f>
        <v/>
      </c>
      <c r="J998" s="2">
        <f>IF(C998="Yes",1,0)</f>
        <v/>
      </c>
      <c r="K998" s="2">
        <f>MIN(MAX(1-(D998-1)/4,0),1)</f>
        <v/>
      </c>
      <c r="L998" s="2">
        <f>MIN(E998/60,1)</f>
        <v/>
      </c>
      <c r="M998" s="2">
        <f>MIN(MAX(1-G998,0),1)</f>
        <v/>
      </c>
      <c r="N998" s="2">
        <f>MIN(MAX(1-(H998-1)/4,0),1)</f>
        <v/>
      </c>
      <c r="O998" s="2">
        <f>1-MIN(I998/8,1)</f>
        <v/>
      </c>
      <c r="P998" s="10">
        <f>ROUND(100*(J998*Assumptions!$B$6+K998*Assumptions!$B$7+L998*Assumptions!$B$8+M998*Assumptions!$B$9+N998*Assumptions!$B$10+O998*Assumptions!$B$11),1)</f>
        <v/>
      </c>
      <c r="Q998" s="2">
        <f>IF(P998&gt;=Assumptions!$B$14,"High",IF(P998&gt;=Assumptions!$B$15,"Medium","Low"))</f>
        <v/>
      </c>
      <c r="R998" s="2">
        <f>Cleaned_Data!L998</f>
        <v/>
      </c>
    </row>
    <row r="999">
      <c r="A999" s="2">
        <f>Cleaned_Data!A999</f>
        <v/>
      </c>
      <c r="B999" s="2">
        <f>Cleaned_Data!B999</f>
        <v/>
      </c>
      <c r="C999" s="2">
        <f>Cleaned_Data!G999</f>
        <v/>
      </c>
      <c r="D999" s="2">
        <f>Cleaned_Data!I999</f>
        <v/>
      </c>
      <c r="E999" s="2">
        <f>Cleaned_Data!H999</f>
        <v/>
      </c>
      <c r="F999" s="2">
        <f>Cleaned_Data!F999</f>
        <v/>
      </c>
      <c r="G999" s="9">
        <f>SUMPRODUCT(($B$2:$B$1196=B999)*($F$2:$F$1196&lt;=F999))/SUMPRODUCT(($B$2:$B$1196=B999)*1)</f>
        <v/>
      </c>
      <c r="H999" s="2">
        <f>Cleaned_Data!J999</f>
        <v/>
      </c>
      <c r="I999" s="2">
        <f>Cleaned_Data!E999</f>
        <v/>
      </c>
      <c r="J999" s="2">
        <f>IF(C999="Yes",1,0)</f>
        <v/>
      </c>
      <c r="K999" s="2">
        <f>MIN(MAX(1-(D999-1)/4,0),1)</f>
        <v/>
      </c>
      <c r="L999" s="2">
        <f>MIN(E999/60,1)</f>
        <v/>
      </c>
      <c r="M999" s="2">
        <f>MIN(MAX(1-G999,0),1)</f>
        <v/>
      </c>
      <c r="N999" s="2">
        <f>MIN(MAX(1-(H999-1)/4,0),1)</f>
        <v/>
      </c>
      <c r="O999" s="2">
        <f>1-MIN(I999/8,1)</f>
        <v/>
      </c>
      <c r="P999" s="10">
        <f>ROUND(100*(J999*Assumptions!$B$6+K999*Assumptions!$B$7+L999*Assumptions!$B$8+M999*Assumptions!$B$9+N999*Assumptions!$B$10+O999*Assumptions!$B$11),1)</f>
        <v/>
      </c>
      <c r="Q999" s="2">
        <f>IF(P999&gt;=Assumptions!$B$14,"High",IF(P999&gt;=Assumptions!$B$15,"Medium","Low"))</f>
        <v/>
      </c>
      <c r="R999" s="2">
        <f>Cleaned_Data!L999</f>
        <v/>
      </c>
    </row>
    <row r="1000">
      <c r="A1000" s="2">
        <f>Cleaned_Data!A1000</f>
        <v/>
      </c>
      <c r="B1000" s="2">
        <f>Cleaned_Data!B1000</f>
        <v/>
      </c>
      <c r="C1000" s="2">
        <f>Cleaned_Data!G1000</f>
        <v/>
      </c>
      <c r="D1000" s="2">
        <f>Cleaned_Data!I1000</f>
        <v/>
      </c>
      <c r="E1000" s="2">
        <f>Cleaned_Data!H1000</f>
        <v/>
      </c>
      <c r="F1000" s="2">
        <f>Cleaned_Data!F1000</f>
        <v/>
      </c>
      <c r="G1000" s="9">
        <f>SUMPRODUCT(($B$2:$B$1196=B1000)*($F$2:$F$1196&lt;=F1000))/SUMPRODUCT(($B$2:$B$1196=B1000)*1)</f>
        <v/>
      </c>
      <c r="H1000" s="2">
        <f>Cleaned_Data!J1000</f>
        <v/>
      </c>
      <c r="I1000" s="2">
        <f>Cleaned_Data!E1000</f>
        <v/>
      </c>
      <c r="J1000" s="2">
        <f>IF(C1000="Yes",1,0)</f>
        <v/>
      </c>
      <c r="K1000" s="2">
        <f>MIN(MAX(1-(D1000-1)/4,0),1)</f>
        <v/>
      </c>
      <c r="L1000" s="2">
        <f>MIN(E1000/60,1)</f>
        <v/>
      </c>
      <c r="M1000" s="2">
        <f>MIN(MAX(1-G1000,0),1)</f>
        <v/>
      </c>
      <c r="N1000" s="2">
        <f>MIN(MAX(1-(H1000-1)/4,0),1)</f>
        <v/>
      </c>
      <c r="O1000" s="2">
        <f>1-MIN(I1000/8,1)</f>
        <v/>
      </c>
      <c r="P1000" s="10">
        <f>ROUND(100*(J1000*Assumptions!$B$6+K1000*Assumptions!$B$7+L1000*Assumptions!$B$8+M1000*Assumptions!$B$9+N1000*Assumptions!$B$10+O1000*Assumptions!$B$11),1)</f>
        <v/>
      </c>
      <c r="Q1000" s="2">
        <f>IF(P1000&gt;=Assumptions!$B$14,"High",IF(P1000&gt;=Assumptions!$B$15,"Medium","Low"))</f>
        <v/>
      </c>
      <c r="R1000" s="2">
        <f>Cleaned_Data!L1000</f>
        <v/>
      </c>
    </row>
    <row r="1001">
      <c r="A1001" s="2">
        <f>Cleaned_Data!A1001</f>
        <v/>
      </c>
      <c r="B1001" s="2">
        <f>Cleaned_Data!B1001</f>
        <v/>
      </c>
      <c r="C1001" s="2">
        <f>Cleaned_Data!G1001</f>
        <v/>
      </c>
      <c r="D1001" s="2">
        <f>Cleaned_Data!I1001</f>
        <v/>
      </c>
      <c r="E1001" s="2">
        <f>Cleaned_Data!H1001</f>
        <v/>
      </c>
      <c r="F1001" s="2">
        <f>Cleaned_Data!F1001</f>
        <v/>
      </c>
      <c r="G1001" s="9">
        <f>SUMPRODUCT(($B$2:$B$1196=B1001)*($F$2:$F$1196&lt;=F1001))/SUMPRODUCT(($B$2:$B$1196=B1001)*1)</f>
        <v/>
      </c>
      <c r="H1001" s="2">
        <f>Cleaned_Data!J1001</f>
        <v/>
      </c>
      <c r="I1001" s="2">
        <f>Cleaned_Data!E1001</f>
        <v/>
      </c>
      <c r="J1001" s="2">
        <f>IF(C1001="Yes",1,0)</f>
        <v/>
      </c>
      <c r="K1001" s="2">
        <f>MIN(MAX(1-(D1001-1)/4,0),1)</f>
        <v/>
      </c>
      <c r="L1001" s="2">
        <f>MIN(E1001/60,1)</f>
        <v/>
      </c>
      <c r="M1001" s="2">
        <f>MIN(MAX(1-G1001,0),1)</f>
        <v/>
      </c>
      <c r="N1001" s="2">
        <f>MIN(MAX(1-(H1001-1)/4,0),1)</f>
        <v/>
      </c>
      <c r="O1001" s="2">
        <f>1-MIN(I1001/8,1)</f>
        <v/>
      </c>
      <c r="P1001" s="10">
        <f>ROUND(100*(J1001*Assumptions!$B$6+K1001*Assumptions!$B$7+L1001*Assumptions!$B$8+M1001*Assumptions!$B$9+N1001*Assumptions!$B$10+O1001*Assumptions!$B$11),1)</f>
        <v/>
      </c>
      <c r="Q1001" s="2">
        <f>IF(P1001&gt;=Assumptions!$B$14,"High",IF(P1001&gt;=Assumptions!$B$15,"Medium","Low"))</f>
        <v/>
      </c>
      <c r="R1001" s="2">
        <f>Cleaned_Data!L1001</f>
        <v/>
      </c>
    </row>
    <row r="1002">
      <c r="A1002" s="2">
        <f>Cleaned_Data!A1002</f>
        <v/>
      </c>
      <c r="B1002" s="2">
        <f>Cleaned_Data!B1002</f>
        <v/>
      </c>
      <c r="C1002" s="2">
        <f>Cleaned_Data!G1002</f>
        <v/>
      </c>
      <c r="D1002" s="2">
        <f>Cleaned_Data!I1002</f>
        <v/>
      </c>
      <c r="E1002" s="2">
        <f>Cleaned_Data!H1002</f>
        <v/>
      </c>
      <c r="F1002" s="2">
        <f>Cleaned_Data!F1002</f>
        <v/>
      </c>
      <c r="G1002" s="9">
        <f>SUMPRODUCT(($B$2:$B$1196=B1002)*($F$2:$F$1196&lt;=F1002))/SUMPRODUCT(($B$2:$B$1196=B1002)*1)</f>
        <v/>
      </c>
      <c r="H1002" s="2">
        <f>Cleaned_Data!J1002</f>
        <v/>
      </c>
      <c r="I1002" s="2">
        <f>Cleaned_Data!E1002</f>
        <v/>
      </c>
      <c r="J1002" s="2">
        <f>IF(C1002="Yes",1,0)</f>
        <v/>
      </c>
      <c r="K1002" s="2">
        <f>MIN(MAX(1-(D1002-1)/4,0),1)</f>
        <v/>
      </c>
      <c r="L1002" s="2">
        <f>MIN(E1002/60,1)</f>
        <v/>
      </c>
      <c r="M1002" s="2">
        <f>MIN(MAX(1-G1002,0),1)</f>
        <v/>
      </c>
      <c r="N1002" s="2">
        <f>MIN(MAX(1-(H1002-1)/4,0),1)</f>
        <v/>
      </c>
      <c r="O1002" s="2">
        <f>1-MIN(I1002/8,1)</f>
        <v/>
      </c>
      <c r="P1002" s="10">
        <f>ROUND(100*(J1002*Assumptions!$B$6+K1002*Assumptions!$B$7+L1002*Assumptions!$B$8+M1002*Assumptions!$B$9+N1002*Assumptions!$B$10+O1002*Assumptions!$B$11),1)</f>
        <v/>
      </c>
      <c r="Q1002" s="2">
        <f>IF(P1002&gt;=Assumptions!$B$14,"High",IF(P1002&gt;=Assumptions!$B$15,"Medium","Low"))</f>
        <v/>
      </c>
      <c r="R1002" s="2">
        <f>Cleaned_Data!L1002</f>
        <v/>
      </c>
    </row>
    <row r="1003">
      <c r="A1003" s="2">
        <f>Cleaned_Data!A1003</f>
        <v/>
      </c>
      <c r="B1003" s="2">
        <f>Cleaned_Data!B1003</f>
        <v/>
      </c>
      <c r="C1003" s="2">
        <f>Cleaned_Data!G1003</f>
        <v/>
      </c>
      <c r="D1003" s="2">
        <f>Cleaned_Data!I1003</f>
        <v/>
      </c>
      <c r="E1003" s="2">
        <f>Cleaned_Data!H1003</f>
        <v/>
      </c>
      <c r="F1003" s="2">
        <f>Cleaned_Data!F1003</f>
        <v/>
      </c>
      <c r="G1003" s="9">
        <f>SUMPRODUCT(($B$2:$B$1196=B1003)*($F$2:$F$1196&lt;=F1003))/SUMPRODUCT(($B$2:$B$1196=B1003)*1)</f>
        <v/>
      </c>
      <c r="H1003" s="2">
        <f>Cleaned_Data!J1003</f>
        <v/>
      </c>
      <c r="I1003" s="2">
        <f>Cleaned_Data!E1003</f>
        <v/>
      </c>
      <c r="J1003" s="2">
        <f>IF(C1003="Yes",1,0)</f>
        <v/>
      </c>
      <c r="K1003" s="2">
        <f>MIN(MAX(1-(D1003-1)/4,0),1)</f>
        <v/>
      </c>
      <c r="L1003" s="2">
        <f>MIN(E1003/60,1)</f>
        <v/>
      </c>
      <c r="M1003" s="2">
        <f>MIN(MAX(1-G1003,0),1)</f>
        <v/>
      </c>
      <c r="N1003" s="2">
        <f>MIN(MAX(1-(H1003-1)/4,0),1)</f>
        <v/>
      </c>
      <c r="O1003" s="2">
        <f>1-MIN(I1003/8,1)</f>
        <v/>
      </c>
      <c r="P1003" s="10">
        <f>ROUND(100*(J1003*Assumptions!$B$6+K1003*Assumptions!$B$7+L1003*Assumptions!$B$8+M1003*Assumptions!$B$9+N1003*Assumptions!$B$10+O1003*Assumptions!$B$11),1)</f>
        <v/>
      </c>
      <c r="Q1003" s="2">
        <f>IF(P1003&gt;=Assumptions!$B$14,"High",IF(P1003&gt;=Assumptions!$B$15,"Medium","Low"))</f>
        <v/>
      </c>
      <c r="R1003" s="2">
        <f>Cleaned_Data!L1003</f>
        <v/>
      </c>
    </row>
    <row r="1004">
      <c r="A1004" s="2">
        <f>Cleaned_Data!A1004</f>
        <v/>
      </c>
      <c r="B1004" s="2">
        <f>Cleaned_Data!B1004</f>
        <v/>
      </c>
      <c r="C1004" s="2">
        <f>Cleaned_Data!G1004</f>
        <v/>
      </c>
      <c r="D1004" s="2">
        <f>Cleaned_Data!I1004</f>
        <v/>
      </c>
      <c r="E1004" s="2">
        <f>Cleaned_Data!H1004</f>
        <v/>
      </c>
      <c r="F1004" s="2">
        <f>Cleaned_Data!F1004</f>
        <v/>
      </c>
      <c r="G1004" s="9">
        <f>SUMPRODUCT(($B$2:$B$1196=B1004)*($F$2:$F$1196&lt;=F1004))/SUMPRODUCT(($B$2:$B$1196=B1004)*1)</f>
        <v/>
      </c>
      <c r="H1004" s="2">
        <f>Cleaned_Data!J1004</f>
        <v/>
      </c>
      <c r="I1004" s="2">
        <f>Cleaned_Data!E1004</f>
        <v/>
      </c>
      <c r="J1004" s="2">
        <f>IF(C1004="Yes",1,0)</f>
        <v/>
      </c>
      <c r="K1004" s="2">
        <f>MIN(MAX(1-(D1004-1)/4,0),1)</f>
        <v/>
      </c>
      <c r="L1004" s="2">
        <f>MIN(E1004/60,1)</f>
        <v/>
      </c>
      <c r="M1004" s="2">
        <f>MIN(MAX(1-G1004,0),1)</f>
        <v/>
      </c>
      <c r="N1004" s="2">
        <f>MIN(MAX(1-(H1004-1)/4,0),1)</f>
        <v/>
      </c>
      <c r="O1004" s="2">
        <f>1-MIN(I1004/8,1)</f>
        <v/>
      </c>
      <c r="P1004" s="10">
        <f>ROUND(100*(J1004*Assumptions!$B$6+K1004*Assumptions!$B$7+L1004*Assumptions!$B$8+M1004*Assumptions!$B$9+N1004*Assumptions!$B$10+O1004*Assumptions!$B$11),1)</f>
        <v/>
      </c>
      <c r="Q1004" s="2">
        <f>IF(P1004&gt;=Assumptions!$B$14,"High",IF(P1004&gt;=Assumptions!$B$15,"Medium","Low"))</f>
        <v/>
      </c>
      <c r="R1004" s="2">
        <f>Cleaned_Data!L1004</f>
        <v/>
      </c>
    </row>
    <row r="1005">
      <c r="A1005" s="2">
        <f>Cleaned_Data!A1005</f>
        <v/>
      </c>
      <c r="B1005" s="2">
        <f>Cleaned_Data!B1005</f>
        <v/>
      </c>
      <c r="C1005" s="2">
        <f>Cleaned_Data!G1005</f>
        <v/>
      </c>
      <c r="D1005" s="2">
        <f>Cleaned_Data!I1005</f>
        <v/>
      </c>
      <c r="E1005" s="2">
        <f>Cleaned_Data!H1005</f>
        <v/>
      </c>
      <c r="F1005" s="2">
        <f>Cleaned_Data!F1005</f>
        <v/>
      </c>
      <c r="G1005" s="9">
        <f>SUMPRODUCT(($B$2:$B$1196=B1005)*($F$2:$F$1196&lt;=F1005))/SUMPRODUCT(($B$2:$B$1196=B1005)*1)</f>
        <v/>
      </c>
      <c r="H1005" s="2">
        <f>Cleaned_Data!J1005</f>
        <v/>
      </c>
      <c r="I1005" s="2">
        <f>Cleaned_Data!E1005</f>
        <v/>
      </c>
      <c r="J1005" s="2">
        <f>IF(C1005="Yes",1,0)</f>
        <v/>
      </c>
      <c r="K1005" s="2">
        <f>MIN(MAX(1-(D1005-1)/4,0),1)</f>
        <v/>
      </c>
      <c r="L1005" s="2">
        <f>MIN(E1005/60,1)</f>
        <v/>
      </c>
      <c r="M1005" s="2">
        <f>MIN(MAX(1-G1005,0),1)</f>
        <v/>
      </c>
      <c r="N1005" s="2">
        <f>MIN(MAX(1-(H1005-1)/4,0),1)</f>
        <v/>
      </c>
      <c r="O1005" s="2">
        <f>1-MIN(I1005/8,1)</f>
        <v/>
      </c>
      <c r="P1005" s="10">
        <f>ROUND(100*(J1005*Assumptions!$B$6+K1005*Assumptions!$B$7+L1005*Assumptions!$B$8+M1005*Assumptions!$B$9+N1005*Assumptions!$B$10+O1005*Assumptions!$B$11),1)</f>
        <v/>
      </c>
      <c r="Q1005" s="2">
        <f>IF(P1005&gt;=Assumptions!$B$14,"High",IF(P1005&gt;=Assumptions!$B$15,"Medium","Low"))</f>
        <v/>
      </c>
      <c r="R1005" s="2">
        <f>Cleaned_Data!L1005</f>
        <v/>
      </c>
    </row>
    <row r="1006">
      <c r="A1006" s="2">
        <f>Cleaned_Data!A1006</f>
        <v/>
      </c>
      <c r="B1006" s="2">
        <f>Cleaned_Data!B1006</f>
        <v/>
      </c>
      <c r="C1006" s="2">
        <f>Cleaned_Data!G1006</f>
        <v/>
      </c>
      <c r="D1006" s="2">
        <f>Cleaned_Data!I1006</f>
        <v/>
      </c>
      <c r="E1006" s="2">
        <f>Cleaned_Data!H1006</f>
        <v/>
      </c>
      <c r="F1006" s="2">
        <f>Cleaned_Data!F1006</f>
        <v/>
      </c>
      <c r="G1006" s="9">
        <f>SUMPRODUCT(($B$2:$B$1196=B1006)*($F$2:$F$1196&lt;=F1006))/SUMPRODUCT(($B$2:$B$1196=B1006)*1)</f>
        <v/>
      </c>
      <c r="H1006" s="2">
        <f>Cleaned_Data!J1006</f>
        <v/>
      </c>
      <c r="I1006" s="2">
        <f>Cleaned_Data!E1006</f>
        <v/>
      </c>
      <c r="J1006" s="2">
        <f>IF(C1006="Yes",1,0)</f>
        <v/>
      </c>
      <c r="K1006" s="2">
        <f>MIN(MAX(1-(D1006-1)/4,0),1)</f>
        <v/>
      </c>
      <c r="L1006" s="2">
        <f>MIN(E1006/60,1)</f>
        <v/>
      </c>
      <c r="M1006" s="2">
        <f>MIN(MAX(1-G1006,0),1)</f>
        <v/>
      </c>
      <c r="N1006" s="2">
        <f>MIN(MAX(1-(H1006-1)/4,0),1)</f>
        <v/>
      </c>
      <c r="O1006" s="2">
        <f>1-MIN(I1006/8,1)</f>
        <v/>
      </c>
      <c r="P1006" s="10">
        <f>ROUND(100*(J1006*Assumptions!$B$6+K1006*Assumptions!$B$7+L1006*Assumptions!$B$8+M1006*Assumptions!$B$9+N1006*Assumptions!$B$10+O1006*Assumptions!$B$11),1)</f>
        <v/>
      </c>
      <c r="Q1006" s="2">
        <f>IF(P1006&gt;=Assumptions!$B$14,"High",IF(P1006&gt;=Assumptions!$B$15,"Medium","Low"))</f>
        <v/>
      </c>
      <c r="R1006" s="2">
        <f>Cleaned_Data!L1006</f>
        <v/>
      </c>
    </row>
    <row r="1007">
      <c r="A1007" s="2">
        <f>Cleaned_Data!A1007</f>
        <v/>
      </c>
      <c r="B1007" s="2">
        <f>Cleaned_Data!B1007</f>
        <v/>
      </c>
      <c r="C1007" s="2">
        <f>Cleaned_Data!G1007</f>
        <v/>
      </c>
      <c r="D1007" s="2">
        <f>Cleaned_Data!I1007</f>
        <v/>
      </c>
      <c r="E1007" s="2">
        <f>Cleaned_Data!H1007</f>
        <v/>
      </c>
      <c r="F1007" s="2">
        <f>Cleaned_Data!F1007</f>
        <v/>
      </c>
      <c r="G1007" s="9">
        <f>SUMPRODUCT(($B$2:$B$1196=B1007)*($F$2:$F$1196&lt;=F1007))/SUMPRODUCT(($B$2:$B$1196=B1007)*1)</f>
        <v/>
      </c>
      <c r="H1007" s="2">
        <f>Cleaned_Data!J1007</f>
        <v/>
      </c>
      <c r="I1007" s="2">
        <f>Cleaned_Data!E1007</f>
        <v/>
      </c>
      <c r="J1007" s="2">
        <f>IF(C1007="Yes",1,0)</f>
        <v/>
      </c>
      <c r="K1007" s="2">
        <f>MIN(MAX(1-(D1007-1)/4,0),1)</f>
        <v/>
      </c>
      <c r="L1007" s="2">
        <f>MIN(E1007/60,1)</f>
        <v/>
      </c>
      <c r="M1007" s="2">
        <f>MIN(MAX(1-G1007,0),1)</f>
        <v/>
      </c>
      <c r="N1007" s="2">
        <f>MIN(MAX(1-(H1007-1)/4,0),1)</f>
        <v/>
      </c>
      <c r="O1007" s="2">
        <f>1-MIN(I1007/8,1)</f>
        <v/>
      </c>
      <c r="P1007" s="10">
        <f>ROUND(100*(J1007*Assumptions!$B$6+K1007*Assumptions!$B$7+L1007*Assumptions!$B$8+M1007*Assumptions!$B$9+N1007*Assumptions!$B$10+O1007*Assumptions!$B$11),1)</f>
        <v/>
      </c>
      <c r="Q1007" s="2">
        <f>IF(P1007&gt;=Assumptions!$B$14,"High",IF(P1007&gt;=Assumptions!$B$15,"Medium","Low"))</f>
        <v/>
      </c>
      <c r="R1007" s="2">
        <f>Cleaned_Data!L1007</f>
        <v/>
      </c>
    </row>
    <row r="1008">
      <c r="A1008" s="2">
        <f>Cleaned_Data!A1008</f>
        <v/>
      </c>
      <c r="B1008" s="2">
        <f>Cleaned_Data!B1008</f>
        <v/>
      </c>
      <c r="C1008" s="2">
        <f>Cleaned_Data!G1008</f>
        <v/>
      </c>
      <c r="D1008" s="2">
        <f>Cleaned_Data!I1008</f>
        <v/>
      </c>
      <c r="E1008" s="2">
        <f>Cleaned_Data!H1008</f>
        <v/>
      </c>
      <c r="F1008" s="2">
        <f>Cleaned_Data!F1008</f>
        <v/>
      </c>
      <c r="G1008" s="9">
        <f>SUMPRODUCT(($B$2:$B$1196=B1008)*($F$2:$F$1196&lt;=F1008))/SUMPRODUCT(($B$2:$B$1196=B1008)*1)</f>
        <v/>
      </c>
      <c r="H1008" s="2">
        <f>Cleaned_Data!J1008</f>
        <v/>
      </c>
      <c r="I1008" s="2">
        <f>Cleaned_Data!E1008</f>
        <v/>
      </c>
      <c r="J1008" s="2">
        <f>IF(C1008="Yes",1,0)</f>
        <v/>
      </c>
      <c r="K1008" s="2">
        <f>MIN(MAX(1-(D1008-1)/4,0),1)</f>
        <v/>
      </c>
      <c r="L1008" s="2">
        <f>MIN(E1008/60,1)</f>
        <v/>
      </c>
      <c r="M1008" s="2">
        <f>MIN(MAX(1-G1008,0),1)</f>
        <v/>
      </c>
      <c r="N1008" s="2">
        <f>MIN(MAX(1-(H1008-1)/4,0),1)</f>
        <v/>
      </c>
      <c r="O1008" s="2">
        <f>1-MIN(I1008/8,1)</f>
        <v/>
      </c>
      <c r="P1008" s="10">
        <f>ROUND(100*(J1008*Assumptions!$B$6+K1008*Assumptions!$B$7+L1008*Assumptions!$B$8+M1008*Assumptions!$B$9+N1008*Assumptions!$B$10+O1008*Assumptions!$B$11),1)</f>
        <v/>
      </c>
      <c r="Q1008" s="2">
        <f>IF(P1008&gt;=Assumptions!$B$14,"High",IF(P1008&gt;=Assumptions!$B$15,"Medium","Low"))</f>
        <v/>
      </c>
      <c r="R1008" s="2">
        <f>Cleaned_Data!L1008</f>
        <v/>
      </c>
    </row>
    <row r="1009">
      <c r="A1009" s="2">
        <f>Cleaned_Data!A1009</f>
        <v/>
      </c>
      <c r="B1009" s="2">
        <f>Cleaned_Data!B1009</f>
        <v/>
      </c>
      <c r="C1009" s="2">
        <f>Cleaned_Data!G1009</f>
        <v/>
      </c>
      <c r="D1009" s="2">
        <f>Cleaned_Data!I1009</f>
        <v/>
      </c>
      <c r="E1009" s="2">
        <f>Cleaned_Data!H1009</f>
        <v/>
      </c>
      <c r="F1009" s="2">
        <f>Cleaned_Data!F1009</f>
        <v/>
      </c>
      <c r="G1009" s="9">
        <f>SUMPRODUCT(($B$2:$B$1196=B1009)*($F$2:$F$1196&lt;=F1009))/SUMPRODUCT(($B$2:$B$1196=B1009)*1)</f>
        <v/>
      </c>
      <c r="H1009" s="2">
        <f>Cleaned_Data!J1009</f>
        <v/>
      </c>
      <c r="I1009" s="2">
        <f>Cleaned_Data!E1009</f>
        <v/>
      </c>
      <c r="J1009" s="2">
        <f>IF(C1009="Yes",1,0)</f>
        <v/>
      </c>
      <c r="K1009" s="2">
        <f>MIN(MAX(1-(D1009-1)/4,0),1)</f>
        <v/>
      </c>
      <c r="L1009" s="2">
        <f>MIN(E1009/60,1)</f>
        <v/>
      </c>
      <c r="M1009" s="2">
        <f>MIN(MAX(1-G1009,0),1)</f>
        <v/>
      </c>
      <c r="N1009" s="2">
        <f>MIN(MAX(1-(H1009-1)/4,0),1)</f>
        <v/>
      </c>
      <c r="O1009" s="2">
        <f>1-MIN(I1009/8,1)</f>
        <v/>
      </c>
      <c r="P1009" s="10">
        <f>ROUND(100*(J1009*Assumptions!$B$6+K1009*Assumptions!$B$7+L1009*Assumptions!$B$8+M1009*Assumptions!$B$9+N1009*Assumptions!$B$10+O1009*Assumptions!$B$11),1)</f>
        <v/>
      </c>
      <c r="Q1009" s="2">
        <f>IF(P1009&gt;=Assumptions!$B$14,"High",IF(P1009&gt;=Assumptions!$B$15,"Medium","Low"))</f>
        <v/>
      </c>
      <c r="R1009" s="2">
        <f>Cleaned_Data!L1009</f>
        <v/>
      </c>
    </row>
    <row r="1010">
      <c r="A1010" s="2">
        <f>Cleaned_Data!A1010</f>
        <v/>
      </c>
      <c r="B1010" s="2">
        <f>Cleaned_Data!B1010</f>
        <v/>
      </c>
      <c r="C1010" s="2">
        <f>Cleaned_Data!G1010</f>
        <v/>
      </c>
      <c r="D1010" s="2">
        <f>Cleaned_Data!I1010</f>
        <v/>
      </c>
      <c r="E1010" s="2">
        <f>Cleaned_Data!H1010</f>
        <v/>
      </c>
      <c r="F1010" s="2">
        <f>Cleaned_Data!F1010</f>
        <v/>
      </c>
      <c r="G1010" s="9">
        <f>SUMPRODUCT(($B$2:$B$1196=B1010)*($F$2:$F$1196&lt;=F1010))/SUMPRODUCT(($B$2:$B$1196=B1010)*1)</f>
        <v/>
      </c>
      <c r="H1010" s="2">
        <f>Cleaned_Data!J1010</f>
        <v/>
      </c>
      <c r="I1010" s="2">
        <f>Cleaned_Data!E1010</f>
        <v/>
      </c>
      <c r="J1010" s="2">
        <f>IF(C1010="Yes",1,0)</f>
        <v/>
      </c>
      <c r="K1010" s="2">
        <f>MIN(MAX(1-(D1010-1)/4,0),1)</f>
        <v/>
      </c>
      <c r="L1010" s="2">
        <f>MIN(E1010/60,1)</f>
        <v/>
      </c>
      <c r="M1010" s="2">
        <f>MIN(MAX(1-G1010,0),1)</f>
        <v/>
      </c>
      <c r="N1010" s="2">
        <f>MIN(MAX(1-(H1010-1)/4,0),1)</f>
        <v/>
      </c>
      <c r="O1010" s="2">
        <f>1-MIN(I1010/8,1)</f>
        <v/>
      </c>
      <c r="P1010" s="10">
        <f>ROUND(100*(J1010*Assumptions!$B$6+K1010*Assumptions!$B$7+L1010*Assumptions!$B$8+M1010*Assumptions!$B$9+N1010*Assumptions!$B$10+O1010*Assumptions!$B$11),1)</f>
        <v/>
      </c>
      <c r="Q1010" s="2">
        <f>IF(P1010&gt;=Assumptions!$B$14,"High",IF(P1010&gt;=Assumptions!$B$15,"Medium","Low"))</f>
        <v/>
      </c>
      <c r="R1010" s="2">
        <f>Cleaned_Data!L1010</f>
        <v/>
      </c>
    </row>
    <row r="1011">
      <c r="A1011" s="2">
        <f>Cleaned_Data!A1011</f>
        <v/>
      </c>
      <c r="B1011" s="2">
        <f>Cleaned_Data!B1011</f>
        <v/>
      </c>
      <c r="C1011" s="2">
        <f>Cleaned_Data!G1011</f>
        <v/>
      </c>
      <c r="D1011" s="2">
        <f>Cleaned_Data!I1011</f>
        <v/>
      </c>
      <c r="E1011" s="2">
        <f>Cleaned_Data!H1011</f>
        <v/>
      </c>
      <c r="F1011" s="2">
        <f>Cleaned_Data!F1011</f>
        <v/>
      </c>
      <c r="G1011" s="9">
        <f>SUMPRODUCT(($B$2:$B$1196=B1011)*($F$2:$F$1196&lt;=F1011))/SUMPRODUCT(($B$2:$B$1196=B1011)*1)</f>
        <v/>
      </c>
      <c r="H1011" s="2">
        <f>Cleaned_Data!J1011</f>
        <v/>
      </c>
      <c r="I1011" s="2">
        <f>Cleaned_Data!E1011</f>
        <v/>
      </c>
      <c r="J1011" s="2">
        <f>IF(C1011="Yes",1,0)</f>
        <v/>
      </c>
      <c r="K1011" s="2">
        <f>MIN(MAX(1-(D1011-1)/4,0),1)</f>
        <v/>
      </c>
      <c r="L1011" s="2">
        <f>MIN(E1011/60,1)</f>
        <v/>
      </c>
      <c r="M1011" s="2">
        <f>MIN(MAX(1-G1011,0),1)</f>
        <v/>
      </c>
      <c r="N1011" s="2">
        <f>MIN(MAX(1-(H1011-1)/4,0),1)</f>
        <v/>
      </c>
      <c r="O1011" s="2">
        <f>1-MIN(I1011/8,1)</f>
        <v/>
      </c>
      <c r="P1011" s="10">
        <f>ROUND(100*(J1011*Assumptions!$B$6+K1011*Assumptions!$B$7+L1011*Assumptions!$B$8+M1011*Assumptions!$B$9+N1011*Assumptions!$B$10+O1011*Assumptions!$B$11),1)</f>
        <v/>
      </c>
      <c r="Q1011" s="2">
        <f>IF(P1011&gt;=Assumptions!$B$14,"High",IF(P1011&gt;=Assumptions!$B$15,"Medium","Low"))</f>
        <v/>
      </c>
      <c r="R1011" s="2">
        <f>Cleaned_Data!L1011</f>
        <v/>
      </c>
    </row>
    <row r="1012">
      <c r="A1012" s="2">
        <f>Cleaned_Data!A1012</f>
        <v/>
      </c>
      <c r="B1012" s="2">
        <f>Cleaned_Data!B1012</f>
        <v/>
      </c>
      <c r="C1012" s="2">
        <f>Cleaned_Data!G1012</f>
        <v/>
      </c>
      <c r="D1012" s="2">
        <f>Cleaned_Data!I1012</f>
        <v/>
      </c>
      <c r="E1012" s="2">
        <f>Cleaned_Data!H1012</f>
        <v/>
      </c>
      <c r="F1012" s="2">
        <f>Cleaned_Data!F1012</f>
        <v/>
      </c>
      <c r="G1012" s="9">
        <f>SUMPRODUCT(($B$2:$B$1196=B1012)*($F$2:$F$1196&lt;=F1012))/SUMPRODUCT(($B$2:$B$1196=B1012)*1)</f>
        <v/>
      </c>
      <c r="H1012" s="2">
        <f>Cleaned_Data!J1012</f>
        <v/>
      </c>
      <c r="I1012" s="2">
        <f>Cleaned_Data!E1012</f>
        <v/>
      </c>
      <c r="J1012" s="2">
        <f>IF(C1012="Yes",1,0)</f>
        <v/>
      </c>
      <c r="K1012" s="2">
        <f>MIN(MAX(1-(D1012-1)/4,0),1)</f>
        <v/>
      </c>
      <c r="L1012" s="2">
        <f>MIN(E1012/60,1)</f>
        <v/>
      </c>
      <c r="M1012" s="2">
        <f>MIN(MAX(1-G1012,0),1)</f>
        <v/>
      </c>
      <c r="N1012" s="2">
        <f>MIN(MAX(1-(H1012-1)/4,0),1)</f>
        <v/>
      </c>
      <c r="O1012" s="2">
        <f>1-MIN(I1012/8,1)</f>
        <v/>
      </c>
      <c r="P1012" s="10">
        <f>ROUND(100*(J1012*Assumptions!$B$6+K1012*Assumptions!$B$7+L1012*Assumptions!$B$8+M1012*Assumptions!$B$9+N1012*Assumptions!$B$10+O1012*Assumptions!$B$11),1)</f>
        <v/>
      </c>
      <c r="Q1012" s="2">
        <f>IF(P1012&gt;=Assumptions!$B$14,"High",IF(P1012&gt;=Assumptions!$B$15,"Medium","Low"))</f>
        <v/>
      </c>
      <c r="R1012" s="2">
        <f>Cleaned_Data!L1012</f>
        <v/>
      </c>
    </row>
    <row r="1013">
      <c r="A1013" s="2">
        <f>Cleaned_Data!A1013</f>
        <v/>
      </c>
      <c r="B1013" s="2">
        <f>Cleaned_Data!B1013</f>
        <v/>
      </c>
      <c r="C1013" s="2">
        <f>Cleaned_Data!G1013</f>
        <v/>
      </c>
      <c r="D1013" s="2">
        <f>Cleaned_Data!I1013</f>
        <v/>
      </c>
      <c r="E1013" s="2">
        <f>Cleaned_Data!H1013</f>
        <v/>
      </c>
      <c r="F1013" s="2">
        <f>Cleaned_Data!F1013</f>
        <v/>
      </c>
      <c r="G1013" s="9">
        <f>SUMPRODUCT(($B$2:$B$1196=B1013)*($F$2:$F$1196&lt;=F1013))/SUMPRODUCT(($B$2:$B$1196=B1013)*1)</f>
        <v/>
      </c>
      <c r="H1013" s="2">
        <f>Cleaned_Data!J1013</f>
        <v/>
      </c>
      <c r="I1013" s="2">
        <f>Cleaned_Data!E1013</f>
        <v/>
      </c>
      <c r="J1013" s="2">
        <f>IF(C1013="Yes",1,0)</f>
        <v/>
      </c>
      <c r="K1013" s="2">
        <f>MIN(MAX(1-(D1013-1)/4,0),1)</f>
        <v/>
      </c>
      <c r="L1013" s="2">
        <f>MIN(E1013/60,1)</f>
        <v/>
      </c>
      <c r="M1013" s="2">
        <f>MIN(MAX(1-G1013,0),1)</f>
        <v/>
      </c>
      <c r="N1013" s="2">
        <f>MIN(MAX(1-(H1013-1)/4,0),1)</f>
        <v/>
      </c>
      <c r="O1013" s="2">
        <f>1-MIN(I1013/8,1)</f>
        <v/>
      </c>
      <c r="P1013" s="10">
        <f>ROUND(100*(J1013*Assumptions!$B$6+K1013*Assumptions!$B$7+L1013*Assumptions!$B$8+M1013*Assumptions!$B$9+N1013*Assumptions!$B$10+O1013*Assumptions!$B$11),1)</f>
        <v/>
      </c>
      <c r="Q1013" s="2">
        <f>IF(P1013&gt;=Assumptions!$B$14,"High",IF(P1013&gt;=Assumptions!$B$15,"Medium","Low"))</f>
        <v/>
      </c>
      <c r="R1013" s="2">
        <f>Cleaned_Data!L1013</f>
        <v/>
      </c>
    </row>
    <row r="1014">
      <c r="A1014" s="2">
        <f>Cleaned_Data!A1014</f>
        <v/>
      </c>
      <c r="B1014" s="2">
        <f>Cleaned_Data!B1014</f>
        <v/>
      </c>
      <c r="C1014" s="2">
        <f>Cleaned_Data!G1014</f>
        <v/>
      </c>
      <c r="D1014" s="2">
        <f>Cleaned_Data!I1014</f>
        <v/>
      </c>
      <c r="E1014" s="2">
        <f>Cleaned_Data!H1014</f>
        <v/>
      </c>
      <c r="F1014" s="2">
        <f>Cleaned_Data!F1014</f>
        <v/>
      </c>
      <c r="G1014" s="9">
        <f>SUMPRODUCT(($B$2:$B$1196=B1014)*($F$2:$F$1196&lt;=F1014))/SUMPRODUCT(($B$2:$B$1196=B1014)*1)</f>
        <v/>
      </c>
      <c r="H1014" s="2">
        <f>Cleaned_Data!J1014</f>
        <v/>
      </c>
      <c r="I1014" s="2">
        <f>Cleaned_Data!E1014</f>
        <v/>
      </c>
      <c r="J1014" s="2">
        <f>IF(C1014="Yes",1,0)</f>
        <v/>
      </c>
      <c r="K1014" s="2">
        <f>MIN(MAX(1-(D1014-1)/4,0),1)</f>
        <v/>
      </c>
      <c r="L1014" s="2">
        <f>MIN(E1014/60,1)</f>
        <v/>
      </c>
      <c r="M1014" s="2">
        <f>MIN(MAX(1-G1014,0),1)</f>
        <v/>
      </c>
      <c r="N1014" s="2">
        <f>MIN(MAX(1-(H1014-1)/4,0),1)</f>
        <v/>
      </c>
      <c r="O1014" s="2">
        <f>1-MIN(I1014/8,1)</f>
        <v/>
      </c>
      <c r="P1014" s="10">
        <f>ROUND(100*(J1014*Assumptions!$B$6+K1014*Assumptions!$B$7+L1014*Assumptions!$B$8+M1014*Assumptions!$B$9+N1014*Assumptions!$B$10+O1014*Assumptions!$B$11),1)</f>
        <v/>
      </c>
      <c r="Q1014" s="2">
        <f>IF(P1014&gt;=Assumptions!$B$14,"High",IF(P1014&gt;=Assumptions!$B$15,"Medium","Low"))</f>
        <v/>
      </c>
      <c r="R1014" s="2">
        <f>Cleaned_Data!L1014</f>
        <v/>
      </c>
    </row>
    <row r="1015">
      <c r="A1015" s="2">
        <f>Cleaned_Data!A1015</f>
        <v/>
      </c>
      <c r="B1015" s="2">
        <f>Cleaned_Data!B1015</f>
        <v/>
      </c>
      <c r="C1015" s="2">
        <f>Cleaned_Data!G1015</f>
        <v/>
      </c>
      <c r="D1015" s="2">
        <f>Cleaned_Data!I1015</f>
        <v/>
      </c>
      <c r="E1015" s="2">
        <f>Cleaned_Data!H1015</f>
        <v/>
      </c>
      <c r="F1015" s="2">
        <f>Cleaned_Data!F1015</f>
        <v/>
      </c>
      <c r="G1015" s="9">
        <f>SUMPRODUCT(($B$2:$B$1196=B1015)*($F$2:$F$1196&lt;=F1015))/SUMPRODUCT(($B$2:$B$1196=B1015)*1)</f>
        <v/>
      </c>
      <c r="H1015" s="2">
        <f>Cleaned_Data!J1015</f>
        <v/>
      </c>
      <c r="I1015" s="2">
        <f>Cleaned_Data!E1015</f>
        <v/>
      </c>
      <c r="J1015" s="2">
        <f>IF(C1015="Yes",1,0)</f>
        <v/>
      </c>
      <c r="K1015" s="2">
        <f>MIN(MAX(1-(D1015-1)/4,0),1)</f>
        <v/>
      </c>
      <c r="L1015" s="2">
        <f>MIN(E1015/60,1)</f>
        <v/>
      </c>
      <c r="M1015" s="2">
        <f>MIN(MAX(1-G1015,0),1)</f>
        <v/>
      </c>
      <c r="N1015" s="2">
        <f>MIN(MAX(1-(H1015-1)/4,0),1)</f>
        <v/>
      </c>
      <c r="O1015" s="2">
        <f>1-MIN(I1015/8,1)</f>
        <v/>
      </c>
      <c r="P1015" s="10">
        <f>ROUND(100*(J1015*Assumptions!$B$6+K1015*Assumptions!$B$7+L1015*Assumptions!$B$8+M1015*Assumptions!$B$9+N1015*Assumptions!$B$10+O1015*Assumptions!$B$11),1)</f>
        <v/>
      </c>
      <c r="Q1015" s="2">
        <f>IF(P1015&gt;=Assumptions!$B$14,"High",IF(P1015&gt;=Assumptions!$B$15,"Medium","Low"))</f>
        <v/>
      </c>
      <c r="R1015" s="2">
        <f>Cleaned_Data!L1015</f>
        <v/>
      </c>
    </row>
    <row r="1016">
      <c r="A1016" s="2">
        <f>Cleaned_Data!A1016</f>
        <v/>
      </c>
      <c r="B1016" s="2">
        <f>Cleaned_Data!B1016</f>
        <v/>
      </c>
      <c r="C1016" s="2">
        <f>Cleaned_Data!G1016</f>
        <v/>
      </c>
      <c r="D1016" s="2">
        <f>Cleaned_Data!I1016</f>
        <v/>
      </c>
      <c r="E1016" s="2">
        <f>Cleaned_Data!H1016</f>
        <v/>
      </c>
      <c r="F1016" s="2">
        <f>Cleaned_Data!F1016</f>
        <v/>
      </c>
      <c r="G1016" s="9">
        <f>SUMPRODUCT(($B$2:$B$1196=B1016)*($F$2:$F$1196&lt;=F1016))/SUMPRODUCT(($B$2:$B$1196=B1016)*1)</f>
        <v/>
      </c>
      <c r="H1016" s="2">
        <f>Cleaned_Data!J1016</f>
        <v/>
      </c>
      <c r="I1016" s="2">
        <f>Cleaned_Data!E1016</f>
        <v/>
      </c>
      <c r="J1016" s="2">
        <f>IF(C1016="Yes",1,0)</f>
        <v/>
      </c>
      <c r="K1016" s="2">
        <f>MIN(MAX(1-(D1016-1)/4,0),1)</f>
        <v/>
      </c>
      <c r="L1016" s="2">
        <f>MIN(E1016/60,1)</f>
        <v/>
      </c>
      <c r="M1016" s="2">
        <f>MIN(MAX(1-G1016,0),1)</f>
        <v/>
      </c>
      <c r="N1016" s="2">
        <f>MIN(MAX(1-(H1016-1)/4,0),1)</f>
        <v/>
      </c>
      <c r="O1016" s="2">
        <f>1-MIN(I1016/8,1)</f>
        <v/>
      </c>
      <c r="P1016" s="10">
        <f>ROUND(100*(J1016*Assumptions!$B$6+K1016*Assumptions!$B$7+L1016*Assumptions!$B$8+M1016*Assumptions!$B$9+N1016*Assumptions!$B$10+O1016*Assumptions!$B$11),1)</f>
        <v/>
      </c>
      <c r="Q1016" s="2">
        <f>IF(P1016&gt;=Assumptions!$B$14,"High",IF(P1016&gt;=Assumptions!$B$15,"Medium","Low"))</f>
        <v/>
      </c>
      <c r="R1016" s="2">
        <f>Cleaned_Data!L1016</f>
        <v/>
      </c>
    </row>
    <row r="1017">
      <c r="A1017" s="2">
        <f>Cleaned_Data!A1017</f>
        <v/>
      </c>
      <c r="B1017" s="2">
        <f>Cleaned_Data!B1017</f>
        <v/>
      </c>
      <c r="C1017" s="2">
        <f>Cleaned_Data!G1017</f>
        <v/>
      </c>
      <c r="D1017" s="2">
        <f>Cleaned_Data!I1017</f>
        <v/>
      </c>
      <c r="E1017" s="2">
        <f>Cleaned_Data!H1017</f>
        <v/>
      </c>
      <c r="F1017" s="2">
        <f>Cleaned_Data!F1017</f>
        <v/>
      </c>
      <c r="G1017" s="9">
        <f>SUMPRODUCT(($B$2:$B$1196=B1017)*($F$2:$F$1196&lt;=F1017))/SUMPRODUCT(($B$2:$B$1196=B1017)*1)</f>
        <v/>
      </c>
      <c r="H1017" s="2">
        <f>Cleaned_Data!J1017</f>
        <v/>
      </c>
      <c r="I1017" s="2">
        <f>Cleaned_Data!E1017</f>
        <v/>
      </c>
      <c r="J1017" s="2">
        <f>IF(C1017="Yes",1,0)</f>
        <v/>
      </c>
      <c r="K1017" s="2">
        <f>MIN(MAX(1-(D1017-1)/4,0),1)</f>
        <v/>
      </c>
      <c r="L1017" s="2">
        <f>MIN(E1017/60,1)</f>
        <v/>
      </c>
      <c r="M1017" s="2">
        <f>MIN(MAX(1-G1017,0),1)</f>
        <v/>
      </c>
      <c r="N1017" s="2">
        <f>MIN(MAX(1-(H1017-1)/4,0),1)</f>
        <v/>
      </c>
      <c r="O1017" s="2">
        <f>1-MIN(I1017/8,1)</f>
        <v/>
      </c>
      <c r="P1017" s="10">
        <f>ROUND(100*(J1017*Assumptions!$B$6+K1017*Assumptions!$B$7+L1017*Assumptions!$B$8+M1017*Assumptions!$B$9+N1017*Assumptions!$B$10+O1017*Assumptions!$B$11),1)</f>
        <v/>
      </c>
      <c r="Q1017" s="2">
        <f>IF(P1017&gt;=Assumptions!$B$14,"High",IF(P1017&gt;=Assumptions!$B$15,"Medium","Low"))</f>
        <v/>
      </c>
      <c r="R1017" s="2">
        <f>Cleaned_Data!L1017</f>
        <v/>
      </c>
    </row>
    <row r="1018">
      <c r="A1018" s="2">
        <f>Cleaned_Data!A1018</f>
        <v/>
      </c>
      <c r="B1018" s="2">
        <f>Cleaned_Data!B1018</f>
        <v/>
      </c>
      <c r="C1018" s="2">
        <f>Cleaned_Data!G1018</f>
        <v/>
      </c>
      <c r="D1018" s="2">
        <f>Cleaned_Data!I1018</f>
        <v/>
      </c>
      <c r="E1018" s="2">
        <f>Cleaned_Data!H1018</f>
        <v/>
      </c>
      <c r="F1018" s="2">
        <f>Cleaned_Data!F1018</f>
        <v/>
      </c>
      <c r="G1018" s="9">
        <f>SUMPRODUCT(($B$2:$B$1196=B1018)*($F$2:$F$1196&lt;=F1018))/SUMPRODUCT(($B$2:$B$1196=B1018)*1)</f>
        <v/>
      </c>
      <c r="H1018" s="2">
        <f>Cleaned_Data!J1018</f>
        <v/>
      </c>
      <c r="I1018" s="2">
        <f>Cleaned_Data!E1018</f>
        <v/>
      </c>
      <c r="J1018" s="2">
        <f>IF(C1018="Yes",1,0)</f>
        <v/>
      </c>
      <c r="K1018" s="2">
        <f>MIN(MAX(1-(D1018-1)/4,0),1)</f>
        <v/>
      </c>
      <c r="L1018" s="2">
        <f>MIN(E1018/60,1)</f>
        <v/>
      </c>
      <c r="M1018" s="2">
        <f>MIN(MAX(1-G1018,0),1)</f>
        <v/>
      </c>
      <c r="N1018" s="2">
        <f>MIN(MAX(1-(H1018-1)/4,0),1)</f>
        <v/>
      </c>
      <c r="O1018" s="2">
        <f>1-MIN(I1018/8,1)</f>
        <v/>
      </c>
      <c r="P1018" s="10">
        <f>ROUND(100*(J1018*Assumptions!$B$6+K1018*Assumptions!$B$7+L1018*Assumptions!$B$8+M1018*Assumptions!$B$9+N1018*Assumptions!$B$10+O1018*Assumptions!$B$11),1)</f>
        <v/>
      </c>
      <c r="Q1018" s="2">
        <f>IF(P1018&gt;=Assumptions!$B$14,"High",IF(P1018&gt;=Assumptions!$B$15,"Medium","Low"))</f>
        <v/>
      </c>
      <c r="R1018" s="2">
        <f>Cleaned_Data!L1018</f>
        <v/>
      </c>
    </row>
    <row r="1019">
      <c r="A1019" s="2">
        <f>Cleaned_Data!A1019</f>
        <v/>
      </c>
      <c r="B1019" s="2">
        <f>Cleaned_Data!B1019</f>
        <v/>
      </c>
      <c r="C1019" s="2">
        <f>Cleaned_Data!G1019</f>
        <v/>
      </c>
      <c r="D1019" s="2">
        <f>Cleaned_Data!I1019</f>
        <v/>
      </c>
      <c r="E1019" s="2">
        <f>Cleaned_Data!H1019</f>
        <v/>
      </c>
      <c r="F1019" s="2">
        <f>Cleaned_Data!F1019</f>
        <v/>
      </c>
      <c r="G1019" s="9">
        <f>SUMPRODUCT(($B$2:$B$1196=B1019)*($F$2:$F$1196&lt;=F1019))/SUMPRODUCT(($B$2:$B$1196=B1019)*1)</f>
        <v/>
      </c>
      <c r="H1019" s="2">
        <f>Cleaned_Data!J1019</f>
        <v/>
      </c>
      <c r="I1019" s="2">
        <f>Cleaned_Data!E1019</f>
        <v/>
      </c>
      <c r="J1019" s="2">
        <f>IF(C1019="Yes",1,0)</f>
        <v/>
      </c>
      <c r="K1019" s="2">
        <f>MIN(MAX(1-(D1019-1)/4,0),1)</f>
        <v/>
      </c>
      <c r="L1019" s="2">
        <f>MIN(E1019/60,1)</f>
        <v/>
      </c>
      <c r="M1019" s="2">
        <f>MIN(MAX(1-G1019,0),1)</f>
        <v/>
      </c>
      <c r="N1019" s="2">
        <f>MIN(MAX(1-(H1019-1)/4,0),1)</f>
        <v/>
      </c>
      <c r="O1019" s="2">
        <f>1-MIN(I1019/8,1)</f>
        <v/>
      </c>
      <c r="P1019" s="10">
        <f>ROUND(100*(J1019*Assumptions!$B$6+K1019*Assumptions!$B$7+L1019*Assumptions!$B$8+M1019*Assumptions!$B$9+N1019*Assumptions!$B$10+O1019*Assumptions!$B$11),1)</f>
        <v/>
      </c>
      <c r="Q1019" s="2">
        <f>IF(P1019&gt;=Assumptions!$B$14,"High",IF(P1019&gt;=Assumptions!$B$15,"Medium","Low"))</f>
        <v/>
      </c>
      <c r="R1019" s="2">
        <f>Cleaned_Data!L1019</f>
        <v/>
      </c>
    </row>
    <row r="1020">
      <c r="A1020" s="2">
        <f>Cleaned_Data!A1020</f>
        <v/>
      </c>
      <c r="B1020" s="2">
        <f>Cleaned_Data!B1020</f>
        <v/>
      </c>
      <c r="C1020" s="2">
        <f>Cleaned_Data!G1020</f>
        <v/>
      </c>
      <c r="D1020" s="2">
        <f>Cleaned_Data!I1020</f>
        <v/>
      </c>
      <c r="E1020" s="2">
        <f>Cleaned_Data!H1020</f>
        <v/>
      </c>
      <c r="F1020" s="2">
        <f>Cleaned_Data!F1020</f>
        <v/>
      </c>
      <c r="G1020" s="9">
        <f>SUMPRODUCT(($B$2:$B$1196=B1020)*($F$2:$F$1196&lt;=F1020))/SUMPRODUCT(($B$2:$B$1196=B1020)*1)</f>
        <v/>
      </c>
      <c r="H1020" s="2">
        <f>Cleaned_Data!J1020</f>
        <v/>
      </c>
      <c r="I1020" s="2">
        <f>Cleaned_Data!E1020</f>
        <v/>
      </c>
      <c r="J1020" s="2">
        <f>IF(C1020="Yes",1,0)</f>
        <v/>
      </c>
      <c r="K1020" s="2">
        <f>MIN(MAX(1-(D1020-1)/4,0),1)</f>
        <v/>
      </c>
      <c r="L1020" s="2">
        <f>MIN(E1020/60,1)</f>
        <v/>
      </c>
      <c r="M1020" s="2">
        <f>MIN(MAX(1-G1020,0),1)</f>
        <v/>
      </c>
      <c r="N1020" s="2">
        <f>MIN(MAX(1-(H1020-1)/4,0),1)</f>
        <v/>
      </c>
      <c r="O1020" s="2">
        <f>1-MIN(I1020/8,1)</f>
        <v/>
      </c>
      <c r="P1020" s="10">
        <f>ROUND(100*(J1020*Assumptions!$B$6+K1020*Assumptions!$B$7+L1020*Assumptions!$B$8+M1020*Assumptions!$B$9+N1020*Assumptions!$B$10+O1020*Assumptions!$B$11),1)</f>
        <v/>
      </c>
      <c r="Q1020" s="2">
        <f>IF(P1020&gt;=Assumptions!$B$14,"High",IF(P1020&gt;=Assumptions!$B$15,"Medium","Low"))</f>
        <v/>
      </c>
      <c r="R1020" s="2">
        <f>Cleaned_Data!L1020</f>
        <v/>
      </c>
    </row>
    <row r="1021">
      <c r="A1021" s="2">
        <f>Cleaned_Data!A1021</f>
        <v/>
      </c>
      <c r="B1021" s="2">
        <f>Cleaned_Data!B1021</f>
        <v/>
      </c>
      <c r="C1021" s="2">
        <f>Cleaned_Data!G1021</f>
        <v/>
      </c>
      <c r="D1021" s="2">
        <f>Cleaned_Data!I1021</f>
        <v/>
      </c>
      <c r="E1021" s="2">
        <f>Cleaned_Data!H1021</f>
        <v/>
      </c>
      <c r="F1021" s="2">
        <f>Cleaned_Data!F1021</f>
        <v/>
      </c>
      <c r="G1021" s="9">
        <f>SUMPRODUCT(($B$2:$B$1196=B1021)*($F$2:$F$1196&lt;=F1021))/SUMPRODUCT(($B$2:$B$1196=B1021)*1)</f>
        <v/>
      </c>
      <c r="H1021" s="2">
        <f>Cleaned_Data!J1021</f>
        <v/>
      </c>
      <c r="I1021" s="2">
        <f>Cleaned_Data!E1021</f>
        <v/>
      </c>
      <c r="J1021" s="2">
        <f>IF(C1021="Yes",1,0)</f>
        <v/>
      </c>
      <c r="K1021" s="2">
        <f>MIN(MAX(1-(D1021-1)/4,0),1)</f>
        <v/>
      </c>
      <c r="L1021" s="2">
        <f>MIN(E1021/60,1)</f>
        <v/>
      </c>
      <c r="M1021" s="2">
        <f>MIN(MAX(1-G1021,0),1)</f>
        <v/>
      </c>
      <c r="N1021" s="2">
        <f>MIN(MAX(1-(H1021-1)/4,0),1)</f>
        <v/>
      </c>
      <c r="O1021" s="2">
        <f>1-MIN(I1021/8,1)</f>
        <v/>
      </c>
      <c r="P1021" s="10">
        <f>ROUND(100*(J1021*Assumptions!$B$6+K1021*Assumptions!$B$7+L1021*Assumptions!$B$8+M1021*Assumptions!$B$9+N1021*Assumptions!$B$10+O1021*Assumptions!$B$11),1)</f>
        <v/>
      </c>
      <c r="Q1021" s="2">
        <f>IF(P1021&gt;=Assumptions!$B$14,"High",IF(P1021&gt;=Assumptions!$B$15,"Medium","Low"))</f>
        <v/>
      </c>
      <c r="R1021" s="2">
        <f>Cleaned_Data!L1021</f>
        <v/>
      </c>
    </row>
    <row r="1022">
      <c r="A1022" s="2">
        <f>Cleaned_Data!A1022</f>
        <v/>
      </c>
      <c r="B1022" s="2">
        <f>Cleaned_Data!B1022</f>
        <v/>
      </c>
      <c r="C1022" s="2">
        <f>Cleaned_Data!G1022</f>
        <v/>
      </c>
      <c r="D1022" s="2">
        <f>Cleaned_Data!I1022</f>
        <v/>
      </c>
      <c r="E1022" s="2">
        <f>Cleaned_Data!H1022</f>
        <v/>
      </c>
      <c r="F1022" s="2">
        <f>Cleaned_Data!F1022</f>
        <v/>
      </c>
      <c r="G1022" s="9">
        <f>SUMPRODUCT(($B$2:$B$1196=B1022)*($F$2:$F$1196&lt;=F1022))/SUMPRODUCT(($B$2:$B$1196=B1022)*1)</f>
        <v/>
      </c>
      <c r="H1022" s="2">
        <f>Cleaned_Data!J1022</f>
        <v/>
      </c>
      <c r="I1022" s="2">
        <f>Cleaned_Data!E1022</f>
        <v/>
      </c>
      <c r="J1022" s="2">
        <f>IF(C1022="Yes",1,0)</f>
        <v/>
      </c>
      <c r="K1022" s="2">
        <f>MIN(MAX(1-(D1022-1)/4,0),1)</f>
        <v/>
      </c>
      <c r="L1022" s="2">
        <f>MIN(E1022/60,1)</f>
        <v/>
      </c>
      <c r="M1022" s="2">
        <f>MIN(MAX(1-G1022,0),1)</f>
        <v/>
      </c>
      <c r="N1022" s="2">
        <f>MIN(MAX(1-(H1022-1)/4,0),1)</f>
        <v/>
      </c>
      <c r="O1022" s="2">
        <f>1-MIN(I1022/8,1)</f>
        <v/>
      </c>
      <c r="P1022" s="10">
        <f>ROUND(100*(J1022*Assumptions!$B$6+K1022*Assumptions!$B$7+L1022*Assumptions!$B$8+M1022*Assumptions!$B$9+N1022*Assumptions!$B$10+O1022*Assumptions!$B$11),1)</f>
        <v/>
      </c>
      <c r="Q1022" s="2">
        <f>IF(P1022&gt;=Assumptions!$B$14,"High",IF(P1022&gt;=Assumptions!$B$15,"Medium","Low"))</f>
        <v/>
      </c>
      <c r="R1022" s="2">
        <f>Cleaned_Data!L1022</f>
        <v/>
      </c>
    </row>
    <row r="1023">
      <c r="A1023" s="2">
        <f>Cleaned_Data!A1023</f>
        <v/>
      </c>
      <c r="B1023" s="2">
        <f>Cleaned_Data!B1023</f>
        <v/>
      </c>
      <c r="C1023" s="2">
        <f>Cleaned_Data!G1023</f>
        <v/>
      </c>
      <c r="D1023" s="2">
        <f>Cleaned_Data!I1023</f>
        <v/>
      </c>
      <c r="E1023" s="2">
        <f>Cleaned_Data!H1023</f>
        <v/>
      </c>
      <c r="F1023" s="2">
        <f>Cleaned_Data!F1023</f>
        <v/>
      </c>
      <c r="G1023" s="9">
        <f>SUMPRODUCT(($B$2:$B$1196=B1023)*($F$2:$F$1196&lt;=F1023))/SUMPRODUCT(($B$2:$B$1196=B1023)*1)</f>
        <v/>
      </c>
      <c r="H1023" s="2">
        <f>Cleaned_Data!J1023</f>
        <v/>
      </c>
      <c r="I1023" s="2">
        <f>Cleaned_Data!E1023</f>
        <v/>
      </c>
      <c r="J1023" s="2">
        <f>IF(C1023="Yes",1,0)</f>
        <v/>
      </c>
      <c r="K1023" s="2">
        <f>MIN(MAX(1-(D1023-1)/4,0),1)</f>
        <v/>
      </c>
      <c r="L1023" s="2">
        <f>MIN(E1023/60,1)</f>
        <v/>
      </c>
      <c r="M1023" s="2">
        <f>MIN(MAX(1-G1023,0),1)</f>
        <v/>
      </c>
      <c r="N1023" s="2">
        <f>MIN(MAX(1-(H1023-1)/4,0),1)</f>
        <v/>
      </c>
      <c r="O1023" s="2">
        <f>1-MIN(I1023/8,1)</f>
        <v/>
      </c>
      <c r="P1023" s="10">
        <f>ROUND(100*(J1023*Assumptions!$B$6+K1023*Assumptions!$B$7+L1023*Assumptions!$B$8+M1023*Assumptions!$B$9+N1023*Assumptions!$B$10+O1023*Assumptions!$B$11),1)</f>
        <v/>
      </c>
      <c r="Q1023" s="2">
        <f>IF(P1023&gt;=Assumptions!$B$14,"High",IF(P1023&gt;=Assumptions!$B$15,"Medium","Low"))</f>
        <v/>
      </c>
      <c r="R1023" s="2">
        <f>Cleaned_Data!L1023</f>
        <v/>
      </c>
    </row>
    <row r="1024">
      <c r="A1024" s="2">
        <f>Cleaned_Data!A1024</f>
        <v/>
      </c>
      <c r="B1024" s="2">
        <f>Cleaned_Data!B1024</f>
        <v/>
      </c>
      <c r="C1024" s="2">
        <f>Cleaned_Data!G1024</f>
        <v/>
      </c>
      <c r="D1024" s="2">
        <f>Cleaned_Data!I1024</f>
        <v/>
      </c>
      <c r="E1024" s="2">
        <f>Cleaned_Data!H1024</f>
        <v/>
      </c>
      <c r="F1024" s="2">
        <f>Cleaned_Data!F1024</f>
        <v/>
      </c>
      <c r="G1024" s="9">
        <f>SUMPRODUCT(($B$2:$B$1196=B1024)*($F$2:$F$1196&lt;=F1024))/SUMPRODUCT(($B$2:$B$1196=B1024)*1)</f>
        <v/>
      </c>
      <c r="H1024" s="2">
        <f>Cleaned_Data!J1024</f>
        <v/>
      </c>
      <c r="I1024" s="2">
        <f>Cleaned_Data!E1024</f>
        <v/>
      </c>
      <c r="J1024" s="2">
        <f>IF(C1024="Yes",1,0)</f>
        <v/>
      </c>
      <c r="K1024" s="2">
        <f>MIN(MAX(1-(D1024-1)/4,0),1)</f>
        <v/>
      </c>
      <c r="L1024" s="2">
        <f>MIN(E1024/60,1)</f>
        <v/>
      </c>
      <c r="M1024" s="2">
        <f>MIN(MAX(1-G1024,0),1)</f>
        <v/>
      </c>
      <c r="N1024" s="2">
        <f>MIN(MAX(1-(H1024-1)/4,0),1)</f>
        <v/>
      </c>
      <c r="O1024" s="2">
        <f>1-MIN(I1024/8,1)</f>
        <v/>
      </c>
      <c r="P1024" s="10">
        <f>ROUND(100*(J1024*Assumptions!$B$6+K1024*Assumptions!$B$7+L1024*Assumptions!$B$8+M1024*Assumptions!$B$9+N1024*Assumptions!$B$10+O1024*Assumptions!$B$11),1)</f>
        <v/>
      </c>
      <c r="Q1024" s="2">
        <f>IF(P1024&gt;=Assumptions!$B$14,"High",IF(P1024&gt;=Assumptions!$B$15,"Medium","Low"))</f>
        <v/>
      </c>
      <c r="R1024" s="2">
        <f>Cleaned_Data!L1024</f>
        <v/>
      </c>
    </row>
    <row r="1025">
      <c r="A1025" s="2">
        <f>Cleaned_Data!A1025</f>
        <v/>
      </c>
      <c r="B1025" s="2">
        <f>Cleaned_Data!B1025</f>
        <v/>
      </c>
      <c r="C1025" s="2">
        <f>Cleaned_Data!G1025</f>
        <v/>
      </c>
      <c r="D1025" s="2">
        <f>Cleaned_Data!I1025</f>
        <v/>
      </c>
      <c r="E1025" s="2">
        <f>Cleaned_Data!H1025</f>
        <v/>
      </c>
      <c r="F1025" s="2">
        <f>Cleaned_Data!F1025</f>
        <v/>
      </c>
      <c r="G1025" s="9">
        <f>SUMPRODUCT(($B$2:$B$1196=B1025)*($F$2:$F$1196&lt;=F1025))/SUMPRODUCT(($B$2:$B$1196=B1025)*1)</f>
        <v/>
      </c>
      <c r="H1025" s="2">
        <f>Cleaned_Data!J1025</f>
        <v/>
      </c>
      <c r="I1025" s="2">
        <f>Cleaned_Data!E1025</f>
        <v/>
      </c>
      <c r="J1025" s="2">
        <f>IF(C1025="Yes",1,0)</f>
        <v/>
      </c>
      <c r="K1025" s="2">
        <f>MIN(MAX(1-(D1025-1)/4,0),1)</f>
        <v/>
      </c>
      <c r="L1025" s="2">
        <f>MIN(E1025/60,1)</f>
        <v/>
      </c>
      <c r="M1025" s="2">
        <f>MIN(MAX(1-G1025,0),1)</f>
        <v/>
      </c>
      <c r="N1025" s="2">
        <f>MIN(MAX(1-(H1025-1)/4,0),1)</f>
        <v/>
      </c>
      <c r="O1025" s="2">
        <f>1-MIN(I1025/8,1)</f>
        <v/>
      </c>
      <c r="P1025" s="10">
        <f>ROUND(100*(J1025*Assumptions!$B$6+K1025*Assumptions!$B$7+L1025*Assumptions!$B$8+M1025*Assumptions!$B$9+N1025*Assumptions!$B$10+O1025*Assumptions!$B$11),1)</f>
        <v/>
      </c>
      <c r="Q1025" s="2">
        <f>IF(P1025&gt;=Assumptions!$B$14,"High",IF(P1025&gt;=Assumptions!$B$15,"Medium","Low"))</f>
        <v/>
      </c>
      <c r="R1025" s="2">
        <f>Cleaned_Data!L1025</f>
        <v/>
      </c>
    </row>
    <row r="1026">
      <c r="A1026" s="2">
        <f>Cleaned_Data!A1026</f>
        <v/>
      </c>
      <c r="B1026" s="2">
        <f>Cleaned_Data!B1026</f>
        <v/>
      </c>
      <c r="C1026" s="2">
        <f>Cleaned_Data!G1026</f>
        <v/>
      </c>
      <c r="D1026" s="2">
        <f>Cleaned_Data!I1026</f>
        <v/>
      </c>
      <c r="E1026" s="2">
        <f>Cleaned_Data!H1026</f>
        <v/>
      </c>
      <c r="F1026" s="2">
        <f>Cleaned_Data!F1026</f>
        <v/>
      </c>
      <c r="G1026" s="9">
        <f>SUMPRODUCT(($B$2:$B$1196=B1026)*($F$2:$F$1196&lt;=F1026))/SUMPRODUCT(($B$2:$B$1196=B1026)*1)</f>
        <v/>
      </c>
      <c r="H1026" s="2">
        <f>Cleaned_Data!J1026</f>
        <v/>
      </c>
      <c r="I1026" s="2">
        <f>Cleaned_Data!E1026</f>
        <v/>
      </c>
      <c r="J1026" s="2">
        <f>IF(C1026="Yes",1,0)</f>
        <v/>
      </c>
      <c r="K1026" s="2">
        <f>MIN(MAX(1-(D1026-1)/4,0),1)</f>
        <v/>
      </c>
      <c r="L1026" s="2">
        <f>MIN(E1026/60,1)</f>
        <v/>
      </c>
      <c r="M1026" s="2">
        <f>MIN(MAX(1-G1026,0),1)</f>
        <v/>
      </c>
      <c r="N1026" s="2">
        <f>MIN(MAX(1-(H1026-1)/4,0),1)</f>
        <v/>
      </c>
      <c r="O1026" s="2">
        <f>1-MIN(I1026/8,1)</f>
        <v/>
      </c>
      <c r="P1026" s="10">
        <f>ROUND(100*(J1026*Assumptions!$B$6+K1026*Assumptions!$B$7+L1026*Assumptions!$B$8+M1026*Assumptions!$B$9+N1026*Assumptions!$B$10+O1026*Assumptions!$B$11),1)</f>
        <v/>
      </c>
      <c r="Q1026" s="2">
        <f>IF(P1026&gt;=Assumptions!$B$14,"High",IF(P1026&gt;=Assumptions!$B$15,"Medium","Low"))</f>
        <v/>
      </c>
      <c r="R1026" s="2">
        <f>Cleaned_Data!L1026</f>
        <v/>
      </c>
    </row>
    <row r="1027">
      <c r="A1027" s="2">
        <f>Cleaned_Data!A1027</f>
        <v/>
      </c>
      <c r="B1027" s="2">
        <f>Cleaned_Data!B1027</f>
        <v/>
      </c>
      <c r="C1027" s="2">
        <f>Cleaned_Data!G1027</f>
        <v/>
      </c>
      <c r="D1027" s="2">
        <f>Cleaned_Data!I1027</f>
        <v/>
      </c>
      <c r="E1027" s="2">
        <f>Cleaned_Data!H1027</f>
        <v/>
      </c>
      <c r="F1027" s="2">
        <f>Cleaned_Data!F1027</f>
        <v/>
      </c>
      <c r="G1027" s="9">
        <f>SUMPRODUCT(($B$2:$B$1196=B1027)*($F$2:$F$1196&lt;=F1027))/SUMPRODUCT(($B$2:$B$1196=B1027)*1)</f>
        <v/>
      </c>
      <c r="H1027" s="2">
        <f>Cleaned_Data!J1027</f>
        <v/>
      </c>
      <c r="I1027" s="2">
        <f>Cleaned_Data!E1027</f>
        <v/>
      </c>
      <c r="J1027" s="2">
        <f>IF(C1027="Yes",1,0)</f>
        <v/>
      </c>
      <c r="K1027" s="2">
        <f>MIN(MAX(1-(D1027-1)/4,0),1)</f>
        <v/>
      </c>
      <c r="L1027" s="2">
        <f>MIN(E1027/60,1)</f>
        <v/>
      </c>
      <c r="M1027" s="2">
        <f>MIN(MAX(1-G1027,0),1)</f>
        <v/>
      </c>
      <c r="N1027" s="2">
        <f>MIN(MAX(1-(H1027-1)/4,0),1)</f>
        <v/>
      </c>
      <c r="O1027" s="2">
        <f>1-MIN(I1027/8,1)</f>
        <v/>
      </c>
      <c r="P1027" s="10">
        <f>ROUND(100*(J1027*Assumptions!$B$6+K1027*Assumptions!$B$7+L1027*Assumptions!$B$8+M1027*Assumptions!$B$9+N1027*Assumptions!$B$10+O1027*Assumptions!$B$11),1)</f>
        <v/>
      </c>
      <c r="Q1027" s="2">
        <f>IF(P1027&gt;=Assumptions!$B$14,"High",IF(P1027&gt;=Assumptions!$B$15,"Medium","Low"))</f>
        <v/>
      </c>
      <c r="R1027" s="2">
        <f>Cleaned_Data!L1027</f>
        <v/>
      </c>
    </row>
    <row r="1028">
      <c r="A1028" s="2">
        <f>Cleaned_Data!A1028</f>
        <v/>
      </c>
      <c r="B1028" s="2">
        <f>Cleaned_Data!B1028</f>
        <v/>
      </c>
      <c r="C1028" s="2">
        <f>Cleaned_Data!G1028</f>
        <v/>
      </c>
      <c r="D1028" s="2">
        <f>Cleaned_Data!I1028</f>
        <v/>
      </c>
      <c r="E1028" s="2">
        <f>Cleaned_Data!H1028</f>
        <v/>
      </c>
      <c r="F1028" s="2">
        <f>Cleaned_Data!F1028</f>
        <v/>
      </c>
      <c r="G1028" s="9">
        <f>SUMPRODUCT(($B$2:$B$1196=B1028)*($F$2:$F$1196&lt;=F1028))/SUMPRODUCT(($B$2:$B$1196=B1028)*1)</f>
        <v/>
      </c>
      <c r="H1028" s="2">
        <f>Cleaned_Data!J1028</f>
        <v/>
      </c>
      <c r="I1028" s="2">
        <f>Cleaned_Data!E1028</f>
        <v/>
      </c>
      <c r="J1028" s="2">
        <f>IF(C1028="Yes",1,0)</f>
        <v/>
      </c>
      <c r="K1028" s="2">
        <f>MIN(MAX(1-(D1028-1)/4,0),1)</f>
        <v/>
      </c>
      <c r="L1028" s="2">
        <f>MIN(E1028/60,1)</f>
        <v/>
      </c>
      <c r="M1028" s="2">
        <f>MIN(MAX(1-G1028,0),1)</f>
        <v/>
      </c>
      <c r="N1028" s="2">
        <f>MIN(MAX(1-(H1028-1)/4,0),1)</f>
        <v/>
      </c>
      <c r="O1028" s="2">
        <f>1-MIN(I1028/8,1)</f>
        <v/>
      </c>
      <c r="P1028" s="10">
        <f>ROUND(100*(J1028*Assumptions!$B$6+K1028*Assumptions!$B$7+L1028*Assumptions!$B$8+M1028*Assumptions!$B$9+N1028*Assumptions!$B$10+O1028*Assumptions!$B$11),1)</f>
        <v/>
      </c>
      <c r="Q1028" s="2">
        <f>IF(P1028&gt;=Assumptions!$B$14,"High",IF(P1028&gt;=Assumptions!$B$15,"Medium","Low"))</f>
        <v/>
      </c>
      <c r="R1028" s="2">
        <f>Cleaned_Data!L1028</f>
        <v/>
      </c>
    </row>
    <row r="1029">
      <c r="A1029" s="2">
        <f>Cleaned_Data!A1029</f>
        <v/>
      </c>
      <c r="B1029" s="2">
        <f>Cleaned_Data!B1029</f>
        <v/>
      </c>
      <c r="C1029" s="2">
        <f>Cleaned_Data!G1029</f>
        <v/>
      </c>
      <c r="D1029" s="2">
        <f>Cleaned_Data!I1029</f>
        <v/>
      </c>
      <c r="E1029" s="2">
        <f>Cleaned_Data!H1029</f>
        <v/>
      </c>
      <c r="F1029" s="2">
        <f>Cleaned_Data!F1029</f>
        <v/>
      </c>
      <c r="G1029" s="9">
        <f>SUMPRODUCT(($B$2:$B$1196=B1029)*($F$2:$F$1196&lt;=F1029))/SUMPRODUCT(($B$2:$B$1196=B1029)*1)</f>
        <v/>
      </c>
      <c r="H1029" s="2">
        <f>Cleaned_Data!J1029</f>
        <v/>
      </c>
      <c r="I1029" s="2">
        <f>Cleaned_Data!E1029</f>
        <v/>
      </c>
      <c r="J1029" s="2">
        <f>IF(C1029="Yes",1,0)</f>
        <v/>
      </c>
      <c r="K1029" s="2">
        <f>MIN(MAX(1-(D1029-1)/4,0),1)</f>
        <v/>
      </c>
      <c r="L1029" s="2">
        <f>MIN(E1029/60,1)</f>
        <v/>
      </c>
      <c r="M1029" s="2">
        <f>MIN(MAX(1-G1029,0),1)</f>
        <v/>
      </c>
      <c r="N1029" s="2">
        <f>MIN(MAX(1-(H1029-1)/4,0),1)</f>
        <v/>
      </c>
      <c r="O1029" s="2">
        <f>1-MIN(I1029/8,1)</f>
        <v/>
      </c>
      <c r="P1029" s="10">
        <f>ROUND(100*(J1029*Assumptions!$B$6+K1029*Assumptions!$B$7+L1029*Assumptions!$B$8+M1029*Assumptions!$B$9+N1029*Assumptions!$B$10+O1029*Assumptions!$B$11),1)</f>
        <v/>
      </c>
      <c r="Q1029" s="2">
        <f>IF(P1029&gt;=Assumptions!$B$14,"High",IF(P1029&gt;=Assumptions!$B$15,"Medium","Low"))</f>
        <v/>
      </c>
      <c r="R1029" s="2">
        <f>Cleaned_Data!L1029</f>
        <v/>
      </c>
    </row>
    <row r="1030">
      <c r="A1030" s="2">
        <f>Cleaned_Data!A1030</f>
        <v/>
      </c>
      <c r="B1030" s="2">
        <f>Cleaned_Data!B1030</f>
        <v/>
      </c>
      <c r="C1030" s="2">
        <f>Cleaned_Data!G1030</f>
        <v/>
      </c>
      <c r="D1030" s="2">
        <f>Cleaned_Data!I1030</f>
        <v/>
      </c>
      <c r="E1030" s="2">
        <f>Cleaned_Data!H1030</f>
        <v/>
      </c>
      <c r="F1030" s="2">
        <f>Cleaned_Data!F1030</f>
        <v/>
      </c>
      <c r="G1030" s="9">
        <f>SUMPRODUCT(($B$2:$B$1196=B1030)*($F$2:$F$1196&lt;=F1030))/SUMPRODUCT(($B$2:$B$1196=B1030)*1)</f>
        <v/>
      </c>
      <c r="H1030" s="2">
        <f>Cleaned_Data!J1030</f>
        <v/>
      </c>
      <c r="I1030" s="2">
        <f>Cleaned_Data!E1030</f>
        <v/>
      </c>
      <c r="J1030" s="2">
        <f>IF(C1030="Yes",1,0)</f>
        <v/>
      </c>
      <c r="K1030" s="2">
        <f>MIN(MAX(1-(D1030-1)/4,0),1)</f>
        <v/>
      </c>
      <c r="L1030" s="2">
        <f>MIN(E1030/60,1)</f>
        <v/>
      </c>
      <c r="M1030" s="2">
        <f>MIN(MAX(1-G1030,0),1)</f>
        <v/>
      </c>
      <c r="N1030" s="2">
        <f>MIN(MAX(1-(H1030-1)/4,0),1)</f>
        <v/>
      </c>
      <c r="O1030" s="2">
        <f>1-MIN(I1030/8,1)</f>
        <v/>
      </c>
      <c r="P1030" s="10">
        <f>ROUND(100*(J1030*Assumptions!$B$6+K1030*Assumptions!$B$7+L1030*Assumptions!$B$8+M1030*Assumptions!$B$9+N1030*Assumptions!$B$10+O1030*Assumptions!$B$11),1)</f>
        <v/>
      </c>
      <c r="Q1030" s="2">
        <f>IF(P1030&gt;=Assumptions!$B$14,"High",IF(P1030&gt;=Assumptions!$B$15,"Medium","Low"))</f>
        <v/>
      </c>
      <c r="R1030" s="2">
        <f>Cleaned_Data!L1030</f>
        <v/>
      </c>
    </row>
    <row r="1031">
      <c r="A1031" s="2">
        <f>Cleaned_Data!A1031</f>
        <v/>
      </c>
      <c r="B1031" s="2">
        <f>Cleaned_Data!B1031</f>
        <v/>
      </c>
      <c r="C1031" s="2">
        <f>Cleaned_Data!G1031</f>
        <v/>
      </c>
      <c r="D1031" s="2">
        <f>Cleaned_Data!I1031</f>
        <v/>
      </c>
      <c r="E1031" s="2">
        <f>Cleaned_Data!H1031</f>
        <v/>
      </c>
      <c r="F1031" s="2">
        <f>Cleaned_Data!F1031</f>
        <v/>
      </c>
      <c r="G1031" s="9">
        <f>SUMPRODUCT(($B$2:$B$1196=B1031)*($F$2:$F$1196&lt;=F1031))/SUMPRODUCT(($B$2:$B$1196=B1031)*1)</f>
        <v/>
      </c>
      <c r="H1031" s="2">
        <f>Cleaned_Data!J1031</f>
        <v/>
      </c>
      <c r="I1031" s="2">
        <f>Cleaned_Data!E1031</f>
        <v/>
      </c>
      <c r="J1031" s="2">
        <f>IF(C1031="Yes",1,0)</f>
        <v/>
      </c>
      <c r="K1031" s="2">
        <f>MIN(MAX(1-(D1031-1)/4,0),1)</f>
        <v/>
      </c>
      <c r="L1031" s="2">
        <f>MIN(E1031/60,1)</f>
        <v/>
      </c>
      <c r="M1031" s="2">
        <f>MIN(MAX(1-G1031,0),1)</f>
        <v/>
      </c>
      <c r="N1031" s="2">
        <f>MIN(MAX(1-(H1031-1)/4,0),1)</f>
        <v/>
      </c>
      <c r="O1031" s="2">
        <f>1-MIN(I1031/8,1)</f>
        <v/>
      </c>
      <c r="P1031" s="10">
        <f>ROUND(100*(J1031*Assumptions!$B$6+K1031*Assumptions!$B$7+L1031*Assumptions!$B$8+M1031*Assumptions!$B$9+N1031*Assumptions!$B$10+O1031*Assumptions!$B$11),1)</f>
        <v/>
      </c>
      <c r="Q1031" s="2">
        <f>IF(P1031&gt;=Assumptions!$B$14,"High",IF(P1031&gt;=Assumptions!$B$15,"Medium","Low"))</f>
        <v/>
      </c>
      <c r="R1031" s="2">
        <f>Cleaned_Data!L1031</f>
        <v/>
      </c>
    </row>
    <row r="1032">
      <c r="A1032" s="2">
        <f>Cleaned_Data!A1032</f>
        <v/>
      </c>
      <c r="B1032" s="2">
        <f>Cleaned_Data!B1032</f>
        <v/>
      </c>
      <c r="C1032" s="2">
        <f>Cleaned_Data!G1032</f>
        <v/>
      </c>
      <c r="D1032" s="2">
        <f>Cleaned_Data!I1032</f>
        <v/>
      </c>
      <c r="E1032" s="2">
        <f>Cleaned_Data!H1032</f>
        <v/>
      </c>
      <c r="F1032" s="2">
        <f>Cleaned_Data!F1032</f>
        <v/>
      </c>
      <c r="G1032" s="9">
        <f>SUMPRODUCT(($B$2:$B$1196=B1032)*($F$2:$F$1196&lt;=F1032))/SUMPRODUCT(($B$2:$B$1196=B1032)*1)</f>
        <v/>
      </c>
      <c r="H1032" s="2">
        <f>Cleaned_Data!J1032</f>
        <v/>
      </c>
      <c r="I1032" s="2">
        <f>Cleaned_Data!E1032</f>
        <v/>
      </c>
      <c r="J1032" s="2">
        <f>IF(C1032="Yes",1,0)</f>
        <v/>
      </c>
      <c r="K1032" s="2">
        <f>MIN(MAX(1-(D1032-1)/4,0),1)</f>
        <v/>
      </c>
      <c r="L1032" s="2">
        <f>MIN(E1032/60,1)</f>
        <v/>
      </c>
      <c r="M1032" s="2">
        <f>MIN(MAX(1-G1032,0),1)</f>
        <v/>
      </c>
      <c r="N1032" s="2">
        <f>MIN(MAX(1-(H1032-1)/4,0),1)</f>
        <v/>
      </c>
      <c r="O1032" s="2">
        <f>1-MIN(I1032/8,1)</f>
        <v/>
      </c>
      <c r="P1032" s="10">
        <f>ROUND(100*(J1032*Assumptions!$B$6+K1032*Assumptions!$B$7+L1032*Assumptions!$B$8+M1032*Assumptions!$B$9+N1032*Assumptions!$B$10+O1032*Assumptions!$B$11),1)</f>
        <v/>
      </c>
      <c r="Q1032" s="2">
        <f>IF(P1032&gt;=Assumptions!$B$14,"High",IF(P1032&gt;=Assumptions!$B$15,"Medium","Low"))</f>
        <v/>
      </c>
      <c r="R1032" s="2">
        <f>Cleaned_Data!L1032</f>
        <v/>
      </c>
    </row>
    <row r="1033">
      <c r="A1033" s="2">
        <f>Cleaned_Data!A1033</f>
        <v/>
      </c>
      <c r="B1033" s="2">
        <f>Cleaned_Data!B1033</f>
        <v/>
      </c>
      <c r="C1033" s="2">
        <f>Cleaned_Data!G1033</f>
        <v/>
      </c>
      <c r="D1033" s="2">
        <f>Cleaned_Data!I1033</f>
        <v/>
      </c>
      <c r="E1033" s="2">
        <f>Cleaned_Data!H1033</f>
        <v/>
      </c>
      <c r="F1033" s="2">
        <f>Cleaned_Data!F1033</f>
        <v/>
      </c>
      <c r="G1033" s="9">
        <f>SUMPRODUCT(($B$2:$B$1196=B1033)*($F$2:$F$1196&lt;=F1033))/SUMPRODUCT(($B$2:$B$1196=B1033)*1)</f>
        <v/>
      </c>
      <c r="H1033" s="2">
        <f>Cleaned_Data!J1033</f>
        <v/>
      </c>
      <c r="I1033" s="2">
        <f>Cleaned_Data!E1033</f>
        <v/>
      </c>
      <c r="J1033" s="2">
        <f>IF(C1033="Yes",1,0)</f>
        <v/>
      </c>
      <c r="K1033" s="2">
        <f>MIN(MAX(1-(D1033-1)/4,0),1)</f>
        <v/>
      </c>
      <c r="L1033" s="2">
        <f>MIN(E1033/60,1)</f>
        <v/>
      </c>
      <c r="M1033" s="2">
        <f>MIN(MAX(1-G1033,0),1)</f>
        <v/>
      </c>
      <c r="N1033" s="2">
        <f>MIN(MAX(1-(H1033-1)/4,0),1)</f>
        <v/>
      </c>
      <c r="O1033" s="2">
        <f>1-MIN(I1033/8,1)</f>
        <v/>
      </c>
      <c r="P1033" s="10">
        <f>ROUND(100*(J1033*Assumptions!$B$6+K1033*Assumptions!$B$7+L1033*Assumptions!$B$8+M1033*Assumptions!$B$9+N1033*Assumptions!$B$10+O1033*Assumptions!$B$11),1)</f>
        <v/>
      </c>
      <c r="Q1033" s="2">
        <f>IF(P1033&gt;=Assumptions!$B$14,"High",IF(P1033&gt;=Assumptions!$B$15,"Medium","Low"))</f>
        <v/>
      </c>
      <c r="R1033" s="2">
        <f>Cleaned_Data!L1033</f>
        <v/>
      </c>
    </row>
    <row r="1034">
      <c r="A1034" s="2">
        <f>Cleaned_Data!A1034</f>
        <v/>
      </c>
      <c r="B1034" s="2">
        <f>Cleaned_Data!B1034</f>
        <v/>
      </c>
      <c r="C1034" s="2">
        <f>Cleaned_Data!G1034</f>
        <v/>
      </c>
      <c r="D1034" s="2">
        <f>Cleaned_Data!I1034</f>
        <v/>
      </c>
      <c r="E1034" s="2">
        <f>Cleaned_Data!H1034</f>
        <v/>
      </c>
      <c r="F1034" s="2">
        <f>Cleaned_Data!F1034</f>
        <v/>
      </c>
      <c r="G1034" s="9">
        <f>SUMPRODUCT(($B$2:$B$1196=B1034)*($F$2:$F$1196&lt;=F1034))/SUMPRODUCT(($B$2:$B$1196=B1034)*1)</f>
        <v/>
      </c>
      <c r="H1034" s="2">
        <f>Cleaned_Data!J1034</f>
        <v/>
      </c>
      <c r="I1034" s="2">
        <f>Cleaned_Data!E1034</f>
        <v/>
      </c>
      <c r="J1034" s="2">
        <f>IF(C1034="Yes",1,0)</f>
        <v/>
      </c>
      <c r="K1034" s="2">
        <f>MIN(MAX(1-(D1034-1)/4,0),1)</f>
        <v/>
      </c>
      <c r="L1034" s="2">
        <f>MIN(E1034/60,1)</f>
        <v/>
      </c>
      <c r="M1034" s="2">
        <f>MIN(MAX(1-G1034,0),1)</f>
        <v/>
      </c>
      <c r="N1034" s="2">
        <f>MIN(MAX(1-(H1034-1)/4,0),1)</f>
        <v/>
      </c>
      <c r="O1034" s="2">
        <f>1-MIN(I1034/8,1)</f>
        <v/>
      </c>
      <c r="P1034" s="10">
        <f>ROUND(100*(J1034*Assumptions!$B$6+K1034*Assumptions!$B$7+L1034*Assumptions!$B$8+M1034*Assumptions!$B$9+N1034*Assumptions!$B$10+O1034*Assumptions!$B$11),1)</f>
        <v/>
      </c>
      <c r="Q1034" s="2">
        <f>IF(P1034&gt;=Assumptions!$B$14,"High",IF(P1034&gt;=Assumptions!$B$15,"Medium","Low"))</f>
        <v/>
      </c>
      <c r="R1034" s="2">
        <f>Cleaned_Data!L1034</f>
        <v/>
      </c>
    </row>
    <row r="1035">
      <c r="A1035" s="2">
        <f>Cleaned_Data!A1035</f>
        <v/>
      </c>
      <c r="B1035" s="2">
        <f>Cleaned_Data!B1035</f>
        <v/>
      </c>
      <c r="C1035" s="2">
        <f>Cleaned_Data!G1035</f>
        <v/>
      </c>
      <c r="D1035" s="2">
        <f>Cleaned_Data!I1035</f>
        <v/>
      </c>
      <c r="E1035" s="2">
        <f>Cleaned_Data!H1035</f>
        <v/>
      </c>
      <c r="F1035" s="2">
        <f>Cleaned_Data!F1035</f>
        <v/>
      </c>
      <c r="G1035" s="9">
        <f>SUMPRODUCT(($B$2:$B$1196=B1035)*($F$2:$F$1196&lt;=F1035))/SUMPRODUCT(($B$2:$B$1196=B1035)*1)</f>
        <v/>
      </c>
      <c r="H1035" s="2">
        <f>Cleaned_Data!J1035</f>
        <v/>
      </c>
      <c r="I1035" s="2">
        <f>Cleaned_Data!E1035</f>
        <v/>
      </c>
      <c r="J1035" s="2">
        <f>IF(C1035="Yes",1,0)</f>
        <v/>
      </c>
      <c r="K1035" s="2">
        <f>MIN(MAX(1-(D1035-1)/4,0),1)</f>
        <v/>
      </c>
      <c r="L1035" s="2">
        <f>MIN(E1035/60,1)</f>
        <v/>
      </c>
      <c r="M1035" s="2">
        <f>MIN(MAX(1-G1035,0),1)</f>
        <v/>
      </c>
      <c r="N1035" s="2">
        <f>MIN(MAX(1-(H1035-1)/4,0),1)</f>
        <v/>
      </c>
      <c r="O1035" s="2">
        <f>1-MIN(I1035/8,1)</f>
        <v/>
      </c>
      <c r="P1035" s="10">
        <f>ROUND(100*(J1035*Assumptions!$B$6+K1035*Assumptions!$B$7+L1035*Assumptions!$B$8+M1035*Assumptions!$B$9+N1035*Assumptions!$B$10+O1035*Assumptions!$B$11),1)</f>
        <v/>
      </c>
      <c r="Q1035" s="2">
        <f>IF(P1035&gt;=Assumptions!$B$14,"High",IF(P1035&gt;=Assumptions!$B$15,"Medium","Low"))</f>
        <v/>
      </c>
      <c r="R1035" s="2">
        <f>Cleaned_Data!L1035</f>
        <v/>
      </c>
    </row>
    <row r="1036">
      <c r="A1036" s="2">
        <f>Cleaned_Data!A1036</f>
        <v/>
      </c>
      <c r="B1036" s="2">
        <f>Cleaned_Data!B1036</f>
        <v/>
      </c>
      <c r="C1036" s="2">
        <f>Cleaned_Data!G1036</f>
        <v/>
      </c>
      <c r="D1036" s="2">
        <f>Cleaned_Data!I1036</f>
        <v/>
      </c>
      <c r="E1036" s="2">
        <f>Cleaned_Data!H1036</f>
        <v/>
      </c>
      <c r="F1036" s="2">
        <f>Cleaned_Data!F1036</f>
        <v/>
      </c>
      <c r="G1036" s="9">
        <f>SUMPRODUCT(($B$2:$B$1196=B1036)*($F$2:$F$1196&lt;=F1036))/SUMPRODUCT(($B$2:$B$1196=B1036)*1)</f>
        <v/>
      </c>
      <c r="H1036" s="2">
        <f>Cleaned_Data!J1036</f>
        <v/>
      </c>
      <c r="I1036" s="2">
        <f>Cleaned_Data!E1036</f>
        <v/>
      </c>
      <c r="J1036" s="2">
        <f>IF(C1036="Yes",1,0)</f>
        <v/>
      </c>
      <c r="K1036" s="2">
        <f>MIN(MAX(1-(D1036-1)/4,0),1)</f>
        <v/>
      </c>
      <c r="L1036" s="2">
        <f>MIN(E1036/60,1)</f>
        <v/>
      </c>
      <c r="M1036" s="2">
        <f>MIN(MAX(1-G1036,0),1)</f>
        <v/>
      </c>
      <c r="N1036" s="2">
        <f>MIN(MAX(1-(H1036-1)/4,0),1)</f>
        <v/>
      </c>
      <c r="O1036" s="2">
        <f>1-MIN(I1036/8,1)</f>
        <v/>
      </c>
      <c r="P1036" s="10">
        <f>ROUND(100*(J1036*Assumptions!$B$6+K1036*Assumptions!$B$7+L1036*Assumptions!$B$8+M1036*Assumptions!$B$9+N1036*Assumptions!$B$10+O1036*Assumptions!$B$11),1)</f>
        <v/>
      </c>
      <c r="Q1036" s="2">
        <f>IF(P1036&gt;=Assumptions!$B$14,"High",IF(P1036&gt;=Assumptions!$B$15,"Medium","Low"))</f>
        <v/>
      </c>
      <c r="R1036" s="2">
        <f>Cleaned_Data!L1036</f>
        <v/>
      </c>
    </row>
    <row r="1037">
      <c r="A1037" s="2">
        <f>Cleaned_Data!A1037</f>
        <v/>
      </c>
      <c r="B1037" s="2">
        <f>Cleaned_Data!B1037</f>
        <v/>
      </c>
      <c r="C1037" s="2">
        <f>Cleaned_Data!G1037</f>
        <v/>
      </c>
      <c r="D1037" s="2">
        <f>Cleaned_Data!I1037</f>
        <v/>
      </c>
      <c r="E1037" s="2">
        <f>Cleaned_Data!H1037</f>
        <v/>
      </c>
      <c r="F1037" s="2">
        <f>Cleaned_Data!F1037</f>
        <v/>
      </c>
      <c r="G1037" s="9">
        <f>SUMPRODUCT(($B$2:$B$1196=B1037)*($F$2:$F$1196&lt;=F1037))/SUMPRODUCT(($B$2:$B$1196=B1037)*1)</f>
        <v/>
      </c>
      <c r="H1037" s="2">
        <f>Cleaned_Data!J1037</f>
        <v/>
      </c>
      <c r="I1037" s="2">
        <f>Cleaned_Data!E1037</f>
        <v/>
      </c>
      <c r="J1037" s="2">
        <f>IF(C1037="Yes",1,0)</f>
        <v/>
      </c>
      <c r="K1037" s="2">
        <f>MIN(MAX(1-(D1037-1)/4,0),1)</f>
        <v/>
      </c>
      <c r="L1037" s="2">
        <f>MIN(E1037/60,1)</f>
        <v/>
      </c>
      <c r="M1037" s="2">
        <f>MIN(MAX(1-G1037,0),1)</f>
        <v/>
      </c>
      <c r="N1037" s="2">
        <f>MIN(MAX(1-(H1037-1)/4,0),1)</f>
        <v/>
      </c>
      <c r="O1037" s="2">
        <f>1-MIN(I1037/8,1)</f>
        <v/>
      </c>
      <c r="P1037" s="10">
        <f>ROUND(100*(J1037*Assumptions!$B$6+K1037*Assumptions!$B$7+L1037*Assumptions!$B$8+M1037*Assumptions!$B$9+N1037*Assumptions!$B$10+O1037*Assumptions!$B$11),1)</f>
        <v/>
      </c>
      <c r="Q1037" s="2">
        <f>IF(P1037&gt;=Assumptions!$B$14,"High",IF(P1037&gt;=Assumptions!$B$15,"Medium","Low"))</f>
        <v/>
      </c>
      <c r="R1037" s="2">
        <f>Cleaned_Data!L1037</f>
        <v/>
      </c>
    </row>
    <row r="1038">
      <c r="A1038" s="2">
        <f>Cleaned_Data!A1038</f>
        <v/>
      </c>
      <c r="B1038" s="2">
        <f>Cleaned_Data!B1038</f>
        <v/>
      </c>
      <c r="C1038" s="2">
        <f>Cleaned_Data!G1038</f>
        <v/>
      </c>
      <c r="D1038" s="2">
        <f>Cleaned_Data!I1038</f>
        <v/>
      </c>
      <c r="E1038" s="2">
        <f>Cleaned_Data!H1038</f>
        <v/>
      </c>
      <c r="F1038" s="2">
        <f>Cleaned_Data!F1038</f>
        <v/>
      </c>
      <c r="G1038" s="9">
        <f>SUMPRODUCT(($B$2:$B$1196=B1038)*($F$2:$F$1196&lt;=F1038))/SUMPRODUCT(($B$2:$B$1196=B1038)*1)</f>
        <v/>
      </c>
      <c r="H1038" s="2">
        <f>Cleaned_Data!J1038</f>
        <v/>
      </c>
      <c r="I1038" s="2">
        <f>Cleaned_Data!E1038</f>
        <v/>
      </c>
      <c r="J1038" s="2">
        <f>IF(C1038="Yes",1,0)</f>
        <v/>
      </c>
      <c r="K1038" s="2">
        <f>MIN(MAX(1-(D1038-1)/4,0),1)</f>
        <v/>
      </c>
      <c r="L1038" s="2">
        <f>MIN(E1038/60,1)</f>
        <v/>
      </c>
      <c r="M1038" s="2">
        <f>MIN(MAX(1-G1038,0),1)</f>
        <v/>
      </c>
      <c r="N1038" s="2">
        <f>MIN(MAX(1-(H1038-1)/4,0),1)</f>
        <v/>
      </c>
      <c r="O1038" s="2">
        <f>1-MIN(I1038/8,1)</f>
        <v/>
      </c>
      <c r="P1038" s="10">
        <f>ROUND(100*(J1038*Assumptions!$B$6+K1038*Assumptions!$B$7+L1038*Assumptions!$B$8+M1038*Assumptions!$B$9+N1038*Assumptions!$B$10+O1038*Assumptions!$B$11),1)</f>
        <v/>
      </c>
      <c r="Q1038" s="2">
        <f>IF(P1038&gt;=Assumptions!$B$14,"High",IF(P1038&gt;=Assumptions!$B$15,"Medium","Low"))</f>
        <v/>
      </c>
      <c r="R1038" s="2">
        <f>Cleaned_Data!L1038</f>
        <v/>
      </c>
    </row>
    <row r="1039">
      <c r="A1039" s="2">
        <f>Cleaned_Data!A1039</f>
        <v/>
      </c>
      <c r="B1039" s="2">
        <f>Cleaned_Data!B1039</f>
        <v/>
      </c>
      <c r="C1039" s="2">
        <f>Cleaned_Data!G1039</f>
        <v/>
      </c>
      <c r="D1039" s="2">
        <f>Cleaned_Data!I1039</f>
        <v/>
      </c>
      <c r="E1039" s="2">
        <f>Cleaned_Data!H1039</f>
        <v/>
      </c>
      <c r="F1039" s="2">
        <f>Cleaned_Data!F1039</f>
        <v/>
      </c>
      <c r="G1039" s="9">
        <f>SUMPRODUCT(($B$2:$B$1196=B1039)*($F$2:$F$1196&lt;=F1039))/SUMPRODUCT(($B$2:$B$1196=B1039)*1)</f>
        <v/>
      </c>
      <c r="H1039" s="2">
        <f>Cleaned_Data!J1039</f>
        <v/>
      </c>
      <c r="I1039" s="2">
        <f>Cleaned_Data!E1039</f>
        <v/>
      </c>
      <c r="J1039" s="2">
        <f>IF(C1039="Yes",1,0)</f>
        <v/>
      </c>
      <c r="K1039" s="2">
        <f>MIN(MAX(1-(D1039-1)/4,0),1)</f>
        <v/>
      </c>
      <c r="L1039" s="2">
        <f>MIN(E1039/60,1)</f>
        <v/>
      </c>
      <c r="M1039" s="2">
        <f>MIN(MAX(1-G1039,0),1)</f>
        <v/>
      </c>
      <c r="N1039" s="2">
        <f>MIN(MAX(1-(H1039-1)/4,0),1)</f>
        <v/>
      </c>
      <c r="O1039" s="2">
        <f>1-MIN(I1039/8,1)</f>
        <v/>
      </c>
      <c r="P1039" s="10">
        <f>ROUND(100*(J1039*Assumptions!$B$6+K1039*Assumptions!$B$7+L1039*Assumptions!$B$8+M1039*Assumptions!$B$9+N1039*Assumptions!$B$10+O1039*Assumptions!$B$11),1)</f>
        <v/>
      </c>
      <c r="Q1039" s="2">
        <f>IF(P1039&gt;=Assumptions!$B$14,"High",IF(P1039&gt;=Assumptions!$B$15,"Medium","Low"))</f>
        <v/>
      </c>
      <c r="R1039" s="2">
        <f>Cleaned_Data!L1039</f>
        <v/>
      </c>
    </row>
    <row r="1040">
      <c r="A1040" s="2">
        <f>Cleaned_Data!A1040</f>
        <v/>
      </c>
      <c r="B1040" s="2">
        <f>Cleaned_Data!B1040</f>
        <v/>
      </c>
      <c r="C1040" s="2">
        <f>Cleaned_Data!G1040</f>
        <v/>
      </c>
      <c r="D1040" s="2">
        <f>Cleaned_Data!I1040</f>
        <v/>
      </c>
      <c r="E1040" s="2">
        <f>Cleaned_Data!H1040</f>
        <v/>
      </c>
      <c r="F1040" s="2">
        <f>Cleaned_Data!F1040</f>
        <v/>
      </c>
      <c r="G1040" s="9">
        <f>SUMPRODUCT(($B$2:$B$1196=B1040)*($F$2:$F$1196&lt;=F1040))/SUMPRODUCT(($B$2:$B$1196=B1040)*1)</f>
        <v/>
      </c>
      <c r="H1040" s="2">
        <f>Cleaned_Data!J1040</f>
        <v/>
      </c>
      <c r="I1040" s="2">
        <f>Cleaned_Data!E1040</f>
        <v/>
      </c>
      <c r="J1040" s="2">
        <f>IF(C1040="Yes",1,0)</f>
        <v/>
      </c>
      <c r="K1040" s="2">
        <f>MIN(MAX(1-(D1040-1)/4,0),1)</f>
        <v/>
      </c>
      <c r="L1040" s="2">
        <f>MIN(E1040/60,1)</f>
        <v/>
      </c>
      <c r="M1040" s="2">
        <f>MIN(MAX(1-G1040,0),1)</f>
        <v/>
      </c>
      <c r="N1040" s="2">
        <f>MIN(MAX(1-(H1040-1)/4,0),1)</f>
        <v/>
      </c>
      <c r="O1040" s="2">
        <f>1-MIN(I1040/8,1)</f>
        <v/>
      </c>
      <c r="P1040" s="10">
        <f>ROUND(100*(J1040*Assumptions!$B$6+K1040*Assumptions!$B$7+L1040*Assumptions!$B$8+M1040*Assumptions!$B$9+N1040*Assumptions!$B$10+O1040*Assumptions!$B$11),1)</f>
        <v/>
      </c>
      <c r="Q1040" s="2">
        <f>IF(P1040&gt;=Assumptions!$B$14,"High",IF(P1040&gt;=Assumptions!$B$15,"Medium","Low"))</f>
        <v/>
      </c>
      <c r="R1040" s="2">
        <f>Cleaned_Data!L1040</f>
        <v/>
      </c>
    </row>
    <row r="1041">
      <c r="A1041" s="2">
        <f>Cleaned_Data!A1041</f>
        <v/>
      </c>
      <c r="B1041" s="2">
        <f>Cleaned_Data!B1041</f>
        <v/>
      </c>
      <c r="C1041" s="2">
        <f>Cleaned_Data!G1041</f>
        <v/>
      </c>
      <c r="D1041" s="2">
        <f>Cleaned_Data!I1041</f>
        <v/>
      </c>
      <c r="E1041" s="2">
        <f>Cleaned_Data!H1041</f>
        <v/>
      </c>
      <c r="F1041" s="2">
        <f>Cleaned_Data!F1041</f>
        <v/>
      </c>
      <c r="G1041" s="9">
        <f>SUMPRODUCT(($B$2:$B$1196=B1041)*($F$2:$F$1196&lt;=F1041))/SUMPRODUCT(($B$2:$B$1196=B1041)*1)</f>
        <v/>
      </c>
      <c r="H1041" s="2">
        <f>Cleaned_Data!J1041</f>
        <v/>
      </c>
      <c r="I1041" s="2">
        <f>Cleaned_Data!E1041</f>
        <v/>
      </c>
      <c r="J1041" s="2">
        <f>IF(C1041="Yes",1,0)</f>
        <v/>
      </c>
      <c r="K1041" s="2">
        <f>MIN(MAX(1-(D1041-1)/4,0),1)</f>
        <v/>
      </c>
      <c r="L1041" s="2">
        <f>MIN(E1041/60,1)</f>
        <v/>
      </c>
      <c r="M1041" s="2">
        <f>MIN(MAX(1-G1041,0),1)</f>
        <v/>
      </c>
      <c r="N1041" s="2">
        <f>MIN(MAX(1-(H1041-1)/4,0),1)</f>
        <v/>
      </c>
      <c r="O1041" s="2">
        <f>1-MIN(I1041/8,1)</f>
        <v/>
      </c>
      <c r="P1041" s="10">
        <f>ROUND(100*(J1041*Assumptions!$B$6+K1041*Assumptions!$B$7+L1041*Assumptions!$B$8+M1041*Assumptions!$B$9+N1041*Assumptions!$B$10+O1041*Assumptions!$B$11),1)</f>
        <v/>
      </c>
      <c r="Q1041" s="2">
        <f>IF(P1041&gt;=Assumptions!$B$14,"High",IF(P1041&gt;=Assumptions!$B$15,"Medium","Low"))</f>
        <v/>
      </c>
      <c r="R1041" s="2">
        <f>Cleaned_Data!L1041</f>
        <v/>
      </c>
    </row>
    <row r="1042">
      <c r="A1042" s="2">
        <f>Cleaned_Data!A1042</f>
        <v/>
      </c>
      <c r="B1042" s="2">
        <f>Cleaned_Data!B1042</f>
        <v/>
      </c>
      <c r="C1042" s="2">
        <f>Cleaned_Data!G1042</f>
        <v/>
      </c>
      <c r="D1042" s="2">
        <f>Cleaned_Data!I1042</f>
        <v/>
      </c>
      <c r="E1042" s="2">
        <f>Cleaned_Data!H1042</f>
        <v/>
      </c>
      <c r="F1042" s="2">
        <f>Cleaned_Data!F1042</f>
        <v/>
      </c>
      <c r="G1042" s="9">
        <f>SUMPRODUCT(($B$2:$B$1196=B1042)*($F$2:$F$1196&lt;=F1042))/SUMPRODUCT(($B$2:$B$1196=B1042)*1)</f>
        <v/>
      </c>
      <c r="H1042" s="2">
        <f>Cleaned_Data!J1042</f>
        <v/>
      </c>
      <c r="I1042" s="2">
        <f>Cleaned_Data!E1042</f>
        <v/>
      </c>
      <c r="J1042" s="2">
        <f>IF(C1042="Yes",1,0)</f>
        <v/>
      </c>
      <c r="K1042" s="2">
        <f>MIN(MAX(1-(D1042-1)/4,0),1)</f>
        <v/>
      </c>
      <c r="L1042" s="2">
        <f>MIN(E1042/60,1)</f>
        <v/>
      </c>
      <c r="M1042" s="2">
        <f>MIN(MAX(1-G1042,0),1)</f>
        <v/>
      </c>
      <c r="N1042" s="2">
        <f>MIN(MAX(1-(H1042-1)/4,0),1)</f>
        <v/>
      </c>
      <c r="O1042" s="2">
        <f>1-MIN(I1042/8,1)</f>
        <v/>
      </c>
      <c r="P1042" s="10">
        <f>ROUND(100*(J1042*Assumptions!$B$6+K1042*Assumptions!$B$7+L1042*Assumptions!$B$8+M1042*Assumptions!$B$9+N1042*Assumptions!$B$10+O1042*Assumptions!$B$11),1)</f>
        <v/>
      </c>
      <c r="Q1042" s="2">
        <f>IF(P1042&gt;=Assumptions!$B$14,"High",IF(P1042&gt;=Assumptions!$B$15,"Medium","Low"))</f>
        <v/>
      </c>
      <c r="R1042" s="2">
        <f>Cleaned_Data!L1042</f>
        <v/>
      </c>
    </row>
    <row r="1043">
      <c r="A1043" s="2">
        <f>Cleaned_Data!A1043</f>
        <v/>
      </c>
      <c r="B1043" s="2">
        <f>Cleaned_Data!B1043</f>
        <v/>
      </c>
      <c r="C1043" s="2">
        <f>Cleaned_Data!G1043</f>
        <v/>
      </c>
      <c r="D1043" s="2">
        <f>Cleaned_Data!I1043</f>
        <v/>
      </c>
      <c r="E1043" s="2">
        <f>Cleaned_Data!H1043</f>
        <v/>
      </c>
      <c r="F1043" s="2">
        <f>Cleaned_Data!F1043</f>
        <v/>
      </c>
      <c r="G1043" s="9">
        <f>SUMPRODUCT(($B$2:$B$1196=B1043)*($F$2:$F$1196&lt;=F1043))/SUMPRODUCT(($B$2:$B$1196=B1043)*1)</f>
        <v/>
      </c>
      <c r="H1043" s="2">
        <f>Cleaned_Data!J1043</f>
        <v/>
      </c>
      <c r="I1043" s="2">
        <f>Cleaned_Data!E1043</f>
        <v/>
      </c>
      <c r="J1043" s="2">
        <f>IF(C1043="Yes",1,0)</f>
        <v/>
      </c>
      <c r="K1043" s="2">
        <f>MIN(MAX(1-(D1043-1)/4,0),1)</f>
        <v/>
      </c>
      <c r="L1043" s="2">
        <f>MIN(E1043/60,1)</f>
        <v/>
      </c>
      <c r="M1043" s="2">
        <f>MIN(MAX(1-G1043,0),1)</f>
        <v/>
      </c>
      <c r="N1043" s="2">
        <f>MIN(MAX(1-(H1043-1)/4,0),1)</f>
        <v/>
      </c>
      <c r="O1043" s="2">
        <f>1-MIN(I1043/8,1)</f>
        <v/>
      </c>
      <c r="P1043" s="10">
        <f>ROUND(100*(J1043*Assumptions!$B$6+K1043*Assumptions!$B$7+L1043*Assumptions!$B$8+M1043*Assumptions!$B$9+N1043*Assumptions!$B$10+O1043*Assumptions!$B$11),1)</f>
        <v/>
      </c>
      <c r="Q1043" s="2">
        <f>IF(P1043&gt;=Assumptions!$B$14,"High",IF(P1043&gt;=Assumptions!$B$15,"Medium","Low"))</f>
        <v/>
      </c>
      <c r="R1043" s="2">
        <f>Cleaned_Data!L1043</f>
        <v/>
      </c>
    </row>
    <row r="1044">
      <c r="A1044" s="2">
        <f>Cleaned_Data!A1044</f>
        <v/>
      </c>
      <c r="B1044" s="2">
        <f>Cleaned_Data!B1044</f>
        <v/>
      </c>
      <c r="C1044" s="2">
        <f>Cleaned_Data!G1044</f>
        <v/>
      </c>
      <c r="D1044" s="2">
        <f>Cleaned_Data!I1044</f>
        <v/>
      </c>
      <c r="E1044" s="2">
        <f>Cleaned_Data!H1044</f>
        <v/>
      </c>
      <c r="F1044" s="2">
        <f>Cleaned_Data!F1044</f>
        <v/>
      </c>
      <c r="G1044" s="9">
        <f>SUMPRODUCT(($B$2:$B$1196=B1044)*($F$2:$F$1196&lt;=F1044))/SUMPRODUCT(($B$2:$B$1196=B1044)*1)</f>
        <v/>
      </c>
      <c r="H1044" s="2">
        <f>Cleaned_Data!J1044</f>
        <v/>
      </c>
      <c r="I1044" s="2">
        <f>Cleaned_Data!E1044</f>
        <v/>
      </c>
      <c r="J1044" s="2">
        <f>IF(C1044="Yes",1,0)</f>
        <v/>
      </c>
      <c r="K1044" s="2">
        <f>MIN(MAX(1-(D1044-1)/4,0),1)</f>
        <v/>
      </c>
      <c r="L1044" s="2">
        <f>MIN(E1044/60,1)</f>
        <v/>
      </c>
      <c r="M1044" s="2">
        <f>MIN(MAX(1-G1044,0),1)</f>
        <v/>
      </c>
      <c r="N1044" s="2">
        <f>MIN(MAX(1-(H1044-1)/4,0),1)</f>
        <v/>
      </c>
      <c r="O1044" s="2">
        <f>1-MIN(I1044/8,1)</f>
        <v/>
      </c>
      <c r="P1044" s="10">
        <f>ROUND(100*(J1044*Assumptions!$B$6+K1044*Assumptions!$B$7+L1044*Assumptions!$B$8+M1044*Assumptions!$B$9+N1044*Assumptions!$B$10+O1044*Assumptions!$B$11),1)</f>
        <v/>
      </c>
      <c r="Q1044" s="2">
        <f>IF(P1044&gt;=Assumptions!$B$14,"High",IF(P1044&gt;=Assumptions!$B$15,"Medium","Low"))</f>
        <v/>
      </c>
      <c r="R1044" s="2">
        <f>Cleaned_Data!L1044</f>
        <v/>
      </c>
    </row>
    <row r="1045">
      <c r="A1045" s="2">
        <f>Cleaned_Data!A1045</f>
        <v/>
      </c>
      <c r="B1045" s="2">
        <f>Cleaned_Data!B1045</f>
        <v/>
      </c>
      <c r="C1045" s="2">
        <f>Cleaned_Data!G1045</f>
        <v/>
      </c>
      <c r="D1045" s="2">
        <f>Cleaned_Data!I1045</f>
        <v/>
      </c>
      <c r="E1045" s="2">
        <f>Cleaned_Data!H1045</f>
        <v/>
      </c>
      <c r="F1045" s="2">
        <f>Cleaned_Data!F1045</f>
        <v/>
      </c>
      <c r="G1045" s="9">
        <f>SUMPRODUCT(($B$2:$B$1196=B1045)*($F$2:$F$1196&lt;=F1045))/SUMPRODUCT(($B$2:$B$1196=B1045)*1)</f>
        <v/>
      </c>
      <c r="H1045" s="2">
        <f>Cleaned_Data!J1045</f>
        <v/>
      </c>
      <c r="I1045" s="2">
        <f>Cleaned_Data!E1045</f>
        <v/>
      </c>
      <c r="J1045" s="2">
        <f>IF(C1045="Yes",1,0)</f>
        <v/>
      </c>
      <c r="K1045" s="2">
        <f>MIN(MAX(1-(D1045-1)/4,0),1)</f>
        <v/>
      </c>
      <c r="L1045" s="2">
        <f>MIN(E1045/60,1)</f>
        <v/>
      </c>
      <c r="M1045" s="2">
        <f>MIN(MAX(1-G1045,0),1)</f>
        <v/>
      </c>
      <c r="N1045" s="2">
        <f>MIN(MAX(1-(H1045-1)/4,0),1)</f>
        <v/>
      </c>
      <c r="O1045" s="2">
        <f>1-MIN(I1045/8,1)</f>
        <v/>
      </c>
      <c r="P1045" s="10">
        <f>ROUND(100*(J1045*Assumptions!$B$6+K1045*Assumptions!$B$7+L1045*Assumptions!$B$8+M1045*Assumptions!$B$9+N1045*Assumptions!$B$10+O1045*Assumptions!$B$11),1)</f>
        <v/>
      </c>
      <c r="Q1045" s="2">
        <f>IF(P1045&gt;=Assumptions!$B$14,"High",IF(P1045&gt;=Assumptions!$B$15,"Medium","Low"))</f>
        <v/>
      </c>
      <c r="R1045" s="2">
        <f>Cleaned_Data!L1045</f>
        <v/>
      </c>
    </row>
    <row r="1046">
      <c r="A1046" s="2">
        <f>Cleaned_Data!A1046</f>
        <v/>
      </c>
      <c r="B1046" s="2">
        <f>Cleaned_Data!B1046</f>
        <v/>
      </c>
      <c r="C1046" s="2">
        <f>Cleaned_Data!G1046</f>
        <v/>
      </c>
      <c r="D1046" s="2">
        <f>Cleaned_Data!I1046</f>
        <v/>
      </c>
      <c r="E1046" s="2">
        <f>Cleaned_Data!H1046</f>
        <v/>
      </c>
      <c r="F1046" s="2">
        <f>Cleaned_Data!F1046</f>
        <v/>
      </c>
      <c r="G1046" s="9">
        <f>SUMPRODUCT(($B$2:$B$1196=B1046)*($F$2:$F$1196&lt;=F1046))/SUMPRODUCT(($B$2:$B$1196=B1046)*1)</f>
        <v/>
      </c>
      <c r="H1046" s="2">
        <f>Cleaned_Data!J1046</f>
        <v/>
      </c>
      <c r="I1046" s="2">
        <f>Cleaned_Data!E1046</f>
        <v/>
      </c>
      <c r="J1046" s="2">
        <f>IF(C1046="Yes",1,0)</f>
        <v/>
      </c>
      <c r="K1046" s="2">
        <f>MIN(MAX(1-(D1046-1)/4,0),1)</f>
        <v/>
      </c>
      <c r="L1046" s="2">
        <f>MIN(E1046/60,1)</f>
        <v/>
      </c>
      <c r="M1046" s="2">
        <f>MIN(MAX(1-G1046,0),1)</f>
        <v/>
      </c>
      <c r="N1046" s="2">
        <f>MIN(MAX(1-(H1046-1)/4,0),1)</f>
        <v/>
      </c>
      <c r="O1046" s="2">
        <f>1-MIN(I1046/8,1)</f>
        <v/>
      </c>
      <c r="P1046" s="10">
        <f>ROUND(100*(J1046*Assumptions!$B$6+K1046*Assumptions!$B$7+L1046*Assumptions!$B$8+M1046*Assumptions!$B$9+N1046*Assumptions!$B$10+O1046*Assumptions!$B$11),1)</f>
        <v/>
      </c>
      <c r="Q1046" s="2">
        <f>IF(P1046&gt;=Assumptions!$B$14,"High",IF(P1046&gt;=Assumptions!$B$15,"Medium","Low"))</f>
        <v/>
      </c>
      <c r="R1046" s="2">
        <f>Cleaned_Data!L1046</f>
        <v/>
      </c>
    </row>
    <row r="1047">
      <c r="A1047" s="2">
        <f>Cleaned_Data!A1047</f>
        <v/>
      </c>
      <c r="B1047" s="2">
        <f>Cleaned_Data!B1047</f>
        <v/>
      </c>
      <c r="C1047" s="2">
        <f>Cleaned_Data!G1047</f>
        <v/>
      </c>
      <c r="D1047" s="2">
        <f>Cleaned_Data!I1047</f>
        <v/>
      </c>
      <c r="E1047" s="2">
        <f>Cleaned_Data!H1047</f>
        <v/>
      </c>
      <c r="F1047" s="2">
        <f>Cleaned_Data!F1047</f>
        <v/>
      </c>
      <c r="G1047" s="9">
        <f>SUMPRODUCT(($B$2:$B$1196=B1047)*($F$2:$F$1196&lt;=F1047))/SUMPRODUCT(($B$2:$B$1196=B1047)*1)</f>
        <v/>
      </c>
      <c r="H1047" s="2">
        <f>Cleaned_Data!J1047</f>
        <v/>
      </c>
      <c r="I1047" s="2">
        <f>Cleaned_Data!E1047</f>
        <v/>
      </c>
      <c r="J1047" s="2">
        <f>IF(C1047="Yes",1,0)</f>
        <v/>
      </c>
      <c r="K1047" s="2">
        <f>MIN(MAX(1-(D1047-1)/4,0),1)</f>
        <v/>
      </c>
      <c r="L1047" s="2">
        <f>MIN(E1047/60,1)</f>
        <v/>
      </c>
      <c r="M1047" s="2">
        <f>MIN(MAX(1-G1047,0),1)</f>
        <v/>
      </c>
      <c r="N1047" s="2">
        <f>MIN(MAX(1-(H1047-1)/4,0),1)</f>
        <v/>
      </c>
      <c r="O1047" s="2">
        <f>1-MIN(I1047/8,1)</f>
        <v/>
      </c>
      <c r="P1047" s="10">
        <f>ROUND(100*(J1047*Assumptions!$B$6+K1047*Assumptions!$B$7+L1047*Assumptions!$B$8+M1047*Assumptions!$B$9+N1047*Assumptions!$B$10+O1047*Assumptions!$B$11),1)</f>
        <v/>
      </c>
      <c r="Q1047" s="2">
        <f>IF(P1047&gt;=Assumptions!$B$14,"High",IF(P1047&gt;=Assumptions!$B$15,"Medium","Low"))</f>
        <v/>
      </c>
      <c r="R1047" s="2">
        <f>Cleaned_Data!L1047</f>
        <v/>
      </c>
    </row>
    <row r="1048">
      <c r="A1048" s="2">
        <f>Cleaned_Data!A1048</f>
        <v/>
      </c>
      <c r="B1048" s="2">
        <f>Cleaned_Data!B1048</f>
        <v/>
      </c>
      <c r="C1048" s="2">
        <f>Cleaned_Data!G1048</f>
        <v/>
      </c>
      <c r="D1048" s="2">
        <f>Cleaned_Data!I1048</f>
        <v/>
      </c>
      <c r="E1048" s="2">
        <f>Cleaned_Data!H1048</f>
        <v/>
      </c>
      <c r="F1048" s="2">
        <f>Cleaned_Data!F1048</f>
        <v/>
      </c>
      <c r="G1048" s="9">
        <f>SUMPRODUCT(($B$2:$B$1196=B1048)*($F$2:$F$1196&lt;=F1048))/SUMPRODUCT(($B$2:$B$1196=B1048)*1)</f>
        <v/>
      </c>
      <c r="H1048" s="2">
        <f>Cleaned_Data!J1048</f>
        <v/>
      </c>
      <c r="I1048" s="2">
        <f>Cleaned_Data!E1048</f>
        <v/>
      </c>
      <c r="J1048" s="2">
        <f>IF(C1048="Yes",1,0)</f>
        <v/>
      </c>
      <c r="K1048" s="2">
        <f>MIN(MAX(1-(D1048-1)/4,0),1)</f>
        <v/>
      </c>
      <c r="L1048" s="2">
        <f>MIN(E1048/60,1)</f>
        <v/>
      </c>
      <c r="M1048" s="2">
        <f>MIN(MAX(1-G1048,0),1)</f>
        <v/>
      </c>
      <c r="N1048" s="2">
        <f>MIN(MAX(1-(H1048-1)/4,0),1)</f>
        <v/>
      </c>
      <c r="O1048" s="2">
        <f>1-MIN(I1048/8,1)</f>
        <v/>
      </c>
      <c r="P1048" s="10">
        <f>ROUND(100*(J1048*Assumptions!$B$6+K1048*Assumptions!$B$7+L1048*Assumptions!$B$8+M1048*Assumptions!$B$9+N1048*Assumptions!$B$10+O1048*Assumptions!$B$11),1)</f>
        <v/>
      </c>
      <c r="Q1048" s="2">
        <f>IF(P1048&gt;=Assumptions!$B$14,"High",IF(P1048&gt;=Assumptions!$B$15,"Medium","Low"))</f>
        <v/>
      </c>
      <c r="R1048" s="2">
        <f>Cleaned_Data!L1048</f>
        <v/>
      </c>
    </row>
    <row r="1049">
      <c r="A1049" s="2">
        <f>Cleaned_Data!A1049</f>
        <v/>
      </c>
      <c r="B1049" s="2">
        <f>Cleaned_Data!B1049</f>
        <v/>
      </c>
      <c r="C1049" s="2">
        <f>Cleaned_Data!G1049</f>
        <v/>
      </c>
      <c r="D1049" s="2">
        <f>Cleaned_Data!I1049</f>
        <v/>
      </c>
      <c r="E1049" s="2">
        <f>Cleaned_Data!H1049</f>
        <v/>
      </c>
      <c r="F1049" s="2">
        <f>Cleaned_Data!F1049</f>
        <v/>
      </c>
      <c r="G1049" s="9">
        <f>SUMPRODUCT(($B$2:$B$1196=B1049)*($F$2:$F$1196&lt;=F1049))/SUMPRODUCT(($B$2:$B$1196=B1049)*1)</f>
        <v/>
      </c>
      <c r="H1049" s="2">
        <f>Cleaned_Data!J1049</f>
        <v/>
      </c>
      <c r="I1049" s="2">
        <f>Cleaned_Data!E1049</f>
        <v/>
      </c>
      <c r="J1049" s="2">
        <f>IF(C1049="Yes",1,0)</f>
        <v/>
      </c>
      <c r="K1049" s="2">
        <f>MIN(MAX(1-(D1049-1)/4,0),1)</f>
        <v/>
      </c>
      <c r="L1049" s="2">
        <f>MIN(E1049/60,1)</f>
        <v/>
      </c>
      <c r="M1049" s="2">
        <f>MIN(MAX(1-G1049,0),1)</f>
        <v/>
      </c>
      <c r="N1049" s="2">
        <f>MIN(MAX(1-(H1049-1)/4,0),1)</f>
        <v/>
      </c>
      <c r="O1049" s="2">
        <f>1-MIN(I1049/8,1)</f>
        <v/>
      </c>
      <c r="P1049" s="10">
        <f>ROUND(100*(J1049*Assumptions!$B$6+K1049*Assumptions!$B$7+L1049*Assumptions!$B$8+M1049*Assumptions!$B$9+N1049*Assumptions!$B$10+O1049*Assumptions!$B$11),1)</f>
        <v/>
      </c>
      <c r="Q1049" s="2">
        <f>IF(P1049&gt;=Assumptions!$B$14,"High",IF(P1049&gt;=Assumptions!$B$15,"Medium","Low"))</f>
        <v/>
      </c>
      <c r="R1049" s="2">
        <f>Cleaned_Data!L1049</f>
        <v/>
      </c>
    </row>
    <row r="1050">
      <c r="A1050" s="2">
        <f>Cleaned_Data!A1050</f>
        <v/>
      </c>
      <c r="B1050" s="2">
        <f>Cleaned_Data!B1050</f>
        <v/>
      </c>
      <c r="C1050" s="2">
        <f>Cleaned_Data!G1050</f>
        <v/>
      </c>
      <c r="D1050" s="2">
        <f>Cleaned_Data!I1050</f>
        <v/>
      </c>
      <c r="E1050" s="2">
        <f>Cleaned_Data!H1050</f>
        <v/>
      </c>
      <c r="F1050" s="2">
        <f>Cleaned_Data!F1050</f>
        <v/>
      </c>
      <c r="G1050" s="9">
        <f>SUMPRODUCT(($B$2:$B$1196=B1050)*($F$2:$F$1196&lt;=F1050))/SUMPRODUCT(($B$2:$B$1196=B1050)*1)</f>
        <v/>
      </c>
      <c r="H1050" s="2">
        <f>Cleaned_Data!J1050</f>
        <v/>
      </c>
      <c r="I1050" s="2">
        <f>Cleaned_Data!E1050</f>
        <v/>
      </c>
      <c r="J1050" s="2">
        <f>IF(C1050="Yes",1,0)</f>
        <v/>
      </c>
      <c r="K1050" s="2">
        <f>MIN(MAX(1-(D1050-1)/4,0),1)</f>
        <v/>
      </c>
      <c r="L1050" s="2">
        <f>MIN(E1050/60,1)</f>
        <v/>
      </c>
      <c r="M1050" s="2">
        <f>MIN(MAX(1-G1050,0),1)</f>
        <v/>
      </c>
      <c r="N1050" s="2">
        <f>MIN(MAX(1-(H1050-1)/4,0),1)</f>
        <v/>
      </c>
      <c r="O1050" s="2">
        <f>1-MIN(I1050/8,1)</f>
        <v/>
      </c>
      <c r="P1050" s="10">
        <f>ROUND(100*(J1050*Assumptions!$B$6+K1050*Assumptions!$B$7+L1050*Assumptions!$B$8+M1050*Assumptions!$B$9+N1050*Assumptions!$B$10+O1050*Assumptions!$B$11),1)</f>
        <v/>
      </c>
      <c r="Q1050" s="2">
        <f>IF(P1050&gt;=Assumptions!$B$14,"High",IF(P1050&gt;=Assumptions!$B$15,"Medium","Low"))</f>
        <v/>
      </c>
      <c r="R1050" s="2">
        <f>Cleaned_Data!L1050</f>
        <v/>
      </c>
    </row>
    <row r="1051">
      <c r="A1051" s="2">
        <f>Cleaned_Data!A1051</f>
        <v/>
      </c>
      <c r="B1051" s="2">
        <f>Cleaned_Data!B1051</f>
        <v/>
      </c>
      <c r="C1051" s="2">
        <f>Cleaned_Data!G1051</f>
        <v/>
      </c>
      <c r="D1051" s="2">
        <f>Cleaned_Data!I1051</f>
        <v/>
      </c>
      <c r="E1051" s="2">
        <f>Cleaned_Data!H1051</f>
        <v/>
      </c>
      <c r="F1051" s="2">
        <f>Cleaned_Data!F1051</f>
        <v/>
      </c>
      <c r="G1051" s="9">
        <f>SUMPRODUCT(($B$2:$B$1196=B1051)*($F$2:$F$1196&lt;=F1051))/SUMPRODUCT(($B$2:$B$1196=B1051)*1)</f>
        <v/>
      </c>
      <c r="H1051" s="2">
        <f>Cleaned_Data!J1051</f>
        <v/>
      </c>
      <c r="I1051" s="2">
        <f>Cleaned_Data!E1051</f>
        <v/>
      </c>
      <c r="J1051" s="2">
        <f>IF(C1051="Yes",1,0)</f>
        <v/>
      </c>
      <c r="K1051" s="2">
        <f>MIN(MAX(1-(D1051-1)/4,0),1)</f>
        <v/>
      </c>
      <c r="L1051" s="2">
        <f>MIN(E1051/60,1)</f>
        <v/>
      </c>
      <c r="M1051" s="2">
        <f>MIN(MAX(1-G1051,0),1)</f>
        <v/>
      </c>
      <c r="N1051" s="2">
        <f>MIN(MAX(1-(H1051-1)/4,0),1)</f>
        <v/>
      </c>
      <c r="O1051" s="2">
        <f>1-MIN(I1051/8,1)</f>
        <v/>
      </c>
      <c r="P1051" s="10">
        <f>ROUND(100*(J1051*Assumptions!$B$6+K1051*Assumptions!$B$7+L1051*Assumptions!$B$8+M1051*Assumptions!$B$9+N1051*Assumptions!$B$10+O1051*Assumptions!$B$11),1)</f>
        <v/>
      </c>
      <c r="Q1051" s="2">
        <f>IF(P1051&gt;=Assumptions!$B$14,"High",IF(P1051&gt;=Assumptions!$B$15,"Medium","Low"))</f>
        <v/>
      </c>
      <c r="R1051" s="2">
        <f>Cleaned_Data!L1051</f>
        <v/>
      </c>
    </row>
    <row r="1052">
      <c r="A1052" s="2">
        <f>Cleaned_Data!A1052</f>
        <v/>
      </c>
      <c r="B1052" s="2">
        <f>Cleaned_Data!B1052</f>
        <v/>
      </c>
      <c r="C1052" s="2">
        <f>Cleaned_Data!G1052</f>
        <v/>
      </c>
      <c r="D1052" s="2">
        <f>Cleaned_Data!I1052</f>
        <v/>
      </c>
      <c r="E1052" s="2">
        <f>Cleaned_Data!H1052</f>
        <v/>
      </c>
      <c r="F1052" s="2">
        <f>Cleaned_Data!F1052</f>
        <v/>
      </c>
      <c r="G1052" s="9">
        <f>SUMPRODUCT(($B$2:$B$1196=B1052)*($F$2:$F$1196&lt;=F1052))/SUMPRODUCT(($B$2:$B$1196=B1052)*1)</f>
        <v/>
      </c>
      <c r="H1052" s="2">
        <f>Cleaned_Data!J1052</f>
        <v/>
      </c>
      <c r="I1052" s="2">
        <f>Cleaned_Data!E1052</f>
        <v/>
      </c>
      <c r="J1052" s="2">
        <f>IF(C1052="Yes",1,0)</f>
        <v/>
      </c>
      <c r="K1052" s="2">
        <f>MIN(MAX(1-(D1052-1)/4,0),1)</f>
        <v/>
      </c>
      <c r="L1052" s="2">
        <f>MIN(E1052/60,1)</f>
        <v/>
      </c>
      <c r="M1052" s="2">
        <f>MIN(MAX(1-G1052,0),1)</f>
        <v/>
      </c>
      <c r="N1052" s="2">
        <f>MIN(MAX(1-(H1052-1)/4,0),1)</f>
        <v/>
      </c>
      <c r="O1052" s="2">
        <f>1-MIN(I1052/8,1)</f>
        <v/>
      </c>
      <c r="P1052" s="10">
        <f>ROUND(100*(J1052*Assumptions!$B$6+K1052*Assumptions!$B$7+L1052*Assumptions!$B$8+M1052*Assumptions!$B$9+N1052*Assumptions!$B$10+O1052*Assumptions!$B$11),1)</f>
        <v/>
      </c>
      <c r="Q1052" s="2">
        <f>IF(P1052&gt;=Assumptions!$B$14,"High",IF(P1052&gt;=Assumptions!$B$15,"Medium","Low"))</f>
        <v/>
      </c>
      <c r="R1052" s="2">
        <f>Cleaned_Data!L1052</f>
        <v/>
      </c>
    </row>
    <row r="1053">
      <c r="A1053" s="2">
        <f>Cleaned_Data!A1053</f>
        <v/>
      </c>
      <c r="B1053" s="2">
        <f>Cleaned_Data!B1053</f>
        <v/>
      </c>
      <c r="C1053" s="2">
        <f>Cleaned_Data!G1053</f>
        <v/>
      </c>
      <c r="D1053" s="2">
        <f>Cleaned_Data!I1053</f>
        <v/>
      </c>
      <c r="E1053" s="2">
        <f>Cleaned_Data!H1053</f>
        <v/>
      </c>
      <c r="F1053" s="2">
        <f>Cleaned_Data!F1053</f>
        <v/>
      </c>
      <c r="G1053" s="9">
        <f>SUMPRODUCT(($B$2:$B$1196=B1053)*($F$2:$F$1196&lt;=F1053))/SUMPRODUCT(($B$2:$B$1196=B1053)*1)</f>
        <v/>
      </c>
      <c r="H1053" s="2">
        <f>Cleaned_Data!J1053</f>
        <v/>
      </c>
      <c r="I1053" s="2">
        <f>Cleaned_Data!E1053</f>
        <v/>
      </c>
      <c r="J1053" s="2">
        <f>IF(C1053="Yes",1,0)</f>
        <v/>
      </c>
      <c r="K1053" s="2">
        <f>MIN(MAX(1-(D1053-1)/4,0),1)</f>
        <v/>
      </c>
      <c r="L1053" s="2">
        <f>MIN(E1053/60,1)</f>
        <v/>
      </c>
      <c r="M1053" s="2">
        <f>MIN(MAX(1-G1053,0),1)</f>
        <v/>
      </c>
      <c r="N1053" s="2">
        <f>MIN(MAX(1-(H1053-1)/4,0),1)</f>
        <v/>
      </c>
      <c r="O1053" s="2">
        <f>1-MIN(I1053/8,1)</f>
        <v/>
      </c>
      <c r="P1053" s="10">
        <f>ROUND(100*(J1053*Assumptions!$B$6+K1053*Assumptions!$B$7+L1053*Assumptions!$B$8+M1053*Assumptions!$B$9+N1053*Assumptions!$B$10+O1053*Assumptions!$B$11),1)</f>
        <v/>
      </c>
      <c r="Q1053" s="2">
        <f>IF(P1053&gt;=Assumptions!$B$14,"High",IF(P1053&gt;=Assumptions!$B$15,"Medium","Low"))</f>
        <v/>
      </c>
      <c r="R1053" s="2">
        <f>Cleaned_Data!L1053</f>
        <v/>
      </c>
    </row>
    <row r="1054">
      <c r="A1054" s="2">
        <f>Cleaned_Data!A1054</f>
        <v/>
      </c>
      <c r="B1054" s="2">
        <f>Cleaned_Data!B1054</f>
        <v/>
      </c>
      <c r="C1054" s="2">
        <f>Cleaned_Data!G1054</f>
        <v/>
      </c>
      <c r="D1054" s="2">
        <f>Cleaned_Data!I1054</f>
        <v/>
      </c>
      <c r="E1054" s="2">
        <f>Cleaned_Data!H1054</f>
        <v/>
      </c>
      <c r="F1054" s="2">
        <f>Cleaned_Data!F1054</f>
        <v/>
      </c>
      <c r="G1054" s="9">
        <f>SUMPRODUCT(($B$2:$B$1196=B1054)*($F$2:$F$1196&lt;=F1054))/SUMPRODUCT(($B$2:$B$1196=B1054)*1)</f>
        <v/>
      </c>
      <c r="H1054" s="2">
        <f>Cleaned_Data!J1054</f>
        <v/>
      </c>
      <c r="I1054" s="2">
        <f>Cleaned_Data!E1054</f>
        <v/>
      </c>
      <c r="J1054" s="2">
        <f>IF(C1054="Yes",1,0)</f>
        <v/>
      </c>
      <c r="K1054" s="2">
        <f>MIN(MAX(1-(D1054-1)/4,0),1)</f>
        <v/>
      </c>
      <c r="L1054" s="2">
        <f>MIN(E1054/60,1)</f>
        <v/>
      </c>
      <c r="M1054" s="2">
        <f>MIN(MAX(1-G1054,0),1)</f>
        <v/>
      </c>
      <c r="N1054" s="2">
        <f>MIN(MAX(1-(H1054-1)/4,0),1)</f>
        <v/>
      </c>
      <c r="O1054" s="2">
        <f>1-MIN(I1054/8,1)</f>
        <v/>
      </c>
      <c r="P1054" s="10">
        <f>ROUND(100*(J1054*Assumptions!$B$6+K1054*Assumptions!$B$7+L1054*Assumptions!$B$8+M1054*Assumptions!$B$9+N1054*Assumptions!$B$10+O1054*Assumptions!$B$11),1)</f>
        <v/>
      </c>
      <c r="Q1054" s="2">
        <f>IF(P1054&gt;=Assumptions!$B$14,"High",IF(P1054&gt;=Assumptions!$B$15,"Medium","Low"))</f>
        <v/>
      </c>
      <c r="R1054" s="2">
        <f>Cleaned_Data!L1054</f>
        <v/>
      </c>
    </row>
    <row r="1055">
      <c r="A1055" s="2">
        <f>Cleaned_Data!A1055</f>
        <v/>
      </c>
      <c r="B1055" s="2">
        <f>Cleaned_Data!B1055</f>
        <v/>
      </c>
      <c r="C1055" s="2">
        <f>Cleaned_Data!G1055</f>
        <v/>
      </c>
      <c r="D1055" s="2">
        <f>Cleaned_Data!I1055</f>
        <v/>
      </c>
      <c r="E1055" s="2">
        <f>Cleaned_Data!H1055</f>
        <v/>
      </c>
      <c r="F1055" s="2">
        <f>Cleaned_Data!F1055</f>
        <v/>
      </c>
      <c r="G1055" s="9">
        <f>SUMPRODUCT(($B$2:$B$1196=B1055)*($F$2:$F$1196&lt;=F1055))/SUMPRODUCT(($B$2:$B$1196=B1055)*1)</f>
        <v/>
      </c>
      <c r="H1055" s="2">
        <f>Cleaned_Data!J1055</f>
        <v/>
      </c>
      <c r="I1055" s="2">
        <f>Cleaned_Data!E1055</f>
        <v/>
      </c>
      <c r="J1055" s="2">
        <f>IF(C1055="Yes",1,0)</f>
        <v/>
      </c>
      <c r="K1055" s="2">
        <f>MIN(MAX(1-(D1055-1)/4,0),1)</f>
        <v/>
      </c>
      <c r="L1055" s="2">
        <f>MIN(E1055/60,1)</f>
        <v/>
      </c>
      <c r="M1055" s="2">
        <f>MIN(MAX(1-G1055,0),1)</f>
        <v/>
      </c>
      <c r="N1055" s="2">
        <f>MIN(MAX(1-(H1055-1)/4,0),1)</f>
        <v/>
      </c>
      <c r="O1055" s="2">
        <f>1-MIN(I1055/8,1)</f>
        <v/>
      </c>
      <c r="P1055" s="10">
        <f>ROUND(100*(J1055*Assumptions!$B$6+K1055*Assumptions!$B$7+L1055*Assumptions!$B$8+M1055*Assumptions!$B$9+N1055*Assumptions!$B$10+O1055*Assumptions!$B$11),1)</f>
        <v/>
      </c>
      <c r="Q1055" s="2">
        <f>IF(P1055&gt;=Assumptions!$B$14,"High",IF(P1055&gt;=Assumptions!$B$15,"Medium","Low"))</f>
        <v/>
      </c>
      <c r="R1055" s="2">
        <f>Cleaned_Data!L1055</f>
        <v/>
      </c>
    </row>
    <row r="1056">
      <c r="A1056" s="2">
        <f>Cleaned_Data!A1056</f>
        <v/>
      </c>
      <c r="B1056" s="2">
        <f>Cleaned_Data!B1056</f>
        <v/>
      </c>
      <c r="C1056" s="2">
        <f>Cleaned_Data!G1056</f>
        <v/>
      </c>
      <c r="D1056" s="2">
        <f>Cleaned_Data!I1056</f>
        <v/>
      </c>
      <c r="E1056" s="2">
        <f>Cleaned_Data!H1056</f>
        <v/>
      </c>
      <c r="F1056" s="2">
        <f>Cleaned_Data!F1056</f>
        <v/>
      </c>
      <c r="G1056" s="9">
        <f>SUMPRODUCT(($B$2:$B$1196=B1056)*($F$2:$F$1196&lt;=F1056))/SUMPRODUCT(($B$2:$B$1196=B1056)*1)</f>
        <v/>
      </c>
      <c r="H1056" s="2">
        <f>Cleaned_Data!J1056</f>
        <v/>
      </c>
      <c r="I1056" s="2">
        <f>Cleaned_Data!E1056</f>
        <v/>
      </c>
      <c r="J1056" s="2">
        <f>IF(C1056="Yes",1,0)</f>
        <v/>
      </c>
      <c r="K1056" s="2">
        <f>MIN(MAX(1-(D1056-1)/4,0),1)</f>
        <v/>
      </c>
      <c r="L1056" s="2">
        <f>MIN(E1056/60,1)</f>
        <v/>
      </c>
      <c r="M1056" s="2">
        <f>MIN(MAX(1-G1056,0),1)</f>
        <v/>
      </c>
      <c r="N1056" s="2">
        <f>MIN(MAX(1-(H1056-1)/4,0),1)</f>
        <v/>
      </c>
      <c r="O1056" s="2">
        <f>1-MIN(I1056/8,1)</f>
        <v/>
      </c>
      <c r="P1056" s="10">
        <f>ROUND(100*(J1056*Assumptions!$B$6+K1056*Assumptions!$B$7+L1056*Assumptions!$B$8+M1056*Assumptions!$B$9+N1056*Assumptions!$B$10+O1056*Assumptions!$B$11),1)</f>
        <v/>
      </c>
      <c r="Q1056" s="2">
        <f>IF(P1056&gt;=Assumptions!$B$14,"High",IF(P1056&gt;=Assumptions!$B$15,"Medium","Low"))</f>
        <v/>
      </c>
      <c r="R1056" s="2">
        <f>Cleaned_Data!L1056</f>
        <v/>
      </c>
    </row>
    <row r="1057">
      <c r="A1057" s="2">
        <f>Cleaned_Data!A1057</f>
        <v/>
      </c>
      <c r="B1057" s="2">
        <f>Cleaned_Data!B1057</f>
        <v/>
      </c>
      <c r="C1057" s="2">
        <f>Cleaned_Data!G1057</f>
        <v/>
      </c>
      <c r="D1057" s="2">
        <f>Cleaned_Data!I1057</f>
        <v/>
      </c>
      <c r="E1057" s="2">
        <f>Cleaned_Data!H1057</f>
        <v/>
      </c>
      <c r="F1057" s="2">
        <f>Cleaned_Data!F1057</f>
        <v/>
      </c>
      <c r="G1057" s="9">
        <f>SUMPRODUCT(($B$2:$B$1196=B1057)*($F$2:$F$1196&lt;=F1057))/SUMPRODUCT(($B$2:$B$1196=B1057)*1)</f>
        <v/>
      </c>
      <c r="H1057" s="2">
        <f>Cleaned_Data!J1057</f>
        <v/>
      </c>
      <c r="I1057" s="2">
        <f>Cleaned_Data!E1057</f>
        <v/>
      </c>
      <c r="J1057" s="2">
        <f>IF(C1057="Yes",1,0)</f>
        <v/>
      </c>
      <c r="K1057" s="2">
        <f>MIN(MAX(1-(D1057-1)/4,0),1)</f>
        <v/>
      </c>
      <c r="L1057" s="2">
        <f>MIN(E1057/60,1)</f>
        <v/>
      </c>
      <c r="M1057" s="2">
        <f>MIN(MAX(1-G1057,0),1)</f>
        <v/>
      </c>
      <c r="N1057" s="2">
        <f>MIN(MAX(1-(H1057-1)/4,0),1)</f>
        <v/>
      </c>
      <c r="O1057" s="2">
        <f>1-MIN(I1057/8,1)</f>
        <v/>
      </c>
      <c r="P1057" s="10">
        <f>ROUND(100*(J1057*Assumptions!$B$6+K1057*Assumptions!$B$7+L1057*Assumptions!$B$8+M1057*Assumptions!$B$9+N1057*Assumptions!$B$10+O1057*Assumptions!$B$11),1)</f>
        <v/>
      </c>
      <c r="Q1057" s="2">
        <f>IF(P1057&gt;=Assumptions!$B$14,"High",IF(P1057&gt;=Assumptions!$B$15,"Medium","Low"))</f>
        <v/>
      </c>
      <c r="R1057" s="2">
        <f>Cleaned_Data!L1057</f>
        <v/>
      </c>
    </row>
    <row r="1058">
      <c r="A1058" s="2">
        <f>Cleaned_Data!A1058</f>
        <v/>
      </c>
      <c r="B1058" s="2">
        <f>Cleaned_Data!B1058</f>
        <v/>
      </c>
      <c r="C1058" s="2">
        <f>Cleaned_Data!G1058</f>
        <v/>
      </c>
      <c r="D1058" s="2">
        <f>Cleaned_Data!I1058</f>
        <v/>
      </c>
      <c r="E1058" s="2">
        <f>Cleaned_Data!H1058</f>
        <v/>
      </c>
      <c r="F1058" s="2">
        <f>Cleaned_Data!F1058</f>
        <v/>
      </c>
      <c r="G1058" s="9">
        <f>SUMPRODUCT(($B$2:$B$1196=B1058)*($F$2:$F$1196&lt;=F1058))/SUMPRODUCT(($B$2:$B$1196=B1058)*1)</f>
        <v/>
      </c>
      <c r="H1058" s="2">
        <f>Cleaned_Data!J1058</f>
        <v/>
      </c>
      <c r="I1058" s="2">
        <f>Cleaned_Data!E1058</f>
        <v/>
      </c>
      <c r="J1058" s="2">
        <f>IF(C1058="Yes",1,0)</f>
        <v/>
      </c>
      <c r="K1058" s="2">
        <f>MIN(MAX(1-(D1058-1)/4,0),1)</f>
        <v/>
      </c>
      <c r="L1058" s="2">
        <f>MIN(E1058/60,1)</f>
        <v/>
      </c>
      <c r="M1058" s="2">
        <f>MIN(MAX(1-G1058,0),1)</f>
        <v/>
      </c>
      <c r="N1058" s="2">
        <f>MIN(MAX(1-(H1058-1)/4,0),1)</f>
        <v/>
      </c>
      <c r="O1058" s="2">
        <f>1-MIN(I1058/8,1)</f>
        <v/>
      </c>
      <c r="P1058" s="10">
        <f>ROUND(100*(J1058*Assumptions!$B$6+K1058*Assumptions!$B$7+L1058*Assumptions!$B$8+M1058*Assumptions!$B$9+N1058*Assumptions!$B$10+O1058*Assumptions!$B$11),1)</f>
        <v/>
      </c>
      <c r="Q1058" s="2">
        <f>IF(P1058&gt;=Assumptions!$B$14,"High",IF(P1058&gt;=Assumptions!$B$15,"Medium","Low"))</f>
        <v/>
      </c>
      <c r="R1058" s="2">
        <f>Cleaned_Data!L1058</f>
        <v/>
      </c>
    </row>
    <row r="1059">
      <c r="A1059" s="2">
        <f>Cleaned_Data!A1059</f>
        <v/>
      </c>
      <c r="B1059" s="2">
        <f>Cleaned_Data!B1059</f>
        <v/>
      </c>
      <c r="C1059" s="2">
        <f>Cleaned_Data!G1059</f>
        <v/>
      </c>
      <c r="D1059" s="2">
        <f>Cleaned_Data!I1059</f>
        <v/>
      </c>
      <c r="E1059" s="2">
        <f>Cleaned_Data!H1059</f>
        <v/>
      </c>
      <c r="F1059" s="2">
        <f>Cleaned_Data!F1059</f>
        <v/>
      </c>
      <c r="G1059" s="9">
        <f>SUMPRODUCT(($B$2:$B$1196=B1059)*($F$2:$F$1196&lt;=F1059))/SUMPRODUCT(($B$2:$B$1196=B1059)*1)</f>
        <v/>
      </c>
      <c r="H1059" s="2">
        <f>Cleaned_Data!J1059</f>
        <v/>
      </c>
      <c r="I1059" s="2">
        <f>Cleaned_Data!E1059</f>
        <v/>
      </c>
      <c r="J1059" s="2">
        <f>IF(C1059="Yes",1,0)</f>
        <v/>
      </c>
      <c r="K1059" s="2">
        <f>MIN(MAX(1-(D1059-1)/4,0),1)</f>
        <v/>
      </c>
      <c r="L1059" s="2">
        <f>MIN(E1059/60,1)</f>
        <v/>
      </c>
      <c r="M1059" s="2">
        <f>MIN(MAX(1-G1059,0),1)</f>
        <v/>
      </c>
      <c r="N1059" s="2">
        <f>MIN(MAX(1-(H1059-1)/4,0),1)</f>
        <v/>
      </c>
      <c r="O1059" s="2">
        <f>1-MIN(I1059/8,1)</f>
        <v/>
      </c>
      <c r="P1059" s="10">
        <f>ROUND(100*(J1059*Assumptions!$B$6+K1059*Assumptions!$B$7+L1059*Assumptions!$B$8+M1059*Assumptions!$B$9+N1059*Assumptions!$B$10+O1059*Assumptions!$B$11),1)</f>
        <v/>
      </c>
      <c r="Q1059" s="2">
        <f>IF(P1059&gt;=Assumptions!$B$14,"High",IF(P1059&gt;=Assumptions!$B$15,"Medium","Low"))</f>
        <v/>
      </c>
      <c r="R1059" s="2">
        <f>Cleaned_Data!L1059</f>
        <v/>
      </c>
    </row>
    <row r="1060">
      <c r="A1060" s="2">
        <f>Cleaned_Data!A1060</f>
        <v/>
      </c>
      <c r="B1060" s="2">
        <f>Cleaned_Data!B1060</f>
        <v/>
      </c>
      <c r="C1060" s="2">
        <f>Cleaned_Data!G1060</f>
        <v/>
      </c>
      <c r="D1060" s="2">
        <f>Cleaned_Data!I1060</f>
        <v/>
      </c>
      <c r="E1060" s="2">
        <f>Cleaned_Data!H1060</f>
        <v/>
      </c>
      <c r="F1060" s="2">
        <f>Cleaned_Data!F1060</f>
        <v/>
      </c>
      <c r="G1060" s="9">
        <f>SUMPRODUCT(($B$2:$B$1196=B1060)*($F$2:$F$1196&lt;=F1060))/SUMPRODUCT(($B$2:$B$1196=B1060)*1)</f>
        <v/>
      </c>
      <c r="H1060" s="2">
        <f>Cleaned_Data!J1060</f>
        <v/>
      </c>
      <c r="I1060" s="2">
        <f>Cleaned_Data!E1060</f>
        <v/>
      </c>
      <c r="J1060" s="2">
        <f>IF(C1060="Yes",1,0)</f>
        <v/>
      </c>
      <c r="K1060" s="2">
        <f>MIN(MAX(1-(D1060-1)/4,0),1)</f>
        <v/>
      </c>
      <c r="L1060" s="2">
        <f>MIN(E1060/60,1)</f>
        <v/>
      </c>
      <c r="M1060" s="2">
        <f>MIN(MAX(1-G1060,0),1)</f>
        <v/>
      </c>
      <c r="N1060" s="2">
        <f>MIN(MAX(1-(H1060-1)/4,0),1)</f>
        <v/>
      </c>
      <c r="O1060" s="2">
        <f>1-MIN(I1060/8,1)</f>
        <v/>
      </c>
      <c r="P1060" s="10">
        <f>ROUND(100*(J1060*Assumptions!$B$6+K1060*Assumptions!$B$7+L1060*Assumptions!$B$8+M1060*Assumptions!$B$9+N1060*Assumptions!$B$10+O1060*Assumptions!$B$11),1)</f>
        <v/>
      </c>
      <c r="Q1060" s="2">
        <f>IF(P1060&gt;=Assumptions!$B$14,"High",IF(P1060&gt;=Assumptions!$B$15,"Medium","Low"))</f>
        <v/>
      </c>
      <c r="R1060" s="2">
        <f>Cleaned_Data!L1060</f>
        <v/>
      </c>
    </row>
    <row r="1061">
      <c r="A1061" s="2">
        <f>Cleaned_Data!A1061</f>
        <v/>
      </c>
      <c r="B1061" s="2">
        <f>Cleaned_Data!B1061</f>
        <v/>
      </c>
      <c r="C1061" s="2">
        <f>Cleaned_Data!G1061</f>
        <v/>
      </c>
      <c r="D1061" s="2">
        <f>Cleaned_Data!I1061</f>
        <v/>
      </c>
      <c r="E1061" s="2">
        <f>Cleaned_Data!H1061</f>
        <v/>
      </c>
      <c r="F1061" s="2">
        <f>Cleaned_Data!F1061</f>
        <v/>
      </c>
      <c r="G1061" s="9">
        <f>SUMPRODUCT(($B$2:$B$1196=B1061)*($F$2:$F$1196&lt;=F1061))/SUMPRODUCT(($B$2:$B$1196=B1061)*1)</f>
        <v/>
      </c>
      <c r="H1061" s="2">
        <f>Cleaned_Data!J1061</f>
        <v/>
      </c>
      <c r="I1061" s="2">
        <f>Cleaned_Data!E1061</f>
        <v/>
      </c>
      <c r="J1061" s="2">
        <f>IF(C1061="Yes",1,0)</f>
        <v/>
      </c>
      <c r="K1061" s="2">
        <f>MIN(MAX(1-(D1061-1)/4,0),1)</f>
        <v/>
      </c>
      <c r="L1061" s="2">
        <f>MIN(E1061/60,1)</f>
        <v/>
      </c>
      <c r="M1061" s="2">
        <f>MIN(MAX(1-G1061,0),1)</f>
        <v/>
      </c>
      <c r="N1061" s="2">
        <f>MIN(MAX(1-(H1061-1)/4,0),1)</f>
        <v/>
      </c>
      <c r="O1061" s="2">
        <f>1-MIN(I1061/8,1)</f>
        <v/>
      </c>
      <c r="P1061" s="10">
        <f>ROUND(100*(J1061*Assumptions!$B$6+K1061*Assumptions!$B$7+L1061*Assumptions!$B$8+M1061*Assumptions!$B$9+N1061*Assumptions!$B$10+O1061*Assumptions!$B$11),1)</f>
        <v/>
      </c>
      <c r="Q1061" s="2">
        <f>IF(P1061&gt;=Assumptions!$B$14,"High",IF(P1061&gt;=Assumptions!$B$15,"Medium","Low"))</f>
        <v/>
      </c>
      <c r="R1061" s="2">
        <f>Cleaned_Data!L1061</f>
        <v/>
      </c>
    </row>
    <row r="1062">
      <c r="A1062" s="2">
        <f>Cleaned_Data!A1062</f>
        <v/>
      </c>
      <c r="B1062" s="2">
        <f>Cleaned_Data!B1062</f>
        <v/>
      </c>
      <c r="C1062" s="2">
        <f>Cleaned_Data!G1062</f>
        <v/>
      </c>
      <c r="D1062" s="2">
        <f>Cleaned_Data!I1062</f>
        <v/>
      </c>
      <c r="E1062" s="2">
        <f>Cleaned_Data!H1062</f>
        <v/>
      </c>
      <c r="F1062" s="2">
        <f>Cleaned_Data!F1062</f>
        <v/>
      </c>
      <c r="G1062" s="9">
        <f>SUMPRODUCT(($B$2:$B$1196=B1062)*($F$2:$F$1196&lt;=F1062))/SUMPRODUCT(($B$2:$B$1196=B1062)*1)</f>
        <v/>
      </c>
      <c r="H1062" s="2">
        <f>Cleaned_Data!J1062</f>
        <v/>
      </c>
      <c r="I1062" s="2">
        <f>Cleaned_Data!E1062</f>
        <v/>
      </c>
      <c r="J1062" s="2">
        <f>IF(C1062="Yes",1,0)</f>
        <v/>
      </c>
      <c r="K1062" s="2">
        <f>MIN(MAX(1-(D1062-1)/4,0),1)</f>
        <v/>
      </c>
      <c r="L1062" s="2">
        <f>MIN(E1062/60,1)</f>
        <v/>
      </c>
      <c r="M1062" s="2">
        <f>MIN(MAX(1-G1062,0),1)</f>
        <v/>
      </c>
      <c r="N1062" s="2">
        <f>MIN(MAX(1-(H1062-1)/4,0),1)</f>
        <v/>
      </c>
      <c r="O1062" s="2">
        <f>1-MIN(I1062/8,1)</f>
        <v/>
      </c>
      <c r="P1062" s="10">
        <f>ROUND(100*(J1062*Assumptions!$B$6+K1062*Assumptions!$B$7+L1062*Assumptions!$B$8+M1062*Assumptions!$B$9+N1062*Assumptions!$B$10+O1062*Assumptions!$B$11),1)</f>
        <v/>
      </c>
      <c r="Q1062" s="2">
        <f>IF(P1062&gt;=Assumptions!$B$14,"High",IF(P1062&gt;=Assumptions!$B$15,"Medium","Low"))</f>
        <v/>
      </c>
      <c r="R1062" s="2">
        <f>Cleaned_Data!L1062</f>
        <v/>
      </c>
    </row>
    <row r="1063">
      <c r="A1063" s="2">
        <f>Cleaned_Data!A1063</f>
        <v/>
      </c>
      <c r="B1063" s="2">
        <f>Cleaned_Data!B1063</f>
        <v/>
      </c>
      <c r="C1063" s="2">
        <f>Cleaned_Data!G1063</f>
        <v/>
      </c>
      <c r="D1063" s="2">
        <f>Cleaned_Data!I1063</f>
        <v/>
      </c>
      <c r="E1063" s="2">
        <f>Cleaned_Data!H1063</f>
        <v/>
      </c>
      <c r="F1063" s="2">
        <f>Cleaned_Data!F1063</f>
        <v/>
      </c>
      <c r="G1063" s="9">
        <f>SUMPRODUCT(($B$2:$B$1196=B1063)*($F$2:$F$1196&lt;=F1063))/SUMPRODUCT(($B$2:$B$1196=B1063)*1)</f>
        <v/>
      </c>
      <c r="H1063" s="2">
        <f>Cleaned_Data!J1063</f>
        <v/>
      </c>
      <c r="I1063" s="2">
        <f>Cleaned_Data!E1063</f>
        <v/>
      </c>
      <c r="J1063" s="2">
        <f>IF(C1063="Yes",1,0)</f>
        <v/>
      </c>
      <c r="K1063" s="2">
        <f>MIN(MAX(1-(D1063-1)/4,0),1)</f>
        <v/>
      </c>
      <c r="L1063" s="2">
        <f>MIN(E1063/60,1)</f>
        <v/>
      </c>
      <c r="M1063" s="2">
        <f>MIN(MAX(1-G1063,0),1)</f>
        <v/>
      </c>
      <c r="N1063" s="2">
        <f>MIN(MAX(1-(H1063-1)/4,0),1)</f>
        <v/>
      </c>
      <c r="O1063" s="2">
        <f>1-MIN(I1063/8,1)</f>
        <v/>
      </c>
      <c r="P1063" s="10">
        <f>ROUND(100*(J1063*Assumptions!$B$6+K1063*Assumptions!$B$7+L1063*Assumptions!$B$8+M1063*Assumptions!$B$9+N1063*Assumptions!$B$10+O1063*Assumptions!$B$11),1)</f>
        <v/>
      </c>
      <c r="Q1063" s="2">
        <f>IF(P1063&gt;=Assumptions!$B$14,"High",IF(P1063&gt;=Assumptions!$B$15,"Medium","Low"))</f>
        <v/>
      </c>
      <c r="R1063" s="2">
        <f>Cleaned_Data!L1063</f>
        <v/>
      </c>
    </row>
    <row r="1064">
      <c r="A1064" s="2">
        <f>Cleaned_Data!A1064</f>
        <v/>
      </c>
      <c r="B1064" s="2">
        <f>Cleaned_Data!B1064</f>
        <v/>
      </c>
      <c r="C1064" s="2">
        <f>Cleaned_Data!G1064</f>
        <v/>
      </c>
      <c r="D1064" s="2">
        <f>Cleaned_Data!I1064</f>
        <v/>
      </c>
      <c r="E1064" s="2">
        <f>Cleaned_Data!H1064</f>
        <v/>
      </c>
      <c r="F1064" s="2">
        <f>Cleaned_Data!F1064</f>
        <v/>
      </c>
      <c r="G1064" s="9">
        <f>SUMPRODUCT(($B$2:$B$1196=B1064)*($F$2:$F$1196&lt;=F1064))/SUMPRODUCT(($B$2:$B$1196=B1064)*1)</f>
        <v/>
      </c>
      <c r="H1064" s="2">
        <f>Cleaned_Data!J1064</f>
        <v/>
      </c>
      <c r="I1064" s="2">
        <f>Cleaned_Data!E1064</f>
        <v/>
      </c>
      <c r="J1064" s="2">
        <f>IF(C1064="Yes",1,0)</f>
        <v/>
      </c>
      <c r="K1064" s="2">
        <f>MIN(MAX(1-(D1064-1)/4,0),1)</f>
        <v/>
      </c>
      <c r="L1064" s="2">
        <f>MIN(E1064/60,1)</f>
        <v/>
      </c>
      <c r="M1064" s="2">
        <f>MIN(MAX(1-G1064,0),1)</f>
        <v/>
      </c>
      <c r="N1064" s="2">
        <f>MIN(MAX(1-(H1064-1)/4,0),1)</f>
        <v/>
      </c>
      <c r="O1064" s="2">
        <f>1-MIN(I1064/8,1)</f>
        <v/>
      </c>
      <c r="P1064" s="10">
        <f>ROUND(100*(J1064*Assumptions!$B$6+K1064*Assumptions!$B$7+L1064*Assumptions!$B$8+M1064*Assumptions!$B$9+N1064*Assumptions!$B$10+O1064*Assumptions!$B$11),1)</f>
        <v/>
      </c>
      <c r="Q1064" s="2">
        <f>IF(P1064&gt;=Assumptions!$B$14,"High",IF(P1064&gt;=Assumptions!$B$15,"Medium","Low"))</f>
        <v/>
      </c>
      <c r="R1064" s="2">
        <f>Cleaned_Data!L1064</f>
        <v/>
      </c>
    </row>
    <row r="1065">
      <c r="A1065" s="2">
        <f>Cleaned_Data!A1065</f>
        <v/>
      </c>
      <c r="B1065" s="2">
        <f>Cleaned_Data!B1065</f>
        <v/>
      </c>
      <c r="C1065" s="2">
        <f>Cleaned_Data!G1065</f>
        <v/>
      </c>
      <c r="D1065" s="2">
        <f>Cleaned_Data!I1065</f>
        <v/>
      </c>
      <c r="E1065" s="2">
        <f>Cleaned_Data!H1065</f>
        <v/>
      </c>
      <c r="F1065" s="2">
        <f>Cleaned_Data!F1065</f>
        <v/>
      </c>
      <c r="G1065" s="9">
        <f>SUMPRODUCT(($B$2:$B$1196=B1065)*($F$2:$F$1196&lt;=F1065))/SUMPRODUCT(($B$2:$B$1196=B1065)*1)</f>
        <v/>
      </c>
      <c r="H1065" s="2">
        <f>Cleaned_Data!J1065</f>
        <v/>
      </c>
      <c r="I1065" s="2">
        <f>Cleaned_Data!E1065</f>
        <v/>
      </c>
      <c r="J1065" s="2">
        <f>IF(C1065="Yes",1,0)</f>
        <v/>
      </c>
      <c r="K1065" s="2">
        <f>MIN(MAX(1-(D1065-1)/4,0),1)</f>
        <v/>
      </c>
      <c r="L1065" s="2">
        <f>MIN(E1065/60,1)</f>
        <v/>
      </c>
      <c r="M1065" s="2">
        <f>MIN(MAX(1-G1065,0),1)</f>
        <v/>
      </c>
      <c r="N1065" s="2">
        <f>MIN(MAX(1-(H1065-1)/4,0),1)</f>
        <v/>
      </c>
      <c r="O1065" s="2">
        <f>1-MIN(I1065/8,1)</f>
        <v/>
      </c>
      <c r="P1065" s="10">
        <f>ROUND(100*(J1065*Assumptions!$B$6+K1065*Assumptions!$B$7+L1065*Assumptions!$B$8+M1065*Assumptions!$B$9+N1065*Assumptions!$B$10+O1065*Assumptions!$B$11),1)</f>
        <v/>
      </c>
      <c r="Q1065" s="2">
        <f>IF(P1065&gt;=Assumptions!$B$14,"High",IF(P1065&gt;=Assumptions!$B$15,"Medium","Low"))</f>
        <v/>
      </c>
      <c r="R1065" s="2">
        <f>Cleaned_Data!L1065</f>
        <v/>
      </c>
    </row>
    <row r="1066">
      <c r="A1066" s="2">
        <f>Cleaned_Data!A1066</f>
        <v/>
      </c>
      <c r="B1066" s="2">
        <f>Cleaned_Data!B1066</f>
        <v/>
      </c>
      <c r="C1066" s="2">
        <f>Cleaned_Data!G1066</f>
        <v/>
      </c>
      <c r="D1066" s="2">
        <f>Cleaned_Data!I1066</f>
        <v/>
      </c>
      <c r="E1066" s="2">
        <f>Cleaned_Data!H1066</f>
        <v/>
      </c>
      <c r="F1066" s="2">
        <f>Cleaned_Data!F1066</f>
        <v/>
      </c>
      <c r="G1066" s="9">
        <f>SUMPRODUCT(($B$2:$B$1196=B1066)*($F$2:$F$1196&lt;=F1066))/SUMPRODUCT(($B$2:$B$1196=B1066)*1)</f>
        <v/>
      </c>
      <c r="H1066" s="2">
        <f>Cleaned_Data!J1066</f>
        <v/>
      </c>
      <c r="I1066" s="2">
        <f>Cleaned_Data!E1066</f>
        <v/>
      </c>
      <c r="J1066" s="2">
        <f>IF(C1066="Yes",1,0)</f>
        <v/>
      </c>
      <c r="K1066" s="2">
        <f>MIN(MAX(1-(D1066-1)/4,0),1)</f>
        <v/>
      </c>
      <c r="L1066" s="2">
        <f>MIN(E1066/60,1)</f>
        <v/>
      </c>
      <c r="M1066" s="2">
        <f>MIN(MAX(1-G1066,0),1)</f>
        <v/>
      </c>
      <c r="N1066" s="2">
        <f>MIN(MAX(1-(H1066-1)/4,0),1)</f>
        <v/>
      </c>
      <c r="O1066" s="2">
        <f>1-MIN(I1066/8,1)</f>
        <v/>
      </c>
      <c r="P1066" s="10">
        <f>ROUND(100*(J1066*Assumptions!$B$6+K1066*Assumptions!$B$7+L1066*Assumptions!$B$8+M1066*Assumptions!$B$9+N1066*Assumptions!$B$10+O1066*Assumptions!$B$11),1)</f>
        <v/>
      </c>
      <c r="Q1066" s="2">
        <f>IF(P1066&gt;=Assumptions!$B$14,"High",IF(P1066&gt;=Assumptions!$B$15,"Medium","Low"))</f>
        <v/>
      </c>
      <c r="R1066" s="2">
        <f>Cleaned_Data!L1066</f>
        <v/>
      </c>
    </row>
    <row r="1067">
      <c r="A1067" s="2">
        <f>Cleaned_Data!A1067</f>
        <v/>
      </c>
      <c r="B1067" s="2">
        <f>Cleaned_Data!B1067</f>
        <v/>
      </c>
      <c r="C1067" s="2">
        <f>Cleaned_Data!G1067</f>
        <v/>
      </c>
      <c r="D1067" s="2">
        <f>Cleaned_Data!I1067</f>
        <v/>
      </c>
      <c r="E1067" s="2">
        <f>Cleaned_Data!H1067</f>
        <v/>
      </c>
      <c r="F1067" s="2">
        <f>Cleaned_Data!F1067</f>
        <v/>
      </c>
      <c r="G1067" s="9">
        <f>SUMPRODUCT(($B$2:$B$1196=B1067)*($F$2:$F$1196&lt;=F1067))/SUMPRODUCT(($B$2:$B$1196=B1067)*1)</f>
        <v/>
      </c>
      <c r="H1067" s="2">
        <f>Cleaned_Data!J1067</f>
        <v/>
      </c>
      <c r="I1067" s="2">
        <f>Cleaned_Data!E1067</f>
        <v/>
      </c>
      <c r="J1067" s="2">
        <f>IF(C1067="Yes",1,0)</f>
        <v/>
      </c>
      <c r="K1067" s="2">
        <f>MIN(MAX(1-(D1067-1)/4,0),1)</f>
        <v/>
      </c>
      <c r="L1067" s="2">
        <f>MIN(E1067/60,1)</f>
        <v/>
      </c>
      <c r="M1067" s="2">
        <f>MIN(MAX(1-G1067,0),1)</f>
        <v/>
      </c>
      <c r="N1067" s="2">
        <f>MIN(MAX(1-(H1067-1)/4,0),1)</f>
        <v/>
      </c>
      <c r="O1067" s="2">
        <f>1-MIN(I1067/8,1)</f>
        <v/>
      </c>
      <c r="P1067" s="10">
        <f>ROUND(100*(J1067*Assumptions!$B$6+K1067*Assumptions!$B$7+L1067*Assumptions!$B$8+M1067*Assumptions!$B$9+N1067*Assumptions!$B$10+O1067*Assumptions!$B$11),1)</f>
        <v/>
      </c>
      <c r="Q1067" s="2">
        <f>IF(P1067&gt;=Assumptions!$B$14,"High",IF(P1067&gt;=Assumptions!$B$15,"Medium","Low"))</f>
        <v/>
      </c>
      <c r="R1067" s="2">
        <f>Cleaned_Data!L1067</f>
        <v/>
      </c>
    </row>
    <row r="1068">
      <c r="A1068" s="2">
        <f>Cleaned_Data!A1068</f>
        <v/>
      </c>
      <c r="B1068" s="2">
        <f>Cleaned_Data!B1068</f>
        <v/>
      </c>
      <c r="C1068" s="2">
        <f>Cleaned_Data!G1068</f>
        <v/>
      </c>
      <c r="D1068" s="2">
        <f>Cleaned_Data!I1068</f>
        <v/>
      </c>
      <c r="E1068" s="2">
        <f>Cleaned_Data!H1068</f>
        <v/>
      </c>
      <c r="F1068" s="2">
        <f>Cleaned_Data!F1068</f>
        <v/>
      </c>
      <c r="G1068" s="9">
        <f>SUMPRODUCT(($B$2:$B$1196=B1068)*($F$2:$F$1196&lt;=F1068))/SUMPRODUCT(($B$2:$B$1196=B1068)*1)</f>
        <v/>
      </c>
      <c r="H1068" s="2">
        <f>Cleaned_Data!J1068</f>
        <v/>
      </c>
      <c r="I1068" s="2">
        <f>Cleaned_Data!E1068</f>
        <v/>
      </c>
      <c r="J1068" s="2">
        <f>IF(C1068="Yes",1,0)</f>
        <v/>
      </c>
      <c r="K1068" s="2">
        <f>MIN(MAX(1-(D1068-1)/4,0),1)</f>
        <v/>
      </c>
      <c r="L1068" s="2">
        <f>MIN(E1068/60,1)</f>
        <v/>
      </c>
      <c r="M1068" s="2">
        <f>MIN(MAX(1-G1068,0),1)</f>
        <v/>
      </c>
      <c r="N1068" s="2">
        <f>MIN(MAX(1-(H1068-1)/4,0),1)</f>
        <v/>
      </c>
      <c r="O1068" s="2">
        <f>1-MIN(I1068/8,1)</f>
        <v/>
      </c>
      <c r="P1068" s="10">
        <f>ROUND(100*(J1068*Assumptions!$B$6+K1068*Assumptions!$B$7+L1068*Assumptions!$B$8+M1068*Assumptions!$B$9+N1068*Assumptions!$B$10+O1068*Assumptions!$B$11),1)</f>
        <v/>
      </c>
      <c r="Q1068" s="2">
        <f>IF(P1068&gt;=Assumptions!$B$14,"High",IF(P1068&gt;=Assumptions!$B$15,"Medium","Low"))</f>
        <v/>
      </c>
      <c r="R1068" s="2">
        <f>Cleaned_Data!L1068</f>
        <v/>
      </c>
    </row>
    <row r="1069">
      <c r="A1069" s="2">
        <f>Cleaned_Data!A1069</f>
        <v/>
      </c>
      <c r="B1069" s="2">
        <f>Cleaned_Data!B1069</f>
        <v/>
      </c>
      <c r="C1069" s="2">
        <f>Cleaned_Data!G1069</f>
        <v/>
      </c>
      <c r="D1069" s="2">
        <f>Cleaned_Data!I1069</f>
        <v/>
      </c>
      <c r="E1069" s="2">
        <f>Cleaned_Data!H1069</f>
        <v/>
      </c>
      <c r="F1069" s="2">
        <f>Cleaned_Data!F1069</f>
        <v/>
      </c>
      <c r="G1069" s="9">
        <f>SUMPRODUCT(($B$2:$B$1196=B1069)*($F$2:$F$1196&lt;=F1069))/SUMPRODUCT(($B$2:$B$1196=B1069)*1)</f>
        <v/>
      </c>
      <c r="H1069" s="2">
        <f>Cleaned_Data!J1069</f>
        <v/>
      </c>
      <c r="I1069" s="2">
        <f>Cleaned_Data!E1069</f>
        <v/>
      </c>
      <c r="J1069" s="2">
        <f>IF(C1069="Yes",1,0)</f>
        <v/>
      </c>
      <c r="K1069" s="2">
        <f>MIN(MAX(1-(D1069-1)/4,0),1)</f>
        <v/>
      </c>
      <c r="L1069" s="2">
        <f>MIN(E1069/60,1)</f>
        <v/>
      </c>
      <c r="M1069" s="2">
        <f>MIN(MAX(1-G1069,0),1)</f>
        <v/>
      </c>
      <c r="N1069" s="2">
        <f>MIN(MAX(1-(H1069-1)/4,0),1)</f>
        <v/>
      </c>
      <c r="O1069" s="2">
        <f>1-MIN(I1069/8,1)</f>
        <v/>
      </c>
      <c r="P1069" s="10">
        <f>ROUND(100*(J1069*Assumptions!$B$6+K1069*Assumptions!$B$7+L1069*Assumptions!$B$8+M1069*Assumptions!$B$9+N1069*Assumptions!$B$10+O1069*Assumptions!$B$11),1)</f>
        <v/>
      </c>
      <c r="Q1069" s="2">
        <f>IF(P1069&gt;=Assumptions!$B$14,"High",IF(P1069&gt;=Assumptions!$B$15,"Medium","Low"))</f>
        <v/>
      </c>
      <c r="R1069" s="2">
        <f>Cleaned_Data!L1069</f>
        <v/>
      </c>
    </row>
    <row r="1070">
      <c r="A1070" s="2">
        <f>Cleaned_Data!A1070</f>
        <v/>
      </c>
      <c r="B1070" s="2">
        <f>Cleaned_Data!B1070</f>
        <v/>
      </c>
      <c r="C1070" s="2">
        <f>Cleaned_Data!G1070</f>
        <v/>
      </c>
      <c r="D1070" s="2">
        <f>Cleaned_Data!I1070</f>
        <v/>
      </c>
      <c r="E1070" s="2">
        <f>Cleaned_Data!H1070</f>
        <v/>
      </c>
      <c r="F1070" s="2">
        <f>Cleaned_Data!F1070</f>
        <v/>
      </c>
      <c r="G1070" s="9">
        <f>SUMPRODUCT(($B$2:$B$1196=B1070)*($F$2:$F$1196&lt;=F1070))/SUMPRODUCT(($B$2:$B$1196=B1070)*1)</f>
        <v/>
      </c>
      <c r="H1070" s="2">
        <f>Cleaned_Data!J1070</f>
        <v/>
      </c>
      <c r="I1070" s="2">
        <f>Cleaned_Data!E1070</f>
        <v/>
      </c>
      <c r="J1070" s="2">
        <f>IF(C1070="Yes",1,0)</f>
        <v/>
      </c>
      <c r="K1070" s="2">
        <f>MIN(MAX(1-(D1070-1)/4,0),1)</f>
        <v/>
      </c>
      <c r="L1070" s="2">
        <f>MIN(E1070/60,1)</f>
        <v/>
      </c>
      <c r="M1070" s="2">
        <f>MIN(MAX(1-G1070,0),1)</f>
        <v/>
      </c>
      <c r="N1070" s="2">
        <f>MIN(MAX(1-(H1070-1)/4,0),1)</f>
        <v/>
      </c>
      <c r="O1070" s="2">
        <f>1-MIN(I1070/8,1)</f>
        <v/>
      </c>
      <c r="P1070" s="10">
        <f>ROUND(100*(J1070*Assumptions!$B$6+K1070*Assumptions!$B$7+L1070*Assumptions!$B$8+M1070*Assumptions!$B$9+N1070*Assumptions!$B$10+O1070*Assumptions!$B$11),1)</f>
        <v/>
      </c>
      <c r="Q1070" s="2">
        <f>IF(P1070&gt;=Assumptions!$B$14,"High",IF(P1070&gt;=Assumptions!$B$15,"Medium","Low"))</f>
        <v/>
      </c>
      <c r="R1070" s="2">
        <f>Cleaned_Data!L1070</f>
        <v/>
      </c>
    </row>
    <row r="1071">
      <c r="A1071" s="2">
        <f>Cleaned_Data!A1071</f>
        <v/>
      </c>
      <c r="B1071" s="2">
        <f>Cleaned_Data!B1071</f>
        <v/>
      </c>
      <c r="C1071" s="2">
        <f>Cleaned_Data!G1071</f>
        <v/>
      </c>
      <c r="D1071" s="2">
        <f>Cleaned_Data!I1071</f>
        <v/>
      </c>
      <c r="E1071" s="2">
        <f>Cleaned_Data!H1071</f>
        <v/>
      </c>
      <c r="F1071" s="2">
        <f>Cleaned_Data!F1071</f>
        <v/>
      </c>
      <c r="G1071" s="9">
        <f>SUMPRODUCT(($B$2:$B$1196=B1071)*($F$2:$F$1196&lt;=F1071))/SUMPRODUCT(($B$2:$B$1196=B1071)*1)</f>
        <v/>
      </c>
      <c r="H1071" s="2">
        <f>Cleaned_Data!J1071</f>
        <v/>
      </c>
      <c r="I1071" s="2">
        <f>Cleaned_Data!E1071</f>
        <v/>
      </c>
      <c r="J1071" s="2">
        <f>IF(C1071="Yes",1,0)</f>
        <v/>
      </c>
      <c r="K1071" s="2">
        <f>MIN(MAX(1-(D1071-1)/4,0),1)</f>
        <v/>
      </c>
      <c r="L1071" s="2">
        <f>MIN(E1071/60,1)</f>
        <v/>
      </c>
      <c r="M1071" s="2">
        <f>MIN(MAX(1-G1071,0),1)</f>
        <v/>
      </c>
      <c r="N1071" s="2">
        <f>MIN(MAX(1-(H1071-1)/4,0),1)</f>
        <v/>
      </c>
      <c r="O1071" s="2">
        <f>1-MIN(I1071/8,1)</f>
        <v/>
      </c>
      <c r="P1071" s="10">
        <f>ROUND(100*(J1071*Assumptions!$B$6+K1071*Assumptions!$B$7+L1071*Assumptions!$B$8+M1071*Assumptions!$B$9+N1071*Assumptions!$B$10+O1071*Assumptions!$B$11),1)</f>
        <v/>
      </c>
      <c r="Q1071" s="2">
        <f>IF(P1071&gt;=Assumptions!$B$14,"High",IF(P1071&gt;=Assumptions!$B$15,"Medium","Low"))</f>
        <v/>
      </c>
      <c r="R1071" s="2">
        <f>Cleaned_Data!L1071</f>
        <v/>
      </c>
    </row>
    <row r="1072">
      <c r="A1072" s="2">
        <f>Cleaned_Data!A1072</f>
        <v/>
      </c>
      <c r="B1072" s="2">
        <f>Cleaned_Data!B1072</f>
        <v/>
      </c>
      <c r="C1072" s="2">
        <f>Cleaned_Data!G1072</f>
        <v/>
      </c>
      <c r="D1072" s="2">
        <f>Cleaned_Data!I1072</f>
        <v/>
      </c>
      <c r="E1072" s="2">
        <f>Cleaned_Data!H1072</f>
        <v/>
      </c>
      <c r="F1072" s="2">
        <f>Cleaned_Data!F1072</f>
        <v/>
      </c>
      <c r="G1072" s="9">
        <f>SUMPRODUCT(($B$2:$B$1196=B1072)*($F$2:$F$1196&lt;=F1072))/SUMPRODUCT(($B$2:$B$1196=B1072)*1)</f>
        <v/>
      </c>
      <c r="H1072" s="2">
        <f>Cleaned_Data!J1072</f>
        <v/>
      </c>
      <c r="I1072" s="2">
        <f>Cleaned_Data!E1072</f>
        <v/>
      </c>
      <c r="J1072" s="2">
        <f>IF(C1072="Yes",1,0)</f>
        <v/>
      </c>
      <c r="K1072" s="2">
        <f>MIN(MAX(1-(D1072-1)/4,0),1)</f>
        <v/>
      </c>
      <c r="L1072" s="2">
        <f>MIN(E1072/60,1)</f>
        <v/>
      </c>
      <c r="M1072" s="2">
        <f>MIN(MAX(1-G1072,0),1)</f>
        <v/>
      </c>
      <c r="N1072" s="2">
        <f>MIN(MAX(1-(H1072-1)/4,0),1)</f>
        <v/>
      </c>
      <c r="O1072" s="2">
        <f>1-MIN(I1072/8,1)</f>
        <v/>
      </c>
      <c r="P1072" s="10">
        <f>ROUND(100*(J1072*Assumptions!$B$6+K1072*Assumptions!$B$7+L1072*Assumptions!$B$8+M1072*Assumptions!$B$9+N1072*Assumptions!$B$10+O1072*Assumptions!$B$11),1)</f>
        <v/>
      </c>
      <c r="Q1072" s="2">
        <f>IF(P1072&gt;=Assumptions!$B$14,"High",IF(P1072&gt;=Assumptions!$B$15,"Medium","Low"))</f>
        <v/>
      </c>
      <c r="R1072" s="2">
        <f>Cleaned_Data!L1072</f>
        <v/>
      </c>
    </row>
    <row r="1073">
      <c r="A1073" s="2">
        <f>Cleaned_Data!A1073</f>
        <v/>
      </c>
      <c r="B1073" s="2">
        <f>Cleaned_Data!B1073</f>
        <v/>
      </c>
      <c r="C1073" s="2">
        <f>Cleaned_Data!G1073</f>
        <v/>
      </c>
      <c r="D1073" s="2">
        <f>Cleaned_Data!I1073</f>
        <v/>
      </c>
      <c r="E1073" s="2">
        <f>Cleaned_Data!H1073</f>
        <v/>
      </c>
      <c r="F1073" s="2">
        <f>Cleaned_Data!F1073</f>
        <v/>
      </c>
      <c r="G1073" s="9">
        <f>SUMPRODUCT(($B$2:$B$1196=B1073)*($F$2:$F$1196&lt;=F1073))/SUMPRODUCT(($B$2:$B$1196=B1073)*1)</f>
        <v/>
      </c>
      <c r="H1073" s="2">
        <f>Cleaned_Data!J1073</f>
        <v/>
      </c>
      <c r="I1073" s="2">
        <f>Cleaned_Data!E1073</f>
        <v/>
      </c>
      <c r="J1073" s="2">
        <f>IF(C1073="Yes",1,0)</f>
        <v/>
      </c>
      <c r="K1073" s="2">
        <f>MIN(MAX(1-(D1073-1)/4,0),1)</f>
        <v/>
      </c>
      <c r="L1073" s="2">
        <f>MIN(E1073/60,1)</f>
        <v/>
      </c>
      <c r="M1073" s="2">
        <f>MIN(MAX(1-G1073,0),1)</f>
        <v/>
      </c>
      <c r="N1073" s="2">
        <f>MIN(MAX(1-(H1073-1)/4,0),1)</f>
        <v/>
      </c>
      <c r="O1073" s="2">
        <f>1-MIN(I1073/8,1)</f>
        <v/>
      </c>
      <c r="P1073" s="10">
        <f>ROUND(100*(J1073*Assumptions!$B$6+K1073*Assumptions!$B$7+L1073*Assumptions!$B$8+M1073*Assumptions!$B$9+N1073*Assumptions!$B$10+O1073*Assumptions!$B$11),1)</f>
        <v/>
      </c>
      <c r="Q1073" s="2">
        <f>IF(P1073&gt;=Assumptions!$B$14,"High",IF(P1073&gt;=Assumptions!$B$15,"Medium","Low"))</f>
        <v/>
      </c>
      <c r="R1073" s="2">
        <f>Cleaned_Data!L1073</f>
        <v/>
      </c>
    </row>
    <row r="1074">
      <c r="A1074" s="2">
        <f>Cleaned_Data!A1074</f>
        <v/>
      </c>
      <c r="B1074" s="2">
        <f>Cleaned_Data!B1074</f>
        <v/>
      </c>
      <c r="C1074" s="2">
        <f>Cleaned_Data!G1074</f>
        <v/>
      </c>
      <c r="D1074" s="2">
        <f>Cleaned_Data!I1074</f>
        <v/>
      </c>
      <c r="E1074" s="2">
        <f>Cleaned_Data!H1074</f>
        <v/>
      </c>
      <c r="F1074" s="2">
        <f>Cleaned_Data!F1074</f>
        <v/>
      </c>
      <c r="G1074" s="9">
        <f>SUMPRODUCT(($B$2:$B$1196=B1074)*($F$2:$F$1196&lt;=F1074))/SUMPRODUCT(($B$2:$B$1196=B1074)*1)</f>
        <v/>
      </c>
      <c r="H1074" s="2">
        <f>Cleaned_Data!J1074</f>
        <v/>
      </c>
      <c r="I1074" s="2">
        <f>Cleaned_Data!E1074</f>
        <v/>
      </c>
      <c r="J1074" s="2">
        <f>IF(C1074="Yes",1,0)</f>
        <v/>
      </c>
      <c r="K1074" s="2">
        <f>MIN(MAX(1-(D1074-1)/4,0),1)</f>
        <v/>
      </c>
      <c r="L1074" s="2">
        <f>MIN(E1074/60,1)</f>
        <v/>
      </c>
      <c r="M1074" s="2">
        <f>MIN(MAX(1-G1074,0),1)</f>
        <v/>
      </c>
      <c r="N1074" s="2">
        <f>MIN(MAX(1-(H1074-1)/4,0),1)</f>
        <v/>
      </c>
      <c r="O1074" s="2">
        <f>1-MIN(I1074/8,1)</f>
        <v/>
      </c>
      <c r="P1074" s="10">
        <f>ROUND(100*(J1074*Assumptions!$B$6+K1074*Assumptions!$B$7+L1074*Assumptions!$B$8+M1074*Assumptions!$B$9+N1074*Assumptions!$B$10+O1074*Assumptions!$B$11),1)</f>
        <v/>
      </c>
      <c r="Q1074" s="2">
        <f>IF(P1074&gt;=Assumptions!$B$14,"High",IF(P1074&gt;=Assumptions!$B$15,"Medium","Low"))</f>
        <v/>
      </c>
      <c r="R1074" s="2">
        <f>Cleaned_Data!L1074</f>
        <v/>
      </c>
    </row>
    <row r="1075">
      <c r="A1075" s="2">
        <f>Cleaned_Data!A1075</f>
        <v/>
      </c>
      <c r="B1075" s="2">
        <f>Cleaned_Data!B1075</f>
        <v/>
      </c>
      <c r="C1075" s="2">
        <f>Cleaned_Data!G1075</f>
        <v/>
      </c>
      <c r="D1075" s="2">
        <f>Cleaned_Data!I1075</f>
        <v/>
      </c>
      <c r="E1075" s="2">
        <f>Cleaned_Data!H1075</f>
        <v/>
      </c>
      <c r="F1075" s="2">
        <f>Cleaned_Data!F1075</f>
        <v/>
      </c>
      <c r="G1075" s="9">
        <f>SUMPRODUCT(($B$2:$B$1196=B1075)*($F$2:$F$1196&lt;=F1075))/SUMPRODUCT(($B$2:$B$1196=B1075)*1)</f>
        <v/>
      </c>
      <c r="H1075" s="2">
        <f>Cleaned_Data!J1075</f>
        <v/>
      </c>
      <c r="I1075" s="2">
        <f>Cleaned_Data!E1075</f>
        <v/>
      </c>
      <c r="J1075" s="2">
        <f>IF(C1075="Yes",1,0)</f>
        <v/>
      </c>
      <c r="K1075" s="2">
        <f>MIN(MAX(1-(D1075-1)/4,0),1)</f>
        <v/>
      </c>
      <c r="L1075" s="2">
        <f>MIN(E1075/60,1)</f>
        <v/>
      </c>
      <c r="M1075" s="2">
        <f>MIN(MAX(1-G1075,0),1)</f>
        <v/>
      </c>
      <c r="N1075" s="2">
        <f>MIN(MAX(1-(H1075-1)/4,0),1)</f>
        <v/>
      </c>
      <c r="O1075" s="2">
        <f>1-MIN(I1075/8,1)</f>
        <v/>
      </c>
      <c r="P1075" s="10">
        <f>ROUND(100*(J1075*Assumptions!$B$6+K1075*Assumptions!$B$7+L1075*Assumptions!$B$8+M1075*Assumptions!$B$9+N1075*Assumptions!$B$10+O1075*Assumptions!$B$11),1)</f>
        <v/>
      </c>
      <c r="Q1075" s="2">
        <f>IF(P1075&gt;=Assumptions!$B$14,"High",IF(P1075&gt;=Assumptions!$B$15,"Medium","Low"))</f>
        <v/>
      </c>
      <c r="R1075" s="2">
        <f>Cleaned_Data!L1075</f>
        <v/>
      </c>
    </row>
    <row r="1076">
      <c r="A1076" s="2">
        <f>Cleaned_Data!A1076</f>
        <v/>
      </c>
      <c r="B1076" s="2">
        <f>Cleaned_Data!B1076</f>
        <v/>
      </c>
      <c r="C1076" s="2">
        <f>Cleaned_Data!G1076</f>
        <v/>
      </c>
      <c r="D1076" s="2">
        <f>Cleaned_Data!I1076</f>
        <v/>
      </c>
      <c r="E1076" s="2">
        <f>Cleaned_Data!H1076</f>
        <v/>
      </c>
      <c r="F1076" s="2">
        <f>Cleaned_Data!F1076</f>
        <v/>
      </c>
      <c r="G1076" s="9">
        <f>SUMPRODUCT(($B$2:$B$1196=B1076)*($F$2:$F$1196&lt;=F1076))/SUMPRODUCT(($B$2:$B$1196=B1076)*1)</f>
        <v/>
      </c>
      <c r="H1076" s="2">
        <f>Cleaned_Data!J1076</f>
        <v/>
      </c>
      <c r="I1076" s="2">
        <f>Cleaned_Data!E1076</f>
        <v/>
      </c>
      <c r="J1076" s="2">
        <f>IF(C1076="Yes",1,0)</f>
        <v/>
      </c>
      <c r="K1076" s="2">
        <f>MIN(MAX(1-(D1076-1)/4,0),1)</f>
        <v/>
      </c>
      <c r="L1076" s="2">
        <f>MIN(E1076/60,1)</f>
        <v/>
      </c>
      <c r="M1076" s="2">
        <f>MIN(MAX(1-G1076,0),1)</f>
        <v/>
      </c>
      <c r="N1076" s="2">
        <f>MIN(MAX(1-(H1076-1)/4,0),1)</f>
        <v/>
      </c>
      <c r="O1076" s="2">
        <f>1-MIN(I1076/8,1)</f>
        <v/>
      </c>
      <c r="P1076" s="10">
        <f>ROUND(100*(J1076*Assumptions!$B$6+K1076*Assumptions!$B$7+L1076*Assumptions!$B$8+M1076*Assumptions!$B$9+N1076*Assumptions!$B$10+O1076*Assumptions!$B$11),1)</f>
        <v/>
      </c>
      <c r="Q1076" s="2">
        <f>IF(P1076&gt;=Assumptions!$B$14,"High",IF(P1076&gt;=Assumptions!$B$15,"Medium","Low"))</f>
        <v/>
      </c>
      <c r="R1076" s="2">
        <f>Cleaned_Data!L1076</f>
        <v/>
      </c>
    </row>
    <row r="1077">
      <c r="A1077" s="2">
        <f>Cleaned_Data!A1077</f>
        <v/>
      </c>
      <c r="B1077" s="2">
        <f>Cleaned_Data!B1077</f>
        <v/>
      </c>
      <c r="C1077" s="2">
        <f>Cleaned_Data!G1077</f>
        <v/>
      </c>
      <c r="D1077" s="2">
        <f>Cleaned_Data!I1077</f>
        <v/>
      </c>
      <c r="E1077" s="2">
        <f>Cleaned_Data!H1077</f>
        <v/>
      </c>
      <c r="F1077" s="2">
        <f>Cleaned_Data!F1077</f>
        <v/>
      </c>
      <c r="G1077" s="9">
        <f>SUMPRODUCT(($B$2:$B$1196=B1077)*($F$2:$F$1196&lt;=F1077))/SUMPRODUCT(($B$2:$B$1196=B1077)*1)</f>
        <v/>
      </c>
      <c r="H1077" s="2">
        <f>Cleaned_Data!J1077</f>
        <v/>
      </c>
      <c r="I1077" s="2">
        <f>Cleaned_Data!E1077</f>
        <v/>
      </c>
      <c r="J1077" s="2">
        <f>IF(C1077="Yes",1,0)</f>
        <v/>
      </c>
      <c r="K1077" s="2">
        <f>MIN(MAX(1-(D1077-1)/4,0),1)</f>
        <v/>
      </c>
      <c r="L1077" s="2">
        <f>MIN(E1077/60,1)</f>
        <v/>
      </c>
      <c r="M1077" s="2">
        <f>MIN(MAX(1-G1077,0),1)</f>
        <v/>
      </c>
      <c r="N1077" s="2">
        <f>MIN(MAX(1-(H1077-1)/4,0),1)</f>
        <v/>
      </c>
      <c r="O1077" s="2">
        <f>1-MIN(I1077/8,1)</f>
        <v/>
      </c>
      <c r="P1077" s="10">
        <f>ROUND(100*(J1077*Assumptions!$B$6+K1077*Assumptions!$B$7+L1077*Assumptions!$B$8+M1077*Assumptions!$B$9+N1077*Assumptions!$B$10+O1077*Assumptions!$B$11),1)</f>
        <v/>
      </c>
      <c r="Q1077" s="2">
        <f>IF(P1077&gt;=Assumptions!$B$14,"High",IF(P1077&gt;=Assumptions!$B$15,"Medium","Low"))</f>
        <v/>
      </c>
      <c r="R1077" s="2">
        <f>Cleaned_Data!L1077</f>
        <v/>
      </c>
    </row>
    <row r="1078">
      <c r="A1078" s="2">
        <f>Cleaned_Data!A1078</f>
        <v/>
      </c>
      <c r="B1078" s="2">
        <f>Cleaned_Data!B1078</f>
        <v/>
      </c>
      <c r="C1078" s="2">
        <f>Cleaned_Data!G1078</f>
        <v/>
      </c>
      <c r="D1078" s="2">
        <f>Cleaned_Data!I1078</f>
        <v/>
      </c>
      <c r="E1078" s="2">
        <f>Cleaned_Data!H1078</f>
        <v/>
      </c>
      <c r="F1078" s="2">
        <f>Cleaned_Data!F1078</f>
        <v/>
      </c>
      <c r="G1078" s="9">
        <f>SUMPRODUCT(($B$2:$B$1196=B1078)*($F$2:$F$1196&lt;=F1078))/SUMPRODUCT(($B$2:$B$1196=B1078)*1)</f>
        <v/>
      </c>
      <c r="H1078" s="2">
        <f>Cleaned_Data!J1078</f>
        <v/>
      </c>
      <c r="I1078" s="2">
        <f>Cleaned_Data!E1078</f>
        <v/>
      </c>
      <c r="J1078" s="2">
        <f>IF(C1078="Yes",1,0)</f>
        <v/>
      </c>
      <c r="K1078" s="2">
        <f>MIN(MAX(1-(D1078-1)/4,0),1)</f>
        <v/>
      </c>
      <c r="L1078" s="2">
        <f>MIN(E1078/60,1)</f>
        <v/>
      </c>
      <c r="M1078" s="2">
        <f>MIN(MAX(1-G1078,0),1)</f>
        <v/>
      </c>
      <c r="N1078" s="2">
        <f>MIN(MAX(1-(H1078-1)/4,0),1)</f>
        <v/>
      </c>
      <c r="O1078" s="2">
        <f>1-MIN(I1078/8,1)</f>
        <v/>
      </c>
      <c r="P1078" s="10">
        <f>ROUND(100*(J1078*Assumptions!$B$6+K1078*Assumptions!$B$7+L1078*Assumptions!$B$8+M1078*Assumptions!$B$9+N1078*Assumptions!$B$10+O1078*Assumptions!$B$11),1)</f>
        <v/>
      </c>
      <c r="Q1078" s="2">
        <f>IF(P1078&gt;=Assumptions!$B$14,"High",IF(P1078&gt;=Assumptions!$B$15,"Medium","Low"))</f>
        <v/>
      </c>
      <c r="R1078" s="2">
        <f>Cleaned_Data!L1078</f>
        <v/>
      </c>
    </row>
    <row r="1079">
      <c r="A1079" s="2">
        <f>Cleaned_Data!A1079</f>
        <v/>
      </c>
      <c r="B1079" s="2">
        <f>Cleaned_Data!B1079</f>
        <v/>
      </c>
      <c r="C1079" s="2">
        <f>Cleaned_Data!G1079</f>
        <v/>
      </c>
      <c r="D1079" s="2">
        <f>Cleaned_Data!I1079</f>
        <v/>
      </c>
      <c r="E1079" s="2">
        <f>Cleaned_Data!H1079</f>
        <v/>
      </c>
      <c r="F1079" s="2">
        <f>Cleaned_Data!F1079</f>
        <v/>
      </c>
      <c r="G1079" s="9">
        <f>SUMPRODUCT(($B$2:$B$1196=B1079)*($F$2:$F$1196&lt;=F1079))/SUMPRODUCT(($B$2:$B$1196=B1079)*1)</f>
        <v/>
      </c>
      <c r="H1079" s="2">
        <f>Cleaned_Data!J1079</f>
        <v/>
      </c>
      <c r="I1079" s="2">
        <f>Cleaned_Data!E1079</f>
        <v/>
      </c>
      <c r="J1079" s="2">
        <f>IF(C1079="Yes",1,0)</f>
        <v/>
      </c>
      <c r="K1079" s="2">
        <f>MIN(MAX(1-(D1079-1)/4,0),1)</f>
        <v/>
      </c>
      <c r="L1079" s="2">
        <f>MIN(E1079/60,1)</f>
        <v/>
      </c>
      <c r="M1079" s="2">
        <f>MIN(MAX(1-G1079,0),1)</f>
        <v/>
      </c>
      <c r="N1079" s="2">
        <f>MIN(MAX(1-(H1079-1)/4,0),1)</f>
        <v/>
      </c>
      <c r="O1079" s="2">
        <f>1-MIN(I1079/8,1)</f>
        <v/>
      </c>
      <c r="P1079" s="10">
        <f>ROUND(100*(J1079*Assumptions!$B$6+K1079*Assumptions!$B$7+L1079*Assumptions!$B$8+M1079*Assumptions!$B$9+N1079*Assumptions!$B$10+O1079*Assumptions!$B$11),1)</f>
        <v/>
      </c>
      <c r="Q1079" s="2">
        <f>IF(P1079&gt;=Assumptions!$B$14,"High",IF(P1079&gt;=Assumptions!$B$15,"Medium","Low"))</f>
        <v/>
      </c>
      <c r="R1079" s="2">
        <f>Cleaned_Data!L1079</f>
        <v/>
      </c>
    </row>
    <row r="1080">
      <c r="A1080" s="2">
        <f>Cleaned_Data!A1080</f>
        <v/>
      </c>
      <c r="B1080" s="2">
        <f>Cleaned_Data!B1080</f>
        <v/>
      </c>
      <c r="C1080" s="2">
        <f>Cleaned_Data!G1080</f>
        <v/>
      </c>
      <c r="D1080" s="2">
        <f>Cleaned_Data!I1080</f>
        <v/>
      </c>
      <c r="E1080" s="2">
        <f>Cleaned_Data!H1080</f>
        <v/>
      </c>
      <c r="F1080" s="2">
        <f>Cleaned_Data!F1080</f>
        <v/>
      </c>
      <c r="G1080" s="9">
        <f>SUMPRODUCT(($B$2:$B$1196=B1080)*($F$2:$F$1196&lt;=F1080))/SUMPRODUCT(($B$2:$B$1196=B1080)*1)</f>
        <v/>
      </c>
      <c r="H1080" s="2">
        <f>Cleaned_Data!J1080</f>
        <v/>
      </c>
      <c r="I1080" s="2">
        <f>Cleaned_Data!E1080</f>
        <v/>
      </c>
      <c r="J1080" s="2">
        <f>IF(C1080="Yes",1,0)</f>
        <v/>
      </c>
      <c r="K1080" s="2">
        <f>MIN(MAX(1-(D1080-1)/4,0),1)</f>
        <v/>
      </c>
      <c r="L1080" s="2">
        <f>MIN(E1080/60,1)</f>
        <v/>
      </c>
      <c r="M1080" s="2">
        <f>MIN(MAX(1-G1080,0),1)</f>
        <v/>
      </c>
      <c r="N1080" s="2">
        <f>MIN(MAX(1-(H1080-1)/4,0),1)</f>
        <v/>
      </c>
      <c r="O1080" s="2">
        <f>1-MIN(I1080/8,1)</f>
        <v/>
      </c>
      <c r="P1080" s="10">
        <f>ROUND(100*(J1080*Assumptions!$B$6+K1080*Assumptions!$B$7+L1080*Assumptions!$B$8+M1080*Assumptions!$B$9+N1080*Assumptions!$B$10+O1080*Assumptions!$B$11),1)</f>
        <v/>
      </c>
      <c r="Q1080" s="2">
        <f>IF(P1080&gt;=Assumptions!$B$14,"High",IF(P1080&gt;=Assumptions!$B$15,"Medium","Low"))</f>
        <v/>
      </c>
      <c r="R1080" s="2">
        <f>Cleaned_Data!L1080</f>
        <v/>
      </c>
    </row>
    <row r="1081">
      <c r="A1081" s="2">
        <f>Cleaned_Data!A1081</f>
        <v/>
      </c>
      <c r="B1081" s="2">
        <f>Cleaned_Data!B1081</f>
        <v/>
      </c>
      <c r="C1081" s="2">
        <f>Cleaned_Data!G1081</f>
        <v/>
      </c>
      <c r="D1081" s="2">
        <f>Cleaned_Data!I1081</f>
        <v/>
      </c>
      <c r="E1081" s="2">
        <f>Cleaned_Data!H1081</f>
        <v/>
      </c>
      <c r="F1081" s="2">
        <f>Cleaned_Data!F1081</f>
        <v/>
      </c>
      <c r="G1081" s="9">
        <f>SUMPRODUCT(($B$2:$B$1196=B1081)*($F$2:$F$1196&lt;=F1081))/SUMPRODUCT(($B$2:$B$1196=B1081)*1)</f>
        <v/>
      </c>
      <c r="H1081" s="2">
        <f>Cleaned_Data!J1081</f>
        <v/>
      </c>
      <c r="I1081" s="2">
        <f>Cleaned_Data!E1081</f>
        <v/>
      </c>
      <c r="J1081" s="2">
        <f>IF(C1081="Yes",1,0)</f>
        <v/>
      </c>
      <c r="K1081" s="2">
        <f>MIN(MAX(1-(D1081-1)/4,0),1)</f>
        <v/>
      </c>
      <c r="L1081" s="2">
        <f>MIN(E1081/60,1)</f>
        <v/>
      </c>
      <c r="M1081" s="2">
        <f>MIN(MAX(1-G1081,0),1)</f>
        <v/>
      </c>
      <c r="N1081" s="2">
        <f>MIN(MAX(1-(H1081-1)/4,0),1)</f>
        <v/>
      </c>
      <c r="O1081" s="2">
        <f>1-MIN(I1081/8,1)</f>
        <v/>
      </c>
      <c r="P1081" s="10">
        <f>ROUND(100*(J1081*Assumptions!$B$6+K1081*Assumptions!$B$7+L1081*Assumptions!$B$8+M1081*Assumptions!$B$9+N1081*Assumptions!$B$10+O1081*Assumptions!$B$11),1)</f>
        <v/>
      </c>
      <c r="Q1081" s="2">
        <f>IF(P1081&gt;=Assumptions!$B$14,"High",IF(P1081&gt;=Assumptions!$B$15,"Medium","Low"))</f>
        <v/>
      </c>
      <c r="R1081" s="2">
        <f>Cleaned_Data!L1081</f>
        <v/>
      </c>
    </row>
    <row r="1082">
      <c r="A1082" s="2">
        <f>Cleaned_Data!A1082</f>
        <v/>
      </c>
      <c r="B1082" s="2">
        <f>Cleaned_Data!B1082</f>
        <v/>
      </c>
      <c r="C1082" s="2">
        <f>Cleaned_Data!G1082</f>
        <v/>
      </c>
      <c r="D1082" s="2">
        <f>Cleaned_Data!I1082</f>
        <v/>
      </c>
      <c r="E1082" s="2">
        <f>Cleaned_Data!H1082</f>
        <v/>
      </c>
      <c r="F1082" s="2">
        <f>Cleaned_Data!F1082</f>
        <v/>
      </c>
      <c r="G1082" s="9">
        <f>SUMPRODUCT(($B$2:$B$1196=B1082)*($F$2:$F$1196&lt;=F1082))/SUMPRODUCT(($B$2:$B$1196=B1082)*1)</f>
        <v/>
      </c>
      <c r="H1082" s="2">
        <f>Cleaned_Data!J1082</f>
        <v/>
      </c>
      <c r="I1082" s="2">
        <f>Cleaned_Data!E1082</f>
        <v/>
      </c>
      <c r="J1082" s="2">
        <f>IF(C1082="Yes",1,0)</f>
        <v/>
      </c>
      <c r="K1082" s="2">
        <f>MIN(MAX(1-(D1082-1)/4,0),1)</f>
        <v/>
      </c>
      <c r="L1082" s="2">
        <f>MIN(E1082/60,1)</f>
        <v/>
      </c>
      <c r="M1082" s="2">
        <f>MIN(MAX(1-G1082,0),1)</f>
        <v/>
      </c>
      <c r="N1082" s="2">
        <f>MIN(MAX(1-(H1082-1)/4,0),1)</f>
        <v/>
      </c>
      <c r="O1082" s="2">
        <f>1-MIN(I1082/8,1)</f>
        <v/>
      </c>
      <c r="P1082" s="10">
        <f>ROUND(100*(J1082*Assumptions!$B$6+K1082*Assumptions!$B$7+L1082*Assumptions!$B$8+M1082*Assumptions!$B$9+N1082*Assumptions!$B$10+O1082*Assumptions!$B$11),1)</f>
        <v/>
      </c>
      <c r="Q1082" s="2">
        <f>IF(P1082&gt;=Assumptions!$B$14,"High",IF(P1082&gt;=Assumptions!$B$15,"Medium","Low"))</f>
        <v/>
      </c>
      <c r="R1082" s="2">
        <f>Cleaned_Data!L1082</f>
        <v/>
      </c>
    </row>
    <row r="1083">
      <c r="A1083" s="2">
        <f>Cleaned_Data!A1083</f>
        <v/>
      </c>
      <c r="B1083" s="2">
        <f>Cleaned_Data!B1083</f>
        <v/>
      </c>
      <c r="C1083" s="2">
        <f>Cleaned_Data!G1083</f>
        <v/>
      </c>
      <c r="D1083" s="2">
        <f>Cleaned_Data!I1083</f>
        <v/>
      </c>
      <c r="E1083" s="2">
        <f>Cleaned_Data!H1083</f>
        <v/>
      </c>
      <c r="F1083" s="2">
        <f>Cleaned_Data!F1083</f>
        <v/>
      </c>
      <c r="G1083" s="9">
        <f>SUMPRODUCT(($B$2:$B$1196=B1083)*($F$2:$F$1196&lt;=F1083))/SUMPRODUCT(($B$2:$B$1196=B1083)*1)</f>
        <v/>
      </c>
      <c r="H1083" s="2">
        <f>Cleaned_Data!J1083</f>
        <v/>
      </c>
      <c r="I1083" s="2">
        <f>Cleaned_Data!E1083</f>
        <v/>
      </c>
      <c r="J1083" s="2">
        <f>IF(C1083="Yes",1,0)</f>
        <v/>
      </c>
      <c r="K1083" s="2">
        <f>MIN(MAX(1-(D1083-1)/4,0),1)</f>
        <v/>
      </c>
      <c r="L1083" s="2">
        <f>MIN(E1083/60,1)</f>
        <v/>
      </c>
      <c r="M1083" s="2">
        <f>MIN(MAX(1-G1083,0),1)</f>
        <v/>
      </c>
      <c r="N1083" s="2">
        <f>MIN(MAX(1-(H1083-1)/4,0),1)</f>
        <v/>
      </c>
      <c r="O1083" s="2">
        <f>1-MIN(I1083/8,1)</f>
        <v/>
      </c>
      <c r="P1083" s="10">
        <f>ROUND(100*(J1083*Assumptions!$B$6+K1083*Assumptions!$B$7+L1083*Assumptions!$B$8+M1083*Assumptions!$B$9+N1083*Assumptions!$B$10+O1083*Assumptions!$B$11),1)</f>
        <v/>
      </c>
      <c r="Q1083" s="2">
        <f>IF(P1083&gt;=Assumptions!$B$14,"High",IF(P1083&gt;=Assumptions!$B$15,"Medium","Low"))</f>
        <v/>
      </c>
      <c r="R1083" s="2">
        <f>Cleaned_Data!L1083</f>
        <v/>
      </c>
    </row>
    <row r="1084">
      <c r="A1084" s="2">
        <f>Cleaned_Data!A1084</f>
        <v/>
      </c>
      <c r="B1084" s="2">
        <f>Cleaned_Data!B1084</f>
        <v/>
      </c>
      <c r="C1084" s="2">
        <f>Cleaned_Data!G1084</f>
        <v/>
      </c>
      <c r="D1084" s="2">
        <f>Cleaned_Data!I1084</f>
        <v/>
      </c>
      <c r="E1084" s="2">
        <f>Cleaned_Data!H1084</f>
        <v/>
      </c>
      <c r="F1084" s="2">
        <f>Cleaned_Data!F1084</f>
        <v/>
      </c>
      <c r="G1084" s="9">
        <f>SUMPRODUCT(($B$2:$B$1196=B1084)*($F$2:$F$1196&lt;=F1084))/SUMPRODUCT(($B$2:$B$1196=B1084)*1)</f>
        <v/>
      </c>
      <c r="H1084" s="2">
        <f>Cleaned_Data!J1084</f>
        <v/>
      </c>
      <c r="I1084" s="2">
        <f>Cleaned_Data!E1084</f>
        <v/>
      </c>
      <c r="J1084" s="2">
        <f>IF(C1084="Yes",1,0)</f>
        <v/>
      </c>
      <c r="K1084" s="2">
        <f>MIN(MAX(1-(D1084-1)/4,0),1)</f>
        <v/>
      </c>
      <c r="L1084" s="2">
        <f>MIN(E1084/60,1)</f>
        <v/>
      </c>
      <c r="M1084" s="2">
        <f>MIN(MAX(1-G1084,0),1)</f>
        <v/>
      </c>
      <c r="N1084" s="2">
        <f>MIN(MAX(1-(H1084-1)/4,0),1)</f>
        <v/>
      </c>
      <c r="O1084" s="2">
        <f>1-MIN(I1084/8,1)</f>
        <v/>
      </c>
      <c r="P1084" s="10">
        <f>ROUND(100*(J1084*Assumptions!$B$6+K1084*Assumptions!$B$7+L1084*Assumptions!$B$8+M1084*Assumptions!$B$9+N1084*Assumptions!$B$10+O1084*Assumptions!$B$11),1)</f>
        <v/>
      </c>
      <c r="Q1084" s="2">
        <f>IF(P1084&gt;=Assumptions!$B$14,"High",IF(P1084&gt;=Assumptions!$B$15,"Medium","Low"))</f>
        <v/>
      </c>
      <c r="R1084" s="2">
        <f>Cleaned_Data!L1084</f>
        <v/>
      </c>
    </row>
    <row r="1085">
      <c r="A1085" s="2">
        <f>Cleaned_Data!A1085</f>
        <v/>
      </c>
      <c r="B1085" s="2">
        <f>Cleaned_Data!B1085</f>
        <v/>
      </c>
      <c r="C1085" s="2">
        <f>Cleaned_Data!G1085</f>
        <v/>
      </c>
      <c r="D1085" s="2">
        <f>Cleaned_Data!I1085</f>
        <v/>
      </c>
      <c r="E1085" s="2">
        <f>Cleaned_Data!H1085</f>
        <v/>
      </c>
      <c r="F1085" s="2">
        <f>Cleaned_Data!F1085</f>
        <v/>
      </c>
      <c r="G1085" s="9">
        <f>SUMPRODUCT(($B$2:$B$1196=B1085)*($F$2:$F$1196&lt;=F1085))/SUMPRODUCT(($B$2:$B$1196=B1085)*1)</f>
        <v/>
      </c>
      <c r="H1085" s="2">
        <f>Cleaned_Data!J1085</f>
        <v/>
      </c>
      <c r="I1085" s="2">
        <f>Cleaned_Data!E1085</f>
        <v/>
      </c>
      <c r="J1085" s="2">
        <f>IF(C1085="Yes",1,0)</f>
        <v/>
      </c>
      <c r="K1085" s="2">
        <f>MIN(MAX(1-(D1085-1)/4,0),1)</f>
        <v/>
      </c>
      <c r="L1085" s="2">
        <f>MIN(E1085/60,1)</f>
        <v/>
      </c>
      <c r="M1085" s="2">
        <f>MIN(MAX(1-G1085,0),1)</f>
        <v/>
      </c>
      <c r="N1085" s="2">
        <f>MIN(MAX(1-(H1085-1)/4,0),1)</f>
        <v/>
      </c>
      <c r="O1085" s="2">
        <f>1-MIN(I1085/8,1)</f>
        <v/>
      </c>
      <c r="P1085" s="10">
        <f>ROUND(100*(J1085*Assumptions!$B$6+K1085*Assumptions!$B$7+L1085*Assumptions!$B$8+M1085*Assumptions!$B$9+N1085*Assumptions!$B$10+O1085*Assumptions!$B$11),1)</f>
        <v/>
      </c>
      <c r="Q1085" s="2">
        <f>IF(P1085&gt;=Assumptions!$B$14,"High",IF(P1085&gt;=Assumptions!$B$15,"Medium","Low"))</f>
        <v/>
      </c>
      <c r="R1085" s="2">
        <f>Cleaned_Data!L1085</f>
        <v/>
      </c>
    </row>
    <row r="1086">
      <c r="A1086" s="2">
        <f>Cleaned_Data!A1086</f>
        <v/>
      </c>
      <c r="B1086" s="2">
        <f>Cleaned_Data!B1086</f>
        <v/>
      </c>
      <c r="C1086" s="2">
        <f>Cleaned_Data!G1086</f>
        <v/>
      </c>
      <c r="D1086" s="2">
        <f>Cleaned_Data!I1086</f>
        <v/>
      </c>
      <c r="E1086" s="2">
        <f>Cleaned_Data!H1086</f>
        <v/>
      </c>
      <c r="F1086" s="2">
        <f>Cleaned_Data!F1086</f>
        <v/>
      </c>
      <c r="G1086" s="9">
        <f>SUMPRODUCT(($B$2:$B$1196=B1086)*($F$2:$F$1196&lt;=F1086))/SUMPRODUCT(($B$2:$B$1196=B1086)*1)</f>
        <v/>
      </c>
      <c r="H1086" s="2">
        <f>Cleaned_Data!J1086</f>
        <v/>
      </c>
      <c r="I1086" s="2">
        <f>Cleaned_Data!E1086</f>
        <v/>
      </c>
      <c r="J1086" s="2">
        <f>IF(C1086="Yes",1,0)</f>
        <v/>
      </c>
      <c r="K1086" s="2">
        <f>MIN(MAX(1-(D1086-1)/4,0),1)</f>
        <v/>
      </c>
      <c r="L1086" s="2">
        <f>MIN(E1086/60,1)</f>
        <v/>
      </c>
      <c r="M1086" s="2">
        <f>MIN(MAX(1-G1086,0),1)</f>
        <v/>
      </c>
      <c r="N1086" s="2">
        <f>MIN(MAX(1-(H1086-1)/4,0),1)</f>
        <v/>
      </c>
      <c r="O1086" s="2">
        <f>1-MIN(I1086/8,1)</f>
        <v/>
      </c>
      <c r="P1086" s="10">
        <f>ROUND(100*(J1086*Assumptions!$B$6+K1086*Assumptions!$B$7+L1086*Assumptions!$B$8+M1086*Assumptions!$B$9+N1086*Assumptions!$B$10+O1086*Assumptions!$B$11),1)</f>
        <v/>
      </c>
      <c r="Q1086" s="2">
        <f>IF(P1086&gt;=Assumptions!$B$14,"High",IF(P1086&gt;=Assumptions!$B$15,"Medium","Low"))</f>
        <v/>
      </c>
      <c r="R1086" s="2">
        <f>Cleaned_Data!L1086</f>
        <v/>
      </c>
    </row>
    <row r="1087">
      <c r="A1087" s="2">
        <f>Cleaned_Data!A1087</f>
        <v/>
      </c>
      <c r="B1087" s="2">
        <f>Cleaned_Data!B1087</f>
        <v/>
      </c>
      <c r="C1087" s="2">
        <f>Cleaned_Data!G1087</f>
        <v/>
      </c>
      <c r="D1087" s="2">
        <f>Cleaned_Data!I1087</f>
        <v/>
      </c>
      <c r="E1087" s="2">
        <f>Cleaned_Data!H1087</f>
        <v/>
      </c>
      <c r="F1087" s="2">
        <f>Cleaned_Data!F1087</f>
        <v/>
      </c>
      <c r="G1087" s="9">
        <f>SUMPRODUCT(($B$2:$B$1196=B1087)*($F$2:$F$1196&lt;=F1087))/SUMPRODUCT(($B$2:$B$1196=B1087)*1)</f>
        <v/>
      </c>
      <c r="H1087" s="2">
        <f>Cleaned_Data!J1087</f>
        <v/>
      </c>
      <c r="I1087" s="2">
        <f>Cleaned_Data!E1087</f>
        <v/>
      </c>
      <c r="J1087" s="2">
        <f>IF(C1087="Yes",1,0)</f>
        <v/>
      </c>
      <c r="K1087" s="2">
        <f>MIN(MAX(1-(D1087-1)/4,0),1)</f>
        <v/>
      </c>
      <c r="L1087" s="2">
        <f>MIN(E1087/60,1)</f>
        <v/>
      </c>
      <c r="M1087" s="2">
        <f>MIN(MAX(1-G1087,0),1)</f>
        <v/>
      </c>
      <c r="N1087" s="2">
        <f>MIN(MAX(1-(H1087-1)/4,0),1)</f>
        <v/>
      </c>
      <c r="O1087" s="2">
        <f>1-MIN(I1087/8,1)</f>
        <v/>
      </c>
      <c r="P1087" s="10">
        <f>ROUND(100*(J1087*Assumptions!$B$6+K1087*Assumptions!$B$7+L1087*Assumptions!$B$8+M1087*Assumptions!$B$9+N1087*Assumptions!$B$10+O1087*Assumptions!$B$11),1)</f>
        <v/>
      </c>
      <c r="Q1087" s="2">
        <f>IF(P1087&gt;=Assumptions!$B$14,"High",IF(P1087&gt;=Assumptions!$B$15,"Medium","Low"))</f>
        <v/>
      </c>
      <c r="R1087" s="2">
        <f>Cleaned_Data!L1087</f>
        <v/>
      </c>
    </row>
    <row r="1088">
      <c r="A1088" s="2">
        <f>Cleaned_Data!A1088</f>
        <v/>
      </c>
      <c r="B1088" s="2">
        <f>Cleaned_Data!B1088</f>
        <v/>
      </c>
      <c r="C1088" s="2">
        <f>Cleaned_Data!G1088</f>
        <v/>
      </c>
      <c r="D1088" s="2">
        <f>Cleaned_Data!I1088</f>
        <v/>
      </c>
      <c r="E1088" s="2">
        <f>Cleaned_Data!H1088</f>
        <v/>
      </c>
      <c r="F1088" s="2">
        <f>Cleaned_Data!F1088</f>
        <v/>
      </c>
      <c r="G1088" s="9">
        <f>SUMPRODUCT(($B$2:$B$1196=B1088)*($F$2:$F$1196&lt;=F1088))/SUMPRODUCT(($B$2:$B$1196=B1088)*1)</f>
        <v/>
      </c>
      <c r="H1088" s="2">
        <f>Cleaned_Data!J1088</f>
        <v/>
      </c>
      <c r="I1088" s="2">
        <f>Cleaned_Data!E1088</f>
        <v/>
      </c>
      <c r="J1088" s="2">
        <f>IF(C1088="Yes",1,0)</f>
        <v/>
      </c>
      <c r="K1088" s="2">
        <f>MIN(MAX(1-(D1088-1)/4,0),1)</f>
        <v/>
      </c>
      <c r="L1088" s="2">
        <f>MIN(E1088/60,1)</f>
        <v/>
      </c>
      <c r="M1088" s="2">
        <f>MIN(MAX(1-G1088,0),1)</f>
        <v/>
      </c>
      <c r="N1088" s="2">
        <f>MIN(MAX(1-(H1088-1)/4,0),1)</f>
        <v/>
      </c>
      <c r="O1088" s="2">
        <f>1-MIN(I1088/8,1)</f>
        <v/>
      </c>
      <c r="P1088" s="10">
        <f>ROUND(100*(J1088*Assumptions!$B$6+K1088*Assumptions!$B$7+L1088*Assumptions!$B$8+M1088*Assumptions!$B$9+N1088*Assumptions!$B$10+O1088*Assumptions!$B$11),1)</f>
        <v/>
      </c>
      <c r="Q1088" s="2">
        <f>IF(P1088&gt;=Assumptions!$B$14,"High",IF(P1088&gt;=Assumptions!$B$15,"Medium","Low"))</f>
        <v/>
      </c>
      <c r="R1088" s="2">
        <f>Cleaned_Data!L1088</f>
        <v/>
      </c>
    </row>
    <row r="1089">
      <c r="A1089" s="2">
        <f>Cleaned_Data!A1089</f>
        <v/>
      </c>
      <c r="B1089" s="2">
        <f>Cleaned_Data!B1089</f>
        <v/>
      </c>
      <c r="C1089" s="2">
        <f>Cleaned_Data!G1089</f>
        <v/>
      </c>
      <c r="D1089" s="2">
        <f>Cleaned_Data!I1089</f>
        <v/>
      </c>
      <c r="E1089" s="2">
        <f>Cleaned_Data!H1089</f>
        <v/>
      </c>
      <c r="F1089" s="2">
        <f>Cleaned_Data!F1089</f>
        <v/>
      </c>
      <c r="G1089" s="9">
        <f>SUMPRODUCT(($B$2:$B$1196=B1089)*($F$2:$F$1196&lt;=F1089))/SUMPRODUCT(($B$2:$B$1196=B1089)*1)</f>
        <v/>
      </c>
      <c r="H1089" s="2">
        <f>Cleaned_Data!J1089</f>
        <v/>
      </c>
      <c r="I1089" s="2">
        <f>Cleaned_Data!E1089</f>
        <v/>
      </c>
      <c r="J1089" s="2">
        <f>IF(C1089="Yes",1,0)</f>
        <v/>
      </c>
      <c r="K1089" s="2">
        <f>MIN(MAX(1-(D1089-1)/4,0),1)</f>
        <v/>
      </c>
      <c r="L1089" s="2">
        <f>MIN(E1089/60,1)</f>
        <v/>
      </c>
      <c r="M1089" s="2">
        <f>MIN(MAX(1-G1089,0),1)</f>
        <v/>
      </c>
      <c r="N1089" s="2">
        <f>MIN(MAX(1-(H1089-1)/4,0),1)</f>
        <v/>
      </c>
      <c r="O1089" s="2">
        <f>1-MIN(I1089/8,1)</f>
        <v/>
      </c>
      <c r="P1089" s="10">
        <f>ROUND(100*(J1089*Assumptions!$B$6+K1089*Assumptions!$B$7+L1089*Assumptions!$B$8+M1089*Assumptions!$B$9+N1089*Assumptions!$B$10+O1089*Assumptions!$B$11),1)</f>
        <v/>
      </c>
      <c r="Q1089" s="2">
        <f>IF(P1089&gt;=Assumptions!$B$14,"High",IF(P1089&gt;=Assumptions!$B$15,"Medium","Low"))</f>
        <v/>
      </c>
      <c r="R1089" s="2">
        <f>Cleaned_Data!L1089</f>
        <v/>
      </c>
    </row>
    <row r="1090">
      <c r="A1090" s="2">
        <f>Cleaned_Data!A1090</f>
        <v/>
      </c>
      <c r="B1090" s="2">
        <f>Cleaned_Data!B1090</f>
        <v/>
      </c>
      <c r="C1090" s="2">
        <f>Cleaned_Data!G1090</f>
        <v/>
      </c>
      <c r="D1090" s="2">
        <f>Cleaned_Data!I1090</f>
        <v/>
      </c>
      <c r="E1090" s="2">
        <f>Cleaned_Data!H1090</f>
        <v/>
      </c>
      <c r="F1090" s="2">
        <f>Cleaned_Data!F1090</f>
        <v/>
      </c>
      <c r="G1090" s="9">
        <f>SUMPRODUCT(($B$2:$B$1196=B1090)*($F$2:$F$1196&lt;=F1090))/SUMPRODUCT(($B$2:$B$1196=B1090)*1)</f>
        <v/>
      </c>
      <c r="H1090" s="2">
        <f>Cleaned_Data!J1090</f>
        <v/>
      </c>
      <c r="I1090" s="2">
        <f>Cleaned_Data!E1090</f>
        <v/>
      </c>
      <c r="J1090" s="2">
        <f>IF(C1090="Yes",1,0)</f>
        <v/>
      </c>
      <c r="K1090" s="2">
        <f>MIN(MAX(1-(D1090-1)/4,0),1)</f>
        <v/>
      </c>
      <c r="L1090" s="2">
        <f>MIN(E1090/60,1)</f>
        <v/>
      </c>
      <c r="M1090" s="2">
        <f>MIN(MAX(1-G1090,0),1)</f>
        <v/>
      </c>
      <c r="N1090" s="2">
        <f>MIN(MAX(1-(H1090-1)/4,0),1)</f>
        <v/>
      </c>
      <c r="O1090" s="2">
        <f>1-MIN(I1090/8,1)</f>
        <v/>
      </c>
      <c r="P1090" s="10">
        <f>ROUND(100*(J1090*Assumptions!$B$6+K1090*Assumptions!$B$7+L1090*Assumptions!$B$8+M1090*Assumptions!$B$9+N1090*Assumptions!$B$10+O1090*Assumptions!$B$11),1)</f>
        <v/>
      </c>
      <c r="Q1090" s="2">
        <f>IF(P1090&gt;=Assumptions!$B$14,"High",IF(P1090&gt;=Assumptions!$B$15,"Medium","Low"))</f>
        <v/>
      </c>
      <c r="R1090" s="2">
        <f>Cleaned_Data!L1090</f>
        <v/>
      </c>
    </row>
    <row r="1091">
      <c r="A1091" s="2">
        <f>Cleaned_Data!A1091</f>
        <v/>
      </c>
      <c r="B1091" s="2">
        <f>Cleaned_Data!B1091</f>
        <v/>
      </c>
      <c r="C1091" s="2">
        <f>Cleaned_Data!G1091</f>
        <v/>
      </c>
      <c r="D1091" s="2">
        <f>Cleaned_Data!I1091</f>
        <v/>
      </c>
      <c r="E1091" s="2">
        <f>Cleaned_Data!H1091</f>
        <v/>
      </c>
      <c r="F1091" s="2">
        <f>Cleaned_Data!F1091</f>
        <v/>
      </c>
      <c r="G1091" s="9">
        <f>SUMPRODUCT(($B$2:$B$1196=B1091)*($F$2:$F$1196&lt;=F1091))/SUMPRODUCT(($B$2:$B$1196=B1091)*1)</f>
        <v/>
      </c>
      <c r="H1091" s="2">
        <f>Cleaned_Data!J1091</f>
        <v/>
      </c>
      <c r="I1091" s="2">
        <f>Cleaned_Data!E1091</f>
        <v/>
      </c>
      <c r="J1091" s="2">
        <f>IF(C1091="Yes",1,0)</f>
        <v/>
      </c>
      <c r="K1091" s="2">
        <f>MIN(MAX(1-(D1091-1)/4,0),1)</f>
        <v/>
      </c>
      <c r="L1091" s="2">
        <f>MIN(E1091/60,1)</f>
        <v/>
      </c>
      <c r="M1091" s="2">
        <f>MIN(MAX(1-G1091,0),1)</f>
        <v/>
      </c>
      <c r="N1091" s="2">
        <f>MIN(MAX(1-(H1091-1)/4,0),1)</f>
        <v/>
      </c>
      <c r="O1091" s="2">
        <f>1-MIN(I1091/8,1)</f>
        <v/>
      </c>
      <c r="P1091" s="10">
        <f>ROUND(100*(J1091*Assumptions!$B$6+K1091*Assumptions!$B$7+L1091*Assumptions!$B$8+M1091*Assumptions!$B$9+N1091*Assumptions!$B$10+O1091*Assumptions!$B$11),1)</f>
        <v/>
      </c>
      <c r="Q1091" s="2">
        <f>IF(P1091&gt;=Assumptions!$B$14,"High",IF(P1091&gt;=Assumptions!$B$15,"Medium","Low"))</f>
        <v/>
      </c>
      <c r="R1091" s="2">
        <f>Cleaned_Data!L1091</f>
        <v/>
      </c>
    </row>
    <row r="1092">
      <c r="A1092" s="2">
        <f>Cleaned_Data!A1092</f>
        <v/>
      </c>
      <c r="B1092" s="2">
        <f>Cleaned_Data!B1092</f>
        <v/>
      </c>
      <c r="C1092" s="2">
        <f>Cleaned_Data!G1092</f>
        <v/>
      </c>
      <c r="D1092" s="2">
        <f>Cleaned_Data!I1092</f>
        <v/>
      </c>
      <c r="E1092" s="2">
        <f>Cleaned_Data!H1092</f>
        <v/>
      </c>
      <c r="F1092" s="2">
        <f>Cleaned_Data!F1092</f>
        <v/>
      </c>
      <c r="G1092" s="9">
        <f>SUMPRODUCT(($B$2:$B$1196=B1092)*($F$2:$F$1196&lt;=F1092))/SUMPRODUCT(($B$2:$B$1196=B1092)*1)</f>
        <v/>
      </c>
      <c r="H1092" s="2">
        <f>Cleaned_Data!J1092</f>
        <v/>
      </c>
      <c r="I1092" s="2">
        <f>Cleaned_Data!E1092</f>
        <v/>
      </c>
      <c r="J1092" s="2">
        <f>IF(C1092="Yes",1,0)</f>
        <v/>
      </c>
      <c r="K1092" s="2">
        <f>MIN(MAX(1-(D1092-1)/4,0),1)</f>
        <v/>
      </c>
      <c r="L1092" s="2">
        <f>MIN(E1092/60,1)</f>
        <v/>
      </c>
      <c r="M1092" s="2">
        <f>MIN(MAX(1-G1092,0),1)</f>
        <v/>
      </c>
      <c r="N1092" s="2">
        <f>MIN(MAX(1-(H1092-1)/4,0),1)</f>
        <v/>
      </c>
      <c r="O1092" s="2">
        <f>1-MIN(I1092/8,1)</f>
        <v/>
      </c>
      <c r="P1092" s="10">
        <f>ROUND(100*(J1092*Assumptions!$B$6+K1092*Assumptions!$B$7+L1092*Assumptions!$B$8+M1092*Assumptions!$B$9+N1092*Assumptions!$B$10+O1092*Assumptions!$B$11),1)</f>
        <v/>
      </c>
      <c r="Q1092" s="2">
        <f>IF(P1092&gt;=Assumptions!$B$14,"High",IF(P1092&gt;=Assumptions!$B$15,"Medium","Low"))</f>
        <v/>
      </c>
      <c r="R1092" s="2">
        <f>Cleaned_Data!L1092</f>
        <v/>
      </c>
    </row>
    <row r="1093">
      <c r="A1093" s="2">
        <f>Cleaned_Data!A1093</f>
        <v/>
      </c>
      <c r="B1093" s="2">
        <f>Cleaned_Data!B1093</f>
        <v/>
      </c>
      <c r="C1093" s="2">
        <f>Cleaned_Data!G1093</f>
        <v/>
      </c>
      <c r="D1093" s="2">
        <f>Cleaned_Data!I1093</f>
        <v/>
      </c>
      <c r="E1093" s="2">
        <f>Cleaned_Data!H1093</f>
        <v/>
      </c>
      <c r="F1093" s="2">
        <f>Cleaned_Data!F1093</f>
        <v/>
      </c>
      <c r="G1093" s="9">
        <f>SUMPRODUCT(($B$2:$B$1196=B1093)*($F$2:$F$1196&lt;=F1093))/SUMPRODUCT(($B$2:$B$1196=B1093)*1)</f>
        <v/>
      </c>
      <c r="H1093" s="2">
        <f>Cleaned_Data!J1093</f>
        <v/>
      </c>
      <c r="I1093" s="2">
        <f>Cleaned_Data!E1093</f>
        <v/>
      </c>
      <c r="J1093" s="2">
        <f>IF(C1093="Yes",1,0)</f>
        <v/>
      </c>
      <c r="K1093" s="2">
        <f>MIN(MAX(1-(D1093-1)/4,0),1)</f>
        <v/>
      </c>
      <c r="L1093" s="2">
        <f>MIN(E1093/60,1)</f>
        <v/>
      </c>
      <c r="M1093" s="2">
        <f>MIN(MAX(1-G1093,0),1)</f>
        <v/>
      </c>
      <c r="N1093" s="2">
        <f>MIN(MAX(1-(H1093-1)/4,0),1)</f>
        <v/>
      </c>
      <c r="O1093" s="2">
        <f>1-MIN(I1093/8,1)</f>
        <v/>
      </c>
      <c r="P1093" s="10">
        <f>ROUND(100*(J1093*Assumptions!$B$6+K1093*Assumptions!$B$7+L1093*Assumptions!$B$8+M1093*Assumptions!$B$9+N1093*Assumptions!$B$10+O1093*Assumptions!$B$11),1)</f>
        <v/>
      </c>
      <c r="Q1093" s="2">
        <f>IF(P1093&gt;=Assumptions!$B$14,"High",IF(P1093&gt;=Assumptions!$B$15,"Medium","Low"))</f>
        <v/>
      </c>
      <c r="R1093" s="2">
        <f>Cleaned_Data!L1093</f>
        <v/>
      </c>
    </row>
    <row r="1094">
      <c r="A1094" s="2">
        <f>Cleaned_Data!A1094</f>
        <v/>
      </c>
      <c r="B1094" s="2">
        <f>Cleaned_Data!B1094</f>
        <v/>
      </c>
      <c r="C1094" s="2">
        <f>Cleaned_Data!G1094</f>
        <v/>
      </c>
      <c r="D1094" s="2">
        <f>Cleaned_Data!I1094</f>
        <v/>
      </c>
      <c r="E1094" s="2">
        <f>Cleaned_Data!H1094</f>
        <v/>
      </c>
      <c r="F1094" s="2">
        <f>Cleaned_Data!F1094</f>
        <v/>
      </c>
      <c r="G1094" s="9">
        <f>SUMPRODUCT(($B$2:$B$1196=B1094)*($F$2:$F$1196&lt;=F1094))/SUMPRODUCT(($B$2:$B$1196=B1094)*1)</f>
        <v/>
      </c>
      <c r="H1094" s="2">
        <f>Cleaned_Data!J1094</f>
        <v/>
      </c>
      <c r="I1094" s="2">
        <f>Cleaned_Data!E1094</f>
        <v/>
      </c>
      <c r="J1094" s="2">
        <f>IF(C1094="Yes",1,0)</f>
        <v/>
      </c>
      <c r="K1094" s="2">
        <f>MIN(MAX(1-(D1094-1)/4,0),1)</f>
        <v/>
      </c>
      <c r="L1094" s="2">
        <f>MIN(E1094/60,1)</f>
        <v/>
      </c>
      <c r="M1094" s="2">
        <f>MIN(MAX(1-G1094,0),1)</f>
        <v/>
      </c>
      <c r="N1094" s="2">
        <f>MIN(MAX(1-(H1094-1)/4,0),1)</f>
        <v/>
      </c>
      <c r="O1094" s="2">
        <f>1-MIN(I1094/8,1)</f>
        <v/>
      </c>
      <c r="P1094" s="10">
        <f>ROUND(100*(J1094*Assumptions!$B$6+K1094*Assumptions!$B$7+L1094*Assumptions!$B$8+M1094*Assumptions!$B$9+N1094*Assumptions!$B$10+O1094*Assumptions!$B$11),1)</f>
        <v/>
      </c>
      <c r="Q1094" s="2">
        <f>IF(P1094&gt;=Assumptions!$B$14,"High",IF(P1094&gt;=Assumptions!$B$15,"Medium","Low"))</f>
        <v/>
      </c>
      <c r="R1094" s="2">
        <f>Cleaned_Data!L1094</f>
        <v/>
      </c>
    </row>
    <row r="1095">
      <c r="A1095" s="2">
        <f>Cleaned_Data!A1095</f>
        <v/>
      </c>
      <c r="B1095" s="2">
        <f>Cleaned_Data!B1095</f>
        <v/>
      </c>
      <c r="C1095" s="2">
        <f>Cleaned_Data!G1095</f>
        <v/>
      </c>
      <c r="D1095" s="2">
        <f>Cleaned_Data!I1095</f>
        <v/>
      </c>
      <c r="E1095" s="2">
        <f>Cleaned_Data!H1095</f>
        <v/>
      </c>
      <c r="F1095" s="2">
        <f>Cleaned_Data!F1095</f>
        <v/>
      </c>
      <c r="G1095" s="9">
        <f>SUMPRODUCT(($B$2:$B$1196=B1095)*($F$2:$F$1196&lt;=F1095))/SUMPRODUCT(($B$2:$B$1196=B1095)*1)</f>
        <v/>
      </c>
      <c r="H1095" s="2">
        <f>Cleaned_Data!J1095</f>
        <v/>
      </c>
      <c r="I1095" s="2">
        <f>Cleaned_Data!E1095</f>
        <v/>
      </c>
      <c r="J1095" s="2">
        <f>IF(C1095="Yes",1,0)</f>
        <v/>
      </c>
      <c r="K1095" s="2">
        <f>MIN(MAX(1-(D1095-1)/4,0),1)</f>
        <v/>
      </c>
      <c r="L1095" s="2">
        <f>MIN(E1095/60,1)</f>
        <v/>
      </c>
      <c r="M1095" s="2">
        <f>MIN(MAX(1-G1095,0),1)</f>
        <v/>
      </c>
      <c r="N1095" s="2">
        <f>MIN(MAX(1-(H1095-1)/4,0),1)</f>
        <v/>
      </c>
      <c r="O1095" s="2">
        <f>1-MIN(I1095/8,1)</f>
        <v/>
      </c>
      <c r="P1095" s="10">
        <f>ROUND(100*(J1095*Assumptions!$B$6+K1095*Assumptions!$B$7+L1095*Assumptions!$B$8+M1095*Assumptions!$B$9+N1095*Assumptions!$B$10+O1095*Assumptions!$B$11),1)</f>
        <v/>
      </c>
      <c r="Q1095" s="2">
        <f>IF(P1095&gt;=Assumptions!$B$14,"High",IF(P1095&gt;=Assumptions!$B$15,"Medium","Low"))</f>
        <v/>
      </c>
      <c r="R1095" s="2">
        <f>Cleaned_Data!L1095</f>
        <v/>
      </c>
    </row>
    <row r="1096">
      <c r="A1096" s="2">
        <f>Cleaned_Data!A1096</f>
        <v/>
      </c>
      <c r="B1096" s="2">
        <f>Cleaned_Data!B1096</f>
        <v/>
      </c>
      <c r="C1096" s="2">
        <f>Cleaned_Data!G1096</f>
        <v/>
      </c>
      <c r="D1096" s="2">
        <f>Cleaned_Data!I1096</f>
        <v/>
      </c>
      <c r="E1096" s="2">
        <f>Cleaned_Data!H1096</f>
        <v/>
      </c>
      <c r="F1096" s="2">
        <f>Cleaned_Data!F1096</f>
        <v/>
      </c>
      <c r="G1096" s="9">
        <f>SUMPRODUCT(($B$2:$B$1196=B1096)*($F$2:$F$1196&lt;=F1096))/SUMPRODUCT(($B$2:$B$1196=B1096)*1)</f>
        <v/>
      </c>
      <c r="H1096" s="2">
        <f>Cleaned_Data!J1096</f>
        <v/>
      </c>
      <c r="I1096" s="2">
        <f>Cleaned_Data!E1096</f>
        <v/>
      </c>
      <c r="J1096" s="2">
        <f>IF(C1096="Yes",1,0)</f>
        <v/>
      </c>
      <c r="K1096" s="2">
        <f>MIN(MAX(1-(D1096-1)/4,0),1)</f>
        <v/>
      </c>
      <c r="L1096" s="2">
        <f>MIN(E1096/60,1)</f>
        <v/>
      </c>
      <c r="M1096" s="2">
        <f>MIN(MAX(1-G1096,0),1)</f>
        <v/>
      </c>
      <c r="N1096" s="2">
        <f>MIN(MAX(1-(H1096-1)/4,0),1)</f>
        <v/>
      </c>
      <c r="O1096" s="2">
        <f>1-MIN(I1096/8,1)</f>
        <v/>
      </c>
      <c r="P1096" s="10">
        <f>ROUND(100*(J1096*Assumptions!$B$6+K1096*Assumptions!$B$7+L1096*Assumptions!$B$8+M1096*Assumptions!$B$9+N1096*Assumptions!$B$10+O1096*Assumptions!$B$11),1)</f>
        <v/>
      </c>
      <c r="Q1096" s="2">
        <f>IF(P1096&gt;=Assumptions!$B$14,"High",IF(P1096&gt;=Assumptions!$B$15,"Medium","Low"))</f>
        <v/>
      </c>
      <c r="R1096" s="2">
        <f>Cleaned_Data!L1096</f>
        <v/>
      </c>
    </row>
    <row r="1097">
      <c r="A1097" s="2">
        <f>Cleaned_Data!A1097</f>
        <v/>
      </c>
      <c r="B1097" s="2">
        <f>Cleaned_Data!B1097</f>
        <v/>
      </c>
      <c r="C1097" s="2">
        <f>Cleaned_Data!G1097</f>
        <v/>
      </c>
      <c r="D1097" s="2">
        <f>Cleaned_Data!I1097</f>
        <v/>
      </c>
      <c r="E1097" s="2">
        <f>Cleaned_Data!H1097</f>
        <v/>
      </c>
      <c r="F1097" s="2">
        <f>Cleaned_Data!F1097</f>
        <v/>
      </c>
      <c r="G1097" s="9">
        <f>SUMPRODUCT(($B$2:$B$1196=B1097)*($F$2:$F$1196&lt;=F1097))/SUMPRODUCT(($B$2:$B$1196=B1097)*1)</f>
        <v/>
      </c>
      <c r="H1097" s="2">
        <f>Cleaned_Data!J1097</f>
        <v/>
      </c>
      <c r="I1097" s="2">
        <f>Cleaned_Data!E1097</f>
        <v/>
      </c>
      <c r="J1097" s="2">
        <f>IF(C1097="Yes",1,0)</f>
        <v/>
      </c>
      <c r="K1097" s="2">
        <f>MIN(MAX(1-(D1097-1)/4,0),1)</f>
        <v/>
      </c>
      <c r="L1097" s="2">
        <f>MIN(E1097/60,1)</f>
        <v/>
      </c>
      <c r="M1097" s="2">
        <f>MIN(MAX(1-G1097,0),1)</f>
        <v/>
      </c>
      <c r="N1097" s="2">
        <f>MIN(MAX(1-(H1097-1)/4,0),1)</f>
        <v/>
      </c>
      <c r="O1097" s="2">
        <f>1-MIN(I1097/8,1)</f>
        <v/>
      </c>
      <c r="P1097" s="10">
        <f>ROUND(100*(J1097*Assumptions!$B$6+K1097*Assumptions!$B$7+L1097*Assumptions!$B$8+M1097*Assumptions!$B$9+N1097*Assumptions!$B$10+O1097*Assumptions!$B$11),1)</f>
        <v/>
      </c>
      <c r="Q1097" s="2">
        <f>IF(P1097&gt;=Assumptions!$B$14,"High",IF(P1097&gt;=Assumptions!$B$15,"Medium","Low"))</f>
        <v/>
      </c>
      <c r="R1097" s="2">
        <f>Cleaned_Data!L1097</f>
        <v/>
      </c>
    </row>
    <row r="1098">
      <c r="A1098" s="2">
        <f>Cleaned_Data!A1098</f>
        <v/>
      </c>
      <c r="B1098" s="2">
        <f>Cleaned_Data!B1098</f>
        <v/>
      </c>
      <c r="C1098" s="2">
        <f>Cleaned_Data!G1098</f>
        <v/>
      </c>
      <c r="D1098" s="2">
        <f>Cleaned_Data!I1098</f>
        <v/>
      </c>
      <c r="E1098" s="2">
        <f>Cleaned_Data!H1098</f>
        <v/>
      </c>
      <c r="F1098" s="2">
        <f>Cleaned_Data!F1098</f>
        <v/>
      </c>
      <c r="G1098" s="9">
        <f>SUMPRODUCT(($B$2:$B$1196=B1098)*($F$2:$F$1196&lt;=F1098))/SUMPRODUCT(($B$2:$B$1196=B1098)*1)</f>
        <v/>
      </c>
      <c r="H1098" s="2">
        <f>Cleaned_Data!J1098</f>
        <v/>
      </c>
      <c r="I1098" s="2">
        <f>Cleaned_Data!E1098</f>
        <v/>
      </c>
      <c r="J1098" s="2">
        <f>IF(C1098="Yes",1,0)</f>
        <v/>
      </c>
      <c r="K1098" s="2">
        <f>MIN(MAX(1-(D1098-1)/4,0),1)</f>
        <v/>
      </c>
      <c r="L1098" s="2">
        <f>MIN(E1098/60,1)</f>
        <v/>
      </c>
      <c r="M1098" s="2">
        <f>MIN(MAX(1-G1098,0),1)</f>
        <v/>
      </c>
      <c r="N1098" s="2">
        <f>MIN(MAX(1-(H1098-1)/4,0),1)</f>
        <v/>
      </c>
      <c r="O1098" s="2">
        <f>1-MIN(I1098/8,1)</f>
        <v/>
      </c>
      <c r="P1098" s="10">
        <f>ROUND(100*(J1098*Assumptions!$B$6+K1098*Assumptions!$B$7+L1098*Assumptions!$B$8+M1098*Assumptions!$B$9+N1098*Assumptions!$B$10+O1098*Assumptions!$B$11),1)</f>
        <v/>
      </c>
      <c r="Q1098" s="2">
        <f>IF(P1098&gt;=Assumptions!$B$14,"High",IF(P1098&gt;=Assumptions!$B$15,"Medium","Low"))</f>
        <v/>
      </c>
      <c r="R1098" s="2">
        <f>Cleaned_Data!L1098</f>
        <v/>
      </c>
    </row>
    <row r="1099">
      <c r="A1099" s="2">
        <f>Cleaned_Data!A1099</f>
        <v/>
      </c>
      <c r="B1099" s="2">
        <f>Cleaned_Data!B1099</f>
        <v/>
      </c>
      <c r="C1099" s="2">
        <f>Cleaned_Data!G1099</f>
        <v/>
      </c>
      <c r="D1099" s="2">
        <f>Cleaned_Data!I1099</f>
        <v/>
      </c>
      <c r="E1099" s="2">
        <f>Cleaned_Data!H1099</f>
        <v/>
      </c>
      <c r="F1099" s="2">
        <f>Cleaned_Data!F1099</f>
        <v/>
      </c>
      <c r="G1099" s="9">
        <f>SUMPRODUCT(($B$2:$B$1196=B1099)*($F$2:$F$1196&lt;=F1099))/SUMPRODUCT(($B$2:$B$1196=B1099)*1)</f>
        <v/>
      </c>
      <c r="H1099" s="2">
        <f>Cleaned_Data!J1099</f>
        <v/>
      </c>
      <c r="I1099" s="2">
        <f>Cleaned_Data!E1099</f>
        <v/>
      </c>
      <c r="J1099" s="2">
        <f>IF(C1099="Yes",1,0)</f>
        <v/>
      </c>
      <c r="K1099" s="2">
        <f>MIN(MAX(1-(D1099-1)/4,0),1)</f>
        <v/>
      </c>
      <c r="L1099" s="2">
        <f>MIN(E1099/60,1)</f>
        <v/>
      </c>
      <c r="M1099" s="2">
        <f>MIN(MAX(1-G1099,0),1)</f>
        <v/>
      </c>
      <c r="N1099" s="2">
        <f>MIN(MAX(1-(H1099-1)/4,0),1)</f>
        <v/>
      </c>
      <c r="O1099" s="2">
        <f>1-MIN(I1099/8,1)</f>
        <v/>
      </c>
      <c r="P1099" s="10">
        <f>ROUND(100*(J1099*Assumptions!$B$6+K1099*Assumptions!$B$7+L1099*Assumptions!$B$8+M1099*Assumptions!$B$9+N1099*Assumptions!$B$10+O1099*Assumptions!$B$11),1)</f>
        <v/>
      </c>
      <c r="Q1099" s="2">
        <f>IF(P1099&gt;=Assumptions!$B$14,"High",IF(P1099&gt;=Assumptions!$B$15,"Medium","Low"))</f>
        <v/>
      </c>
      <c r="R1099" s="2">
        <f>Cleaned_Data!L1099</f>
        <v/>
      </c>
    </row>
    <row r="1100">
      <c r="A1100" s="2">
        <f>Cleaned_Data!A1100</f>
        <v/>
      </c>
      <c r="B1100" s="2">
        <f>Cleaned_Data!B1100</f>
        <v/>
      </c>
      <c r="C1100" s="2">
        <f>Cleaned_Data!G1100</f>
        <v/>
      </c>
      <c r="D1100" s="2">
        <f>Cleaned_Data!I1100</f>
        <v/>
      </c>
      <c r="E1100" s="2">
        <f>Cleaned_Data!H1100</f>
        <v/>
      </c>
      <c r="F1100" s="2">
        <f>Cleaned_Data!F1100</f>
        <v/>
      </c>
      <c r="G1100" s="9">
        <f>SUMPRODUCT(($B$2:$B$1196=B1100)*($F$2:$F$1196&lt;=F1100))/SUMPRODUCT(($B$2:$B$1196=B1100)*1)</f>
        <v/>
      </c>
      <c r="H1100" s="2">
        <f>Cleaned_Data!J1100</f>
        <v/>
      </c>
      <c r="I1100" s="2">
        <f>Cleaned_Data!E1100</f>
        <v/>
      </c>
      <c r="J1100" s="2">
        <f>IF(C1100="Yes",1,0)</f>
        <v/>
      </c>
      <c r="K1100" s="2">
        <f>MIN(MAX(1-(D1100-1)/4,0),1)</f>
        <v/>
      </c>
      <c r="L1100" s="2">
        <f>MIN(E1100/60,1)</f>
        <v/>
      </c>
      <c r="M1100" s="2">
        <f>MIN(MAX(1-G1100,0),1)</f>
        <v/>
      </c>
      <c r="N1100" s="2">
        <f>MIN(MAX(1-(H1100-1)/4,0),1)</f>
        <v/>
      </c>
      <c r="O1100" s="2">
        <f>1-MIN(I1100/8,1)</f>
        <v/>
      </c>
      <c r="P1100" s="10">
        <f>ROUND(100*(J1100*Assumptions!$B$6+K1100*Assumptions!$B$7+L1100*Assumptions!$B$8+M1100*Assumptions!$B$9+N1100*Assumptions!$B$10+O1100*Assumptions!$B$11),1)</f>
        <v/>
      </c>
      <c r="Q1100" s="2">
        <f>IF(P1100&gt;=Assumptions!$B$14,"High",IF(P1100&gt;=Assumptions!$B$15,"Medium","Low"))</f>
        <v/>
      </c>
      <c r="R1100" s="2">
        <f>Cleaned_Data!L1100</f>
        <v/>
      </c>
    </row>
    <row r="1101">
      <c r="A1101" s="2">
        <f>Cleaned_Data!A1101</f>
        <v/>
      </c>
      <c r="B1101" s="2">
        <f>Cleaned_Data!B1101</f>
        <v/>
      </c>
      <c r="C1101" s="2">
        <f>Cleaned_Data!G1101</f>
        <v/>
      </c>
      <c r="D1101" s="2">
        <f>Cleaned_Data!I1101</f>
        <v/>
      </c>
      <c r="E1101" s="2">
        <f>Cleaned_Data!H1101</f>
        <v/>
      </c>
      <c r="F1101" s="2">
        <f>Cleaned_Data!F1101</f>
        <v/>
      </c>
      <c r="G1101" s="9">
        <f>SUMPRODUCT(($B$2:$B$1196=B1101)*($F$2:$F$1196&lt;=F1101))/SUMPRODUCT(($B$2:$B$1196=B1101)*1)</f>
        <v/>
      </c>
      <c r="H1101" s="2">
        <f>Cleaned_Data!J1101</f>
        <v/>
      </c>
      <c r="I1101" s="2">
        <f>Cleaned_Data!E1101</f>
        <v/>
      </c>
      <c r="J1101" s="2">
        <f>IF(C1101="Yes",1,0)</f>
        <v/>
      </c>
      <c r="K1101" s="2">
        <f>MIN(MAX(1-(D1101-1)/4,0),1)</f>
        <v/>
      </c>
      <c r="L1101" s="2">
        <f>MIN(E1101/60,1)</f>
        <v/>
      </c>
      <c r="M1101" s="2">
        <f>MIN(MAX(1-G1101,0),1)</f>
        <v/>
      </c>
      <c r="N1101" s="2">
        <f>MIN(MAX(1-(H1101-1)/4,0),1)</f>
        <v/>
      </c>
      <c r="O1101" s="2">
        <f>1-MIN(I1101/8,1)</f>
        <v/>
      </c>
      <c r="P1101" s="10">
        <f>ROUND(100*(J1101*Assumptions!$B$6+K1101*Assumptions!$B$7+L1101*Assumptions!$B$8+M1101*Assumptions!$B$9+N1101*Assumptions!$B$10+O1101*Assumptions!$B$11),1)</f>
        <v/>
      </c>
      <c r="Q1101" s="2">
        <f>IF(P1101&gt;=Assumptions!$B$14,"High",IF(P1101&gt;=Assumptions!$B$15,"Medium","Low"))</f>
        <v/>
      </c>
      <c r="R1101" s="2">
        <f>Cleaned_Data!L1101</f>
        <v/>
      </c>
    </row>
    <row r="1102">
      <c r="A1102" s="2">
        <f>Cleaned_Data!A1102</f>
        <v/>
      </c>
      <c r="B1102" s="2">
        <f>Cleaned_Data!B1102</f>
        <v/>
      </c>
      <c r="C1102" s="2">
        <f>Cleaned_Data!G1102</f>
        <v/>
      </c>
      <c r="D1102" s="2">
        <f>Cleaned_Data!I1102</f>
        <v/>
      </c>
      <c r="E1102" s="2">
        <f>Cleaned_Data!H1102</f>
        <v/>
      </c>
      <c r="F1102" s="2">
        <f>Cleaned_Data!F1102</f>
        <v/>
      </c>
      <c r="G1102" s="9">
        <f>SUMPRODUCT(($B$2:$B$1196=B1102)*($F$2:$F$1196&lt;=F1102))/SUMPRODUCT(($B$2:$B$1196=B1102)*1)</f>
        <v/>
      </c>
      <c r="H1102" s="2">
        <f>Cleaned_Data!J1102</f>
        <v/>
      </c>
      <c r="I1102" s="2">
        <f>Cleaned_Data!E1102</f>
        <v/>
      </c>
      <c r="J1102" s="2">
        <f>IF(C1102="Yes",1,0)</f>
        <v/>
      </c>
      <c r="K1102" s="2">
        <f>MIN(MAX(1-(D1102-1)/4,0),1)</f>
        <v/>
      </c>
      <c r="L1102" s="2">
        <f>MIN(E1102/60,1)</f>
        <v/>
      </c>
      <c r="M1102" s="2">
        <f>MIN(MAX(1-G1102,0),1)</f>
        <v/>
      </c>
      <c r="N1102" s="2">
        <f>MIN(MAX(1-(H1102-1)/4,0),1)</f>
        <v/>
      </c>
      <c r="O1102" s="2">
        <f>1-MIN(I1102/8,1)</f>
        <v/>
      </c>
      <c r="P1102" s="10">
        <f>ROUND(100*(J1102*Assumptions!$B$6+K1102*Assumptions!$B$7+L1102*Assumptions!$B$8+M1102*Assumptions!$B$9+N1102*Assumptions!$B$10+O1102*Assumptions!$B$11),1)</f>
        <v/>
      </c>
      <c r="Q1102" s="2">
        <f>IF(P1102&gt;=Assumptions!$B$14,"High",IF(P1102&gt;=Assumptions!$B$15,"Medium","Low"))</f>
        <v/>
      </c>
      <c r="R1102" s="2">
        <f>Cleaned_Data!L1102</f>
        <v/>
      </c>
    </row>
    <row r="1103">
      <c r="A1103" s="2">
        <f>Cleaned_Data!A1103</f>
        <v/>
      </c>
      <c r="B1103" s="2">
        <f>Cleaned_Data!B1103</f>
        <v/>
      </c>
      <c r="C1103" s="2">
        <f>Cleaned_Data!G1103</f>
        <v/>
      </c>
      <c r="D1103" s="2">
        <f>Cleaned_Data!I1103</f>
        <v/>
      </c>
      <c r="E1103" s="2">
        <f>Cleaned_Data!H1103</f>
        <v/>
      </c>
      <c r="F1103" s="2">
        <f>Cleaned_Data!F1103</f>
        <v/>
      </c>
      <c r="G1103" s="9">
        <f>SUMPRODUCT(($B$2:$B$1196=B1103)*($F$2:$F$1196&lt;=F1103))/SUMPRODUCT(($B$2:$B$1196=B1103)*1)</f>
        <v/>
      </c>
      <c r="H1103" s="2">
        <f>Cleaned_Data!J1103</f>
        <v/>
      </c>
      <c r="I1103" s="2">
        <f>Cleaned_Data!E1103</f>
        <v/>
      </c>
      <c r="J1103" s="2">
        <f>IF(C1103="Yes",1,0)</f>
        <v/>
      </c>
      <c r="K1103" s="2">
        <f>MIN(MAX(1-(D1103-1)/4,0),1)</f>
        <v/>
      </c>
      <c r="L1103" s="2">
        <f>MIN(E1103/60,1)</f>
        <v/>
      </c>
      <c r="M1103" s="2">
        <f>MIN(MAX(1-G1103,0),1)</f>
        <v/>
      </c>
      <c r="N1103" s="2">
        <f>MIN(MAX(1-(H1103-1)/4,0),1)</f>
        <v/>
      </c>
      <c r="O1103" s="2">
        <f>1-MIN(I1103/8,1)</f>
        <v/>
      </c>
      <c r="P1103" s="10">
        <f>ROUND(100*(J1103*Assumptions!$B$6+K1103*Assumptions!$B$7+L1103*Assumptions!$B$8+M1103*Assumptions!$B$9+N1103*Assumptions!$B$10+O1103*Assumptions!$B$11),1)</f>
        <v/>
      </c>
      <c r="Q1103" s="2">
        <f>IF(P1103&gt;=Assumptions!$B$14,"High",IF(P1103&gt;=Assumptions!$B$15,"Medium","Low"))</f>
        <v/>
      </c>
      <c r="R1103" s="2">
        <f>Cleaned_Data!L1103</f>
        <v/>
      </c>
    </row>
    <row r="1104">
      <c r="A1104" s="2">
        <f>Cleaned_Data!A1104</f>
        <v/>
      </c>
      <c r="B1104" s="2">
        <f>Cleaned_Data!B1104</f>
        <v/>
      </c>
      <c r="C1104" s="2">
        <f>Cleaned_Data!G1104</f>
        <v/>
      </c>
      <c r="D1104" s="2">
        <f>Cleaned_Data!I1104</f>
        <v/>
      </c>
      <c r="E1104" s="2">
        <f>Cleaned_Data!H1104</f>
        <v/>
      </c>
      <c r="F1104" s="2">
        <f>Cleaned_Data!F1104</f>
        <v/>
      </c>
      <c r="G1104" s="9">
        <f>SUMPRODUCT(($B$2:$B$1196=B1104)*($F$2:$F$1196&lt;=F1104))/SUMPRODUCT(($B$2:$B$1196=B1104)*1)</f>
        <v/>
      </c>
      <c r="H1104" s="2">
        <f>Cleaned_Data!J1104</f>
        <v/>
      </c>
      <c r="I1104" s="2">
        <f>Cleaned_Data!E1104</f>
        <v/>
      </c>
      <c r="J1104" s="2">
        <f>IF(C1104="Yes",1,0)</f>
        <v/>
      </c>
      <c r="K1104" s="2">
        <f>MIN(MAX(1-(D1104-1)/4,0),1)</f>
        <v/>
      </c>
      <c r="L1104" s="2">
        <f>MIN(E1104/60,1)</f>
        <v/>
      </c>
      <c r="M1104" s="2">
        <f>MIN(MAX(1-G1104,0),1)</f>
        <v/>
      </c>
      <c r="N1104" s="2">
        <f>MIN(MAX(1-(H1104-1)/4,0),1)</f>
        <v/>
      </c>
      <c r="O1104" s="2">
        <f>1-MIN(I1104/8,1)</f>
        <v/>
      </c>
      <c r="P1104" s="10">
        <f>ROUND(100*(J1104*Assumptions!$B$6+K1104*Assumptions!$B$7+L1104*Assumptions!$B$8+M1104*Assumptions!$B$9+N1104*Assumptions!$B$10+O1104*Assumptions!$B$11),1)</f>
        <v/>
      </c>
      <c r="Q1104" s="2">
        <f>IF(P1104&gt;=Assumptions!$B$14,"High",IF(P1104&gt;=Assumptions!$B$15,"Medium","Low"))</f>
        <v/>
      </c>
      <c r="R1104" s="2">
        <f>Cleaned_Data!L1104</f>
        <v/>
      </c>
    </row>
    <row r="1105">
      <c r="A1105" s="2">
        <f>Cleaned_Data!A1105</f>
        <v/>
      </c>
      <c r="B1105" s="2">
        <f>Cleaned_Data!B1105</f>
        <v/>
      </c>
      <c r="C1105" s="2">
        <f>Cleaned_Data!G1105</f>
        <v/>
      </c>
      <c r="D1105" s="2">
        <f>Cleaned_Data!I1105</f>
        <v/>
      </c>
      <c r="E1105" s="2">
        <f>Cleaned_Data!H1105</f>
        <v/>
      </c>
      <c r="F1105" s="2">
        <f>Cleaned_Data!F1105</f>
        <v/>
      </c>
      <c r="G1105" s="9">
        <f>SUMPRODUCT(($B$2:$B$1196=B1105)*($F$2:$F$1196&lt;=F1105))/SUMPRODUCT(($B$2:$B$1196=B1105)*1)</f>
        <v/>
      </c>
      <c r="H1105" s="2">
        <f>Cleaned_Data!J1105</f>
        <v/>
      </c>
      <c r="I1105" s="2">
        <f>Cleaned_Data!E1105</f>
        <v/>
      </c>
      <c r="J1105" s="2">
        <f>IF(C1105="Yes",1,0)</f>
        <v/>
      </c>
      <c r="K1105" s="2">
        <f>MIN(MAX(1-(D1105-1)/4,0),1)</f>
        <v/>
      </c>
      <c r="L1105" s="2">
        <f>MIN(E1105/60,1)</f>
        <v/>
      </c>
      <c r="M1105" s="2">
        <f>MIN(MAX(1-G1105,0),1)</f>
        <v/>
      </c>
      <c r="N1105" s="2">
        <f>MIN(MAX(1-(H1105-1)/4,0),1)</f>
        <v/>
      </c>
      <c r="O1105" s="2">
        <f>1-MIN(I1105/8,1)</f>
        <v/>
      </c>
      <c r="P1105" s="10">
        <f>ROUND(100*(J1105*Assumptions!$B$6+K1105*Assumptions!$B$7+L1105*Assumptions!$B$8+M1105*Assumptions!$B$9+N1105*Assumptions!$B$10+O1105*Assumptions!$B$11),1)</f>
        <v/>
      </c>
      <c r="Q1105" s="2">
        <f>IF(P1105&gt;=Assumptions!$B$14,"High",IF(P1105&gt;=Assumptions!$B$15,"Medium","Low"))</f>
        <v/>
      </c>
      <c r="R1105" s="2">
        <f>Cleaned_Data!L1105</f>
        <v/>
      </c>
    </row>
    <row r="1106">
      <c r="A1106" s="2">
        <f>Cleaned_Data!A1106</f>
        <v/>
      </c>
      <c r="B1106" s="2">
        <f>Cleaned_Data!B1106</f>
        <v/>
      </c>
      <c r="C1106" s="2">
        <f>Cleaned_Data!G1106</f>
        <v/>
      </c>
      <c r="D1106" s="2">
        <f>Cleaned_Data!I1106</f>
        <v/>
      </c>
      <c r="E1106" s="2">
        <f>Cleaned_Data!H1106</f>
        <v/>
      </c>
      <c r="F1106" s="2">
        <f>Cleaned_Data!F1106</f>
        <v/>
      </c>
      <c r="G1106" s="9">
        <f>SUMPRODUCT(($B$2:$B$1196=B1106)*($F$2:$F$1196&lt;=F1106))/SUMPRODUCT(($B$2:$B$1196=B1106)*1)</f>
        <v/>
      </c>
      <c r="H1106" s="2">
        <f>Cleaned_Data!J1106</f>
        <v/>
      </c>
      <c r="I1106" s="2">
        <f>Cleaned_Data!E1106</f>
        <v/>
      </c>
      <c r="J1106" s="2">
        <f>IF(C1106="Yes",1,0)</f>
        <v/>
      </c>
      <c r="K1106" s="2">
        <f>MIN(MAX(1-(D1106-1)/4,0),1)</f>
        <v/>
      </c>
      <c r="L1106" s="2">
        <f>MIN(E1106/60,1)</f>
        <v/>
      </c>
      <c r="M1106" s="2">
        <f>MIN(MAX(1-G1106,0),1)</f>
        <v/>
      </c>
      <c r="N1106" s="2">
        <f>MIN(MAX(1-(H1106-1)/4,0),1)</f>
        <v/>
      </c>
      <c r="O1106" s="2">
        <f>1-MIN(I1106/8,1)</f>
        <v/>
      </c>
      <c r="P1106" s="10">
        <f>ROUND(100*(J1106*Assumptions!$B$6+K1106*Assumptions!$B$7+L1106*Assumptions!$B$8+M1106*Assumptions!$B$9+N1106*Assumptions!$B$10+O1106*Assumptions!$B$11),1)</f>
        <v/>
      </c>
      <c r="Q1106" s="2">
        <f>IF(P1106&gt;=Assumptions!$B$14,"High",IF(P1106&gt;=Assumptions!$B$15,"Medium","Low"))</f>
        <v/>
      </c>
      <c r="R1106" s="2">
        <f>Cleaned_Data!L1106</f>
        <v/>
      </c>
    </row>
    <row r="1107">
      <c r="A1107" s="2">
        <f>Cleaned_Data!A1107</f>
        <v/>
      </c>
      <c r="B1107" s="2">
        <f>Cleaned_Data!B1107</f>
        <v/>
      </c>
      <c r="C1107" s="2">
        <f>Cleaned_Data!G1107</f>
        <v/>
      </c>
      <c r="D1107" s="2">
        <f>Cleaned_Data!I1107</f>
        <v/>
      </c>
      <c r="E1107" s="2">
        <f>Cleaned_Data!H1107</f>
        <v/>
      </c>
      <c r="F1107" s="2">
        <f>Cleaned_Data!F1107</f>
        <v/>
      </c>
      <c r="G1107" s="9">
        <f>SUMPRODUCT(($B$2:$B$1196=B1107)*($F$2:$F$1196&lt;=F1107))/SUMPRODUCT(($B$2:$B$1196=B1107)*1)</f>
        <v/>
      </c>
      <c r="H1107" s="2">
        <f>Cleaned_Data!J1107</f>
        <v/>
      </c>
      <c r="I1107" s="2">
        <f>Cleaned_Data!E1107</f>
        <v/>
      </c>
      <c r="J1107" s="2">
        <f>IF(C1107="Yes",1,0)</f>
        <v/>
      </c>
      <c r="K1107" s="2">
        <f>MIN(MAX(1-(D1107-1)/4,0),1)</f>
        <v/>
      </c>
      <c r="L1107" s="2">
        <f>MIN(E1107/60,1)</f>
        <v/>
      </c>
      <c r="M1107" s="2">
        <f>MIN(MAX(1-G1107,0),1)</f>
        <v/>
      </c>
      <c r="N1107" s="2">
        <f>MIN(MAX(1-(H1107-1)/4,0),1)</f>
        <v/>
      </c>
      <c r="O1107" s="2">
        <f>1-MIN(I1107/8,1)</f>
        <v/>
      </c>
      <c r="P1107" s="10">
        <f>ROUND(100*(J1107*Assumptions!$B$6+K1107*Assumptions!$B$7+L1107*Assumptions!$B$8+M1107*Assumptions!$B$9+N1107*Assumptions!$B$10+O1107*Assumptions!$B$11),1)</f>
        <v/>
      </c>
      <c r="Q1107" s="2">
        <f>IF(P1107&gt;=Assumptions!$B$14,"High",IF(P1107&gt;=Assumptions!$B$15,"Medium","Low"))</f>
        <v/>
      </c>
      <c r="R1107" s="2">
        <f>Cleaned_Data!L1107</f>
        <v/>
      </c>
    </row>
    <row r="1108">
      <c r="A1108" s="2">
        <f>Cleaned_Data!A1108</f>
        <v/>
      </c>
      <c r="B1108" s="2">
        <f>Cleaned_Data!B1108</f>
        <v/>
      </c>
      <c r="C1108" s="2">
        <f>Cleaned_Data!G1108</f>
        <v/>
      </c>
      <c r="D1108" s="2">
        <f>Cleaned_Data!I1108</f>
        <v/>
      </c>
      <c r="E1108" s="2">
        <f>Cleaned_Data!H1108</f>
        <v/>
      </c>
      <c r="F1108" s="2">
        <f>Cleaned_Data!F1108</f>
        <v/>
      </c>
      <c r="G1108" s="9">
        <f>SUMPRODUCT(($B$2:$B$1196=B1108)*($F$2:$F$1196&lt;=F1108))/SUMPRODUCT(($B$2:$B$1196=B1108)*1)</f>
        <v/>
      </c>
      <c r="H1108" s="2">
        <f>Cleaned_Data!J1108</f>
        <v/>
      </c>
      <c r="I1108" s="2">
        <f>Cleaned_Data!E1108</f>
        <v/>
      </c>
      <c r="J1108" s="2">
        <f>IF(C1108="Yes",1,0)</f>
        <v/>
      </c>
      <c r="K1108" s="2">
        <f>MIN(MAX(1-(D1108-1)/4,0),1)</f>
        <v/>
      </c>
      <c r="L1108" s="2">
        <f>MIN(E1108/60,1)</f>
        <v/>
      </c>
      <c r="M1108" s="2">
        <f>MIN(MAX(1-G1108,0),1)</f>
        <v/>
      </c>
      <c r="N1108" s="2">
        <f>MIN(MAX(1-(H1108-1)/4,0),1)</f>
        <v/>
      </c>
      <c r="O1108" s="2">
        <f>1-MIN(I1108/8,1)</f>
        <v/>
      </c>
      <c r="P1108" s="10">
        <f>ROUND(100*(J1108*Assumptions!$B$6+K1108*Assumptions!$B$7+L1108*Assumptions!$B$8+M1108*Assumptions!$B$9+N1108*Assumptions!$B$10+O1108*Assumptions!$B$11),1)</f>
        <v/>
      </c>
      <c r="Q1108" s="2">
        <f>IF(P1108&gt;=Assumptions!$B$14,"High",IF(P1108&gt;=Assumptions!$B$15,"Medium","Low"))</f>
        <v/>
      </c>
      <c r="R1108" s="2">
        <f>Cleaned_Data!L1108</f>
        <v/>
      </c>
    </row>
    <row r="1109">
      <c r="A1109" s="2">
        <f>Cleaned_Data!A1109</f>
        <v/>
      </c>
      <c r="B1109" s="2">
        <f>Cleaned_Data!B1109</f>
        <v/>
      </c>
      <c r="C1109" s="2">
        <f>Cleaned_Data!G1109</f>
        <v/>
      </c>
      <c r="D1109" s="2">
        <f>Cleaned_Data!I1109</f>
        <v/>
      </c>
      <c r="E1109" s="2">
        <f>Cleaned_Data!H1109</f>
        <v/>
      </c>
      <c r="F1109" s="2">
        <f>Cleaned_Data!F1109</f>
        <v/>
      </c>
      <c r="G1109" s="9">
        <f>SUMPRODUCT(($B$2:$B$1196=B1109)*($F$2:$F$1196&lt;=F1109))/SUMPRODUCT(($B$2:$B$1196=B1109)*1)</f>
        <v/>
      </c>
      <c r="H1109" s="2">
        <f>Cleaned_Data!J1109</f>
        <v/>
      </c>
      <c r="I1109" s="2">
        <f>Cleaned_Data!E1109</f>
        <v/>
      </c>
      <c r="J1109" s="2">
        <f>IF(C1109="Yes",1,0)</f>
        <v/>
      </c>
      <c r="K1109" s="2">
        <f>MIN(MAX(1-(D1109-1)/4,0),1)</f>
        <v/>
      </c>
      <c r="L1109" s="2">
        <f>MIN(E1109/60,1)</f>
        <v/>
      </c>
      <c r="M1109" s="2">
        <f>MIN(MAX(1-G1109,0),1)</f>
        <v/>
      </c>
      <c r="N1109" s="2">
        <f>MIN(MAX(1-(H1109-1)/4,0),1)</f>
        <v/>
      </c>
      <c r="O1109" s="2">
        <f>1-MIN(I1109/8,1)</f>
        <v/>
      </c>
      <c r="P1109" s="10">
        <f>ROUND(100*(J1109*Assumptions!$B$6+K1109*Assumptions!$B$7+L1109*Assumptions!$B$8+M1109*Assumptions!$B$9+N1109*Assumptions!$B$10+O1109*Assumptions!$B$11),1)</f>
        <v/>
      </c>
      <c r="Q1109" s="2">
        <f>IF(P1109&gt;=Assumptions!$B$14,"High",IF(P1109&gt;=Assumptions!$B$15,"Medium","Low"))</f>
        <v/>
      </c>
      <c r="R1109" s="2">
        <f>Cleaned_Data!L1109</f>
        <v/>
      </c>
    </row>
    <row r="1110">
      <c r="A1110" s="2">
        <f>Cleaned_Data!A1110</f>
        <v/>
      </c>
      <c r="B1110" s="2">
        <f>Cleaned_Data!B1110</f>
        <v/>
      </c>
      <c r="C1110" s="2">
        <f>Cleaned_Data!G1110</f>
        <v/>
      </c>
      <c r="D1110" s="2">
        <f>Cleaned_Data!I1110</f>
        <v/>
      </c>
      <c r="E1110" s="2">
        <f>Cleaned_Data!H1110</f>
        <v/>
      </c>
      <c r="F1110" s="2">
        <f>Cleaned_Data!F1110</f>
        <v/>
      </c>
      <c r="G1110" s="9">
        <f>SUMPRODUCT(($B$2:$B$1196=B1110)*($F$2:$F$1196&lt;=F1110))/SUMPRODUCT(($B$2:$B$1196=B1110)*1)</f>
        <v/>
      </c>
      <c r="H1110" s="2">
        <f>Cleaned_Data!J1110</f>
        <v/>
      </c>
      <c r="I1110" s="2">
        <f>Cleaned_Data!E1110</f>
        <v/>
      </c>
      <c r="J1110" s="2">
        <f>IF(C1110="Yes",1,0)</f>
        <v/>
      </c>
      <c r="K1110" s="2">
        <f>MIN(MAX(1-(D1110-1)/4,0),1)</f>
        <v/>
      </c>
      <c r="L1110" s="2">
        <f>MIN(E1110/60,1)</f>
        <v/>
      </c>
      <c r="M1110" s="2">
        <f>MIN(MAX(1-G1110,0),1)</f>
        <v/>
      </c>
      <c r="N1110" s="2">
        <f>MIN(MAX(1-(H1110-1)/4,0),1)</f>
        <v/>
      </c>
      <c r="O1110" s="2">
        <f>1-MIN(I1110/8,1)</f>
        <v/>
      </c>
      <c r="P1110" s="10">
        <f>ROUND(100*(J1110*Assumptions!$B$6+K1110*Assumptions!$B$7+L1110*Assumptions!$B$8+M1110*Assumptions!$B$9+N1110*Assumptions!$B$10+O1110*Assumptions!$B$11),1)</f>
        <v/>
      </c>
      <c r="Q1110" s="2">
        <f>IF(P1110&gt;=Assumptions!$B$14,"High",IF(P1110&gt;=Assumptions!$B$15,"Medium","Low"))</f>
        <v/>
      </c>
      <c r="R1110" s="2">
        <f>Cleaned_Data!L1110</f>
        <v/>
      </c>
    </row>
    <row r="1111">
      <c r="A1111" s="2">
        <f>Cleaned_Data!A1111</f>
        <v/>
      </c>
      <c r="B1111" s="2">
        <f>Cleaned_Data!B1111</f>
        <v/>
      </c>
      <c r="C1111" s="2">
        <f>Cleaned_Data!G1111</f>
        <v/>
      </c>
      <c r="D1111" s="2">
        <f>Cleaned_Data!I1111</f>
        <v/>
      </c>
      <c r="E1111" s="2">
        <f>Cleaned_Data!H1111</f>
        <v/>
      </c>
      <c r="F1111" s="2">
        <f>Cleaned_Data!F1111</f>
        <v/>
      </c>
      <c r="G1111" s="9">
        <f>SUMPRODUCT(($B$2:$B$1196=B1111)*($F$2:$F$1196&lt;=F1111))/SUMPRODUCT(($B$2:$B$1196=B1111)*1)</f>
        <v/>
      </c>
      <c r="H1111" s="2">
        <f>Cleaned_Data!J1111</f>
        <v/>
      </c>
      <c r="I1111" s="2">
        <f>Cleaned_Data!E1111</f>
        <v/>
      </c>
      <c r="J1111" s="2">
        <f>IF(C1111="Yes",1,0)</f>
        <v/>
      </c>
      <c r="K1111" s="2">
        <f>MIN(MAX(1-(D1111-1)/4,0),1)</f>
        <v/>
      </c>
      <c r="L1111" s="2">
        <f>MIN(E1111/60,1)</f>
        <v/>
      </c>
      <c r="M1111" s="2">
        <f>MIN(MAX(1-G1111,0),1)</f>
        <v/>
      </c>
      <c r="N1111" s="2">
        <f>MIN(MAX(1-(H1111-1)/4,0),1)</f>
        <v/>
      </c>
      <c r="O1111" s="2">
        <f>1-MIN(I1111/8,1)</f>
        <v/>
      </c>
      <c r="P1111" s="10">
        <f>ROUND(100*(J1111*Assumptions!$B$6+K1111*Assumptions!$B$7+L1111*Assumptions!$B$8+M1111*Assumptions!$B$9+N1111*Assumptions!$B$10+O1111*Assumptions!$B$11),1)</f>
        <v/>
      </c>
      <c r="Q1111" s="2">
        <f>IF(P1111&gt;=Assumptions!$B$14,"High",IF(P1111&gt;=Assumptions!$B$15,"Medium","Low"))</f>
        <v/>
      </c>
      <c r="R1111" s="2">
        <f>Cleaned_Data!L1111</f>
        <v/>
      </c>
    </row>
    <row r="1112">
      <c r="A1112" s="2">
        <f>Cleaned_Data!A1112</f>
        <v/>
      </c>
      <c r="B1112" s="2">
        <f>Cleaned_Data!B1112</f>
        <v/>
      </c>
      <c r="C1112" s="2">
        <f>Cleaned_Data!G1112</f>
        <v/>
      </c>
      <c r="D1112" s="2">
        <f>Cleaned_Data!I1112</f>
        <v/>
      </c>
      <c r="E1112" s="2">
        <f>Cleaned_Data!H1112</f>
        <v/>
      </c>
      <c r="F1112" s="2">
        <f>Cleaned_Data!F1112</f>
        <v/>
      </c>
      <c r="G1112" s="9">
        <f>SUMPRODUCT(($B$2:$B$1196=B1112)*($F$2:$F$1196&lt;=F1112))/SUMPRODUCT(($B$2:$B$1196=B1112)*1)</f>
        <v/>
      </c>
      <c r="H1112" s="2">
        <f>Cleaned_Data!J1112</f>
        <v/>
      </c>
      <c r="I1112" s="2">
        <f>Cleaned_Data!E1112</f>
        <v/>
      </c>
      <c r="J1112" s="2">
        <f>IF(C1112="Yes",1,0)</f>
        <v/>
      </c>
      <c r="K1112" s="2">
        <f>MIN(MAX(1-(D1112-1)/4,0),1)</f>
        <v/>
      </c>
      <c r="L1112" s="2">
        <f>MIN(E1112/60,1)</f>
        <v/>
      </c>
      <c r="M1112" s="2">
        <f>MIN(MAX(1-G1112,0),1)</f>
        <v/>
      </c>
      <c r="N1112" s="2">
        <f>MIN(MAX(1-(H1112-1)/4,0),1)</f>
        <v/>
      </c>
      <c r="O1112" s="2">
        <f>1-MIN(I1112/8,1)</f>
        <v/>
      </c>
      <c r="P1112" s="10">
        <f>ROUND(100*(J1112*Assumptions!$B$6+K1112*Assumptions!$B$7+L1112*Assumptions!$B$8+M1112*Assumptions!$B$9+N1112*Assumptions!$B$10+O1112*Assumptions!$B$11),1)</f>
        <v/>
      </c>
      <c r="Q1112" s="2">
        <f>IF(P1112&gt;=Assumptions!$B$14,"High",IF(P1112&gt;=Assumptions!$B$15,"Medium","Low"))</f>
        <v/>
      </c>
      <c r="R1112" s="2">
        <f>Cleaned_Data!L1112</f>
        <v/>
      </c>
    </row>
    <row r="1113">
      <c r="A1113" s="2">
        <f>Cleaned_Data!A1113</f>
        <v/>
      </c>
      <c r="B1113" s="2">
        <f>Cleaned_Data!B1113</f>
        <v/>
      </c>
      <c r="C1113" s="2">
        <f>Cleaned_Data!G1113</f>
        <v/>
      </c>
      <c r="D1113" s="2">
        <f>Cleaned_Data!I1113</f>
        <v/>
      </c>
      <c r="E1113" s="2">
        <f>Cleaned_Data!H1113</f>
        <v/>
      </c>
      <c r="F1113" s="2">
        <f>Cleaned_Data!F1113</f>
        <v/>
      </c>
      <c r="G1113" s="9">
        <f>SUMPRODUCT(($B$2:$B$1196=B1113)*($F$2:$F$1196&lt;=F1113))/SUMPRODUCT(($B$2:$B$1196=B1113)*1)</f>
        <v/>
      </c>
      <c r="H1113" s="2">
        <f>Cleaned_Data!J1113</f>
        <v/>
      </c>
      <c r="I1113" s="2">
        <f>Cleaned_Data!E1113</f>
        <v/>
      </c>
      <c r="J1113" s="2">
        <f>IF(C1113="Yes",1,0)</f>
        <v/>
      </c>
      <c r="K1113" s="2">
        <f>MIN(MAX(1-(D1113-1)/4,0),1)</f>
        <v/>
      </c>
      <c r="L1113" s="2">
        <f>MIN(E1113/60,1)</f>
        <v/>
      </c>
      <c r="M1113" s="2">
        <f>MIN(MAX(1-G1113,0),1)</f>
        <v/>
      </c>
      <c r="N1113" s="2">
        <f>MIN(MAX(1-(H1113-1)/4,0),1)</f>
        <v/>
      </c>
      <c r="O1113" s="2">
        <f>1-MIN(I1113/8,1)</f>
        <v/>
      </c>
      <c r="P1113" s="10">
        <f>ROUND(100*(J1113*Assumptions!$B$6+K1113*Assumptions!$B$7+L1113*Assumptions!$B$8+M1113*Assumptions!$B$9+N1113*Assumptions!$B$10+O1113*Assumptions!$B$11),1)</f>
        <v/>
      </c>
      <c r="Q1113" s="2">
        <f>IF(P1113&gt;=Assumptions!$B$14,"High",IF(P1113&gt;=Assumptions!$B$15,"Medium","Low"))</f>
        <v/>
      </c>
      <c r="R1113" s="2">
        <f>Cleaned_Data!L1113</f>
        <v/>
      </c>
    </row>
    <row r="1114">
      <c r="A1114" s="2">
        <f>Cleaned_Data!A1114</f>
        <v/>
      </c>
      <c r="B1114" s="2">
        <f>Cleaned_Data!B1114</f>
        <v/>
      </c>
      <c r="C1114" s="2">
        <f>Cleaned_Data!G1114</f>
        <v/>
      </c>
      <c r="D1114" s="2">
        <f>Cleaned_Data!I1114</f>
        <v/>
      </c>
      <c r="E1114" s="2">
        <f>Cleaned_Data!H1114</f>
        <v/>
      </c>
      <c r="F1114" s="2">
        <f>Cleaned_Data!F1114</f>
        <v/>
      </c>
      <c r="G1114" s="9">
        <f>SUMPRODUCT(($B$2:$B$1196=B1114)*($F$2:$F$1196&lt;=F1114))/SUMPRODUCT(($B$2:$B$1196=B1114)*1)</f>
        <v/>
      </c>
      <c r="H1114" s="2">
        <f>Cleaned_Data!J1114</f>
        <v/>
      </c>
      <c r="I1114" s="2">
        <f>Cleaned_Data!E1114</f>
        <v/>
      </c>
      <c r="J1114" s="2">
        <f>IF(C1114="Yes",1,0)</f>
        <v/>
      </c>
      <c r="K1114" s="2">
        <f>MIN(MAX(1-(D1114-1)/4,0),1)</f>
        <v/>
      </c>
      <c r="L1114" s="2">
        <f>MIN(E1114/60,1)</f>
        <v/>
      </c>
      <c r="M1114" s="2">
        <f>MIN(MAX(1-G1114,0),1)</f>
        <v/>
      </c>
      <c r="N1114" s="2">
        <f>MIN(MAX(1-(H1114-1)/4,0),1)</f>
        <v/>
      </c>
      <c r="O1114" s="2">
        <f>1-MIN(I1114/8,1)</f>
        <v/>
      </c>
      <c r="P1114" s="10">
        <f>ROUND(100*(J1114*Assumptions!$B$6+K1114*Assumptions!$B$7+L1114*Assumptions!$B$8+M1114*Assumptions!$B$9+N1114*Assumptions!$B$10+O1114*Assumptions!$B$11),1)</f>
        <v/>
      </c>
      <c r="Q1114" s="2">
        <f>IF(P1114&gt;=Assumptions!$B$14,"High",IF(P1114&gt;=Assumptions!$B$15,"Medium","Low"))</f>
        <v/>
      </c>
      <c r="R1114" s="2">
        <f>Cleaned_Data!L1114</f>
        <v/>
      </c>
    </row>
    <row r="1115">
      <c r="A1115" s="2">
        <f>Cleaned_Data!A1115</f>
        <v/>
      </c>
      <c r="B1115" s="2">
        <f>Cleaned_Data!B1115</f>
        <v/>
      </c>
      <c r="C1115" s="2">
        <f>Cleaned_Data!G1115</f>
        <v/>
      </c>
      <c r="D1115" s="2">
        <f>Cleaned_Data!I1115</f>
        <v/>
      </c>
      <c r="E1115" s="2">
        <f>Cleaned_Data!H1115</f>
        <v/>
      </c>
      <c r="F1115" s="2">
        <f>Cleaned_Data!F1115</f>
        <v/>
      </c>
      <c r="G1115" s="9">
        <f>SUMPRODUCT(($B$2:$B$1196=B1115)*($F$2:$F$1196&lt;=F1115))/SUMPRODUCT(($B$2:$B$1196=B1115)*1)</f>
        <v/>
      </c>
      <c r="H1115" s="2">
        <f>Cleaned_Data!J1115</f>
        <v/>
      </c>
      <c r="I1115" s="2">
        <f>Cleaned_Data!E1115</f>
        <v/>
      </c>
      <c r="J1115" s="2">
        <f>IF(C1115="Yes",1,0)</f>
        <v/>
      </c>
      <c r="K1115" s="2">
        <f>MIN(MAX(1-(D1115-1)/4,0),1)</f>
        <v/>
      </c>
      <c r="L1115" s="2">
        <f>MIN(E1115/60,1)</f>
        <v/>
      </c>
      <c r="M1115" s="2">
        <f>MIN(MAX(1-G1115,0),1)</f>
        <v/>
      </c>
      <c r="N1115" s="2">
        <f>MIN(MAX(1-(H1115-1)/4,0),1)</f>
        <v/>
      </c>
      <c r="O1115" s="2">
        <f>1-MIN(I1115/8,1)</f>
        <v/>
      </c>
      <c r="P1115" s="10">
        <f>ROUND(100*(J1115*Assumptions!$B$6+K1115*Assumptions!$B$7+L1115*Assumptions!$B$8+M1115*Assumptions!$B$9+N1115*Assumptions!$B$10+O1115*Assumptions!$B$11),1)</f>
        <v/>
      </c>
      <c r="Q1115" s="2">
        <f>IF(P1115&gt;=Assumptions!$B$14,"High",IF(P1115&gt;=Assumptions!$B$15,"Medium","Low"))</f>
        <v/>
      </c>
      <c r="R1115" s="2">
        <f>Cleaned_Data!L1115</f>
        <v/>
      </c>
    </row>
    <row r="1116">
      <c r="A1116" s="2">
        <f>Cleaned_Data!A1116</f>
        <v/>
      </c>
      <c r="B1116" s="2">
        <f>Cleaned_Data!B1116</f>
        <v/>
      </c>
      <c r="C1116" s="2">
        <f>Cleaned_Data!G1116</f>
        <v/>
      </c>
      <c r="D1116" s="2">
        <f>Cleaned_Data!I1116</f>
        <v/>
      </c>
      <c r="E1116" s="2">
        <f>Cleaned_Data!H1116</f>
        <v/>
      </c>
      <c r="F1116" s="2">
        <f>Cleaned_Data!F1116</f>
        <v/>
      </c>
      <c r="G1116" s="9">
        <f>SUMPRODUCT(($B$2:$B$1196=B1116)*($F$2:$F$1196&lt;=F1116))/SUMPRODUCT(($B$2:$B$1196=B1116)*1)</f>
        <v/>
      </c>
      <c r="H1116" s="2">
        <f>Cleaned_Data!J1116</f>
        <v/>
      </c>
      <c r="I1116" s="2">
        <f>Cleaned_Data!E1116</f>
        <v/>
      </c>
      <c r="J1116" s="2">
        <f>IF(C1116="Yes",1,0)</f>
        <v/>
      </c>
      <c r="K1116" s="2">
        <f>MIN(MAX(1-(D1116-1)/4,0),1)</f>
        <v/>
      </c>
      <c r="L1116" s="2">
        <f>MIN(E1116/60,1)</f>
        <v/>
      </c>
      <c r="M1116" s="2">
        <f>MIN(MAX(1-G1116,0),1)</f>
        <v/>
      </c>
      <c r="N1116" s="2">
        <f>MIN(MAX(1-(H1116-1)/4,0),1)</f>
        <v/>
      </c>
      <c r="O1116" s="2">
        <f>1-MIN(I1116/8,1)</f>
        <v/>
      </c>
      <c r="P1116" s="10">
        <f>ROUND(100*(J1116*Assumptions!$B$6+K1116*Assumptions!$B$7+L1116*Assumptions!$B$8+M1116*Assumptions!$B$9+N1116*Assumptions!$B$10+O1116*Assumptions!$B$11),1)</f>
        <v/>
      </c>
      <c r="Q1116" s="2">
        <f>IF(P1116&gt;=Assumptions!$B$14,"High",IF(P1116&gt;=Assumptions!$B$15,"Medium","Low"))</f>
        <v/>
      </c>
      <c r="R1116" s="2">
        <f>Cleaned_Data!L1116</f>
        <v/>
      </c>
    </row>
    <row r="1117">
      <c r="A1117" s="2">
        <f>Cleaned_Data!A1117</f>
        <v/>
      </c>
      <c r="B1117" s="2">
        <f>Cleaned_Data!B1117</f>
        <v/>
      </c>
      <c r="C1117" s="2">
        <f>Cleaned_Data!G1117</f>
        <v/>
      </c>
      <c r="D1117" s="2">
        <f>Cleaned_Data!I1117</f>
        <v/>
      </c>
      <c r="E1117" s="2">
        <f>Cleaned_Data!H1117</f>
        <v/>
      </c>
      <c r="F1117" s="2">
        <f>Cleaned_Data!F1117</f>
        <v/>
      </c>
      <c r="G1117" s="9">
        <f>SUMPRODUCT(($B$2:$B$1196=B1117)*($F$2:$F$1196&lt;=F1117))/SUMPRODUCT(($B$2:$B$1196=B1117)*1)</f>
        <v/>
      </c>
      <c r="H1117" s="2">
        <f>Cleaned_Data!J1117</f>
        <v/>
      </c>
      <c r="I1117" s="2">
        <f>Cleaned_Data!E1117</f>
        <v/>
      </c>
      <c r="J1117" s="2">
        <f>IF(C1117="Yes",1,0)</f>
        <v/>
      </c>
      <c r="K1117" s="2">
        <f>MIN(MAX(1-(D1117-1)/4,0),1)</f>
        <v/>
      </c>
      <c r="L1117" s="2">
        <f>MIN(E1117/60,1)</f>
        <v/>
      </c>
      <c r="M1117" s="2">
        <f>MIN(MAX(1-G1117,0),1)</f>
        <v/>
      </c>
      <c r="N1117" s="2">
        <f>MIN(MAX(1-(H1117-1)/4,0),1)</f>
        <v/>
      </c>
      <c r="O1117" s="2">
        <f>1-MIN(I1117/8,1)</f>
        <v/>
      </c>
      <c r="P1117" s="10">
        <f>ROUND(100*(J1117*Assumptions!$B$6+K1117*Assumptions!$B$7+L1117*Assumptions!$B$8+M1117*Assumptions!$B$9+N1117*Assumptions!$B$10+O1117*Assumptions!$B$11),1)</f>
        <v/>
      </c>
      <c r="Q1117" s="2">
        <f>IF(P1117&gt;=Assumptions!$B$14,"High",IF(P1117&gt;=Assumptions!$B$15,"Medium","Low"))</f>
        <v/>
      </c>
      <c r="R1117" s="2">
        <f>Cleaned_Data!L1117</f>
        <v/>
      </c>
    </row>
    <row r="1118">
      <c r="A1118" s="2">
        <f>Cleaned_Data!A1118</f>
        <v/>
      </c>
      <c r="B1118" s="2">
        <f>Cleaned_Data!B1118</f>
        <v/>
      </c>
      <c r="C1118" s="2">
        <f>Cleaned_Data!G1118</f>
        <v/>
      </c>
      <c r="D1118" s="2">
        <f>Cleaned_Data!I1118</f>
        <v/>
      </c>
      <c r="E1118" s="2">
        <f>Cleaned_Data!H1118</f>
        <v/>
      </c>
      <c r="F1118" s="2">
        <f>Cleaned_Data!F1118</f>
        <v/>
      </c>
      <c r="G1118" s="9">
        <f>SUMPRODUCT(($B$2:$B$1196=B1118)*($F$2:$F$1196&lt;=F1118))/SUMPRODUCT(($B$2:$B$1196=B1118)*1)</f>
        <v/>
      </c>
      <c r="H1118" s="2">
        <f>Cleaned_Data!J1118</f>
        <v/>
      </c>
      <c r="I1118" s="2">
        <f>Cleaned_Data!E1118</f>
        <v/>
      </c>
      <c r="J1118" s="2">
        <f>IF(C1118="Yes",1,0)</f>
        <v/>
      </c>
      <c r="K1118" s="2">
        <f>MIN(MAX(1-(D1118-1)/4,0),1)</f>
        <v/>
      </c>
      <c r="L1118" s="2">
        <f>MIN(E1118/60,1)</f>
        <v/>
      </c>
      <c r="M1118" s="2">
        <f>MIN(MAX(1-G1118,0),1)</f>
        <v/>
      </c>
      <c r="N1118" s="2">
        <f>MIN(MAX(1-(H1118-1)/4,0),1)</f>
        <v/>
      </c>
      <c r="O1118" s="2">
        <f>1-MIN(I1118/8,1)</f>
        <v/>
      </c>
      <c r="P1118" s="10">
        <f>ROUND(100*(J1118*Assumptions!$B$6+K1118*Assumptions!$B$7+L1118*Assumptions!$B$8+M1118*Assumptions!$B$9+N1118*Assumptions!$B$10+O1118*Assumptions!$B$11),1)</f>
        <v/>
      </c>
      <c r="Q1118" s="2">
        <f>IF(P1118&gt;=Assumptions!$B$14,"High",IF(P1118&gt;=Assumptions!$B$15,"Medium","Low"))</f>
        <v/>
      </c>
      <c r="R1118" s="2">
        <f>Cleaned_Data!L1118</f>
        <v/>
      </c>
    </row>
    <row r="1119">
      <c r="A1119" s="2">
        <f>Cleaned_Data!A1119</f>
        <v/>
      </c>
      <c r="B1119" s="2">
        <f>Cleaned_Data!B1119</f>
        <v/>
      </c>
      <c r="C1119" s="2">
        <f>Cleaned_Data!G1119</f>
        <v/>
      </c>
      <c r="D1119" s="2">
        <f>Cleaned_Data!I1119</f>
        <v/>
      </c>
      <c r="E1119" s="2">
        <f>Cleaned_Data!H1119</f>
        <v/>
      </c>
      <c r="F1119" s="2">
        <f>Cleaned_Data!F1119</f>
        <v/>
      </c>
      <c r="G1119" s="9">
        <f>SUMPRODUCT(($B$2:$B$1196=B1119)*($F$2:$F$1196&lt;=F1119))/SUMPRODUCT(($B$2:$B$1196=B1119)*1)</f>
        <v/>
      </c>
      <c r="H1119" s="2">
        <f>Cleaned_Data!J1119</f>
        <v/>
      </c>
      <c r="I1119" s="2">
        <f>Cleaned_Data!E1119</f>
        <v/>
      </c>
      <c r="J1119" s="2">
        <f>IF(C1119="Yes",1,0)</f>
        <v/>
      </c>
      <c r="K1119" s="2">
        <f>MIN(MAX(1-(D1119-1)/4,0),1)</f>
        <v/>
      </c>
      <c r="L1119" s="2">
        <f>MIN(E1119/60,1)</f>
        <v/>
      </c>
      <c r="M1119" s="2">
        <f>MIN(MAX(1-G1119,0),1)</f>
        <v/>
      </c>
      <c r="N1119" s="2">
        <f>MIN(MAX(1-(H1119-1)/4,0),1)</f>
        <v/>
      </c>
      <c r="O1119" s="2">
        <f>1-MIN(I1119/8,1)</f>
        <v/>
      </c>
      <c r="P1119" s="10">
        <f>ROUND(100*(J1119*Assumptions!$B$6+K1119*Assumptions!$B$7+L1119*Assumptions!$B$8+M1119*Assumptions!$B$9+N1119*Assumptions!$B$10+O1119*Assumptions!$B$11),1)</f>
        <v/>
      </c>
      <c r="Q1119" s="2">
        <f>IF(P1119&gt;=Assumptions!$B$14,"High",IF(P1119&gt;=Assumptions!$B$15,"Medium","Low"))</f>
        <v/>
      </c>
      <c r="R1119" s="2">
        <f>Cleaned_Data!L1119</f>
        <v/>
      </c>
    </row>
    <row r="1120">
      <c r="A1120" s="2">
        <f>Cleaned_Data!A1120</f>
        <v/>
      </c>
      <c r="B1120" s="2">
        <f>Cleaned_Data!B1120</f>
        <v/>
      </c>
      <c r="C1120" s="2">
        <f>Cleaned_Data!G1120</f>
        <v/>
      </c>
      <c r="D1120" s="2">
        <f>Cleaned_Data!I1120</f>
        <v/>
      </c>
      <c r="E1120" s="2">
        <f>Cleaned_Data!H1120</f>
        <v/>
      </c>
      <c r="F1120" s="2">
        <f>Cleaned_Data!F1120</f>
        <v/>
      </c>
      <c r="G1120" s="9">
        <f>SUMPRODUCT(($B$2:$B$1196=B1120)*($F$2:$F$1196&lt;=F1120))/SUMPRODUCT(($B$2:$B$1196=B1120)*1)</f>
        <v/>
      </c>
      <c r="H1120" s="2">
        <f>Cleaned_Data!J1120</f>
        <v/>
      </c>
      <c r="I1120" s="2">
        <f>Cleaned_Data!E1120</f>
        <v/>
      </c>
      <c r="J1120" s="2">
        <f>IF(C1120="Yes",1,0)</f>
        <v/>
      </c>
      <c r="K1120" s="2">
        <f>MIN(MAX(1-(D1120-1)/4,0),1)</f>
        <v/>
      </c>
      <c r="L1120" s="2">
        <f>MIN(E1120/60,1)</f>
        <v/>
      </c>
      <c r="M1120" s="2">
        <f>MIN(MAX(1-G1120,0),1)</f>
        <v/>
      </c>
      <c r="N1120" s="2">
        <f>MIN(MAX(1-(H1120-1)/4,0),1)</f>
        <v/>
      </c>
      <c r="O1120" s="2">
        <f>1-MIN(I1120/8,1)</f>
        <v/>
      </c>
      <c r="P1120" s="10">
        <f>ROUND(100*(J1120*Assumptions!$B$6+K1120*Assumptions!$B$7+L1120*Assumptions!$B$8+M1120*Assumptions!$B$9+N1120*Assumptions!$B$10+O1120*Assumptions!$B$11),1)</f>
        <v/>
      </c>
      <c r="Q1120" s="2">
        <f>IF(P1120&gt;=Assumptions!$B$14,"High",IF(P1120&gt;=Assumptions!$B$15,"Medium","Low"))</f>
        <v/>
      </c>
      <c r="R1120" s="2">
        <f>Cleaned_Data!L1120</f>
        <v/>
      </c>
    </row>
    <row r="1121">
      <c r="A1121" s="2">
        <f>Cleaned_Data!A1121</f>
        <v/>
      </c>
      <c r="B1121" s="2">
        <f>Cleaned_Data!B1121</f>
        <v/>
      </c>
      <c r="C1121" s="2">
        <f>Cleaned_Data!G1121</f>
        <v/>
      </c>
      <c r="D1121" s="2">
        <f>Cleaned_Data!I1121</f>
        <v/>
      </c>
      <c r="E1121" s="2">
        <f>Cleaned_Data!H1121</f>
        <v/>
      </c>
      <c r="F1121" s="2">
        <f>Cleaned_Data!F1121</f>
        <v/>
      </c>
      <c r="G1121" s="9">
        <f>SUMPRODUCT(($B$2:$B$1196=B1121)*($F$2:$F$1196&lt;=F1121))/SUMPRODUCT(($B$2:$B$1196=B1121)*1)</f>
        <v/>
      </c>
      <c r="H1121" s="2">
        <f>Cleaned_Data!J1121</f>
        <v/>
      </c>
      <c r="I1121" s="2">
        <f>Cleaned_Data!E1121</f>
        <v/>
      </c>
      <c r="J1121" s="2">
        <f>IF(C1121="Yes",1,0)</f>
        <v/>
      </c>
      <c r="K1121" s="2">
        <f>MIN(MAX(1-(D1121-1)/4,0),1)</f>
        <v/>
      </c>
      <c r="L1121" s="2">
        <f>MIN(E1121/60,1)</f>
        <v/>
      </c>
      <c r="M1121" s="2">
        <f>MIN(MAX(1-G1121,0),1)</f>
        <v/>
      </c>
      <c r="N1121" s="2">
        <f>MIN(MAX(1-(H1121-1)/4,0),1)</f>
        <v/>
      </c>
      <c r="O1121" s="2">
        <f>1-MIN(I1121/8,1)</f>
        <v/>
      </c>
      <c r="P1121" s="10">
        <f>ROUND(100*(J1121*Assumptions!$B$6+K1121*Assumptions!$B$7+L1121*Assumptions!$B$8+M1121*Assumptions!$B$9+N1121*Assumptions!$B$10+O1121*Assumptions!$B$11),1)</f>
        <v/>
      </c>
      <c r="Q1121" s="2">
        <f>IF(P1121&gt;=Assumptions!$B$14,"High",IF(P1121&gt;=Assumptions!$B$15,"Medium","Low"))</f>
        <v/>
      </c>
      <c r="R1121" s="2">
        <f>Cleaned_Data!L1121</f>
        <v/>
      </c>
    </row>
    <row r="1122">
      <c r="A1122" s="2">
        <f>Cleaned_Data!A1122</f>
        <v/>
      </c>
      <c r="B1122" s="2">
        <f>Cleaned_Data!B1122</f>
        <v/>
      </c>
      <c r="C1122" s="2">
        <f>Cleaned_Data!G1122</f>
        <v/>
      </c>
      <c r="D1122" s="2">
        <f>Cleaned_Data!I1122</f>
        <v/>
      </c>
      <c r="E1122" s="2">
        <f>Cleaned_Data!H1122</f>
        <v/>
      </c>
      <c r="F1122" s="2">
        <f>Cleaned_Data!F1122</f>
        <v/>
      </c>
      <c r="G1122" s="9">
        <f>SUMPRODUCT(($B$2:$B$1196=B1122)*($F$2:$F$1196&lt;=F1122))/SUMPRODUCT(($B$2:$B$1196=B1122)*1)</f>
        <v/>
      </c>
      <c r="H1122" s="2">
        <f>Cleaned_Data!J1122</f>
        <v/>
      </c>
      <c r="I1122" s="2">
        <f>Cleaned_Data!E1122</f>
        <v/>
      </c>
      <c r="J1122" s="2">
        <f>IF(C1122="Yes",1,0)</f>
        <v/>
      </c>
      <c r="K1122" s="2">
        <f>MIN(MAX(1-(D1122-1)/4,0),1)</f>
        <v/>
      </c>
      <c r="L1122" s="2">
        <f>MIN(E1122/60,1)</f>
        <v/>
      </c>
      <c r="M1122" s="2">
        <f>MIN(MAX(1-G1122,0),1)</f>
        <v/>
      </c>
      <c r="N1122" s="2">
        <f>MIN(MAX(1-(H1122-1)/4,0),1)</f>
        <v/>
      </c>
      <c r="O1122" s="2">
        <f>1-MIN(I1122/8,1)</f>
        <v/>
      </c>
      <c r="P1122" s="10">
        <f>ROUND(100*(J1122*Assumptions!$B$6+K1122*Assumptions!$B$7+L1122*Assumptions!$B$8+M1122*Assumptions!$B$9+N1122*Assumptions!$B$10+O1122*Assumptions!$B$11),1)</f>
        <v/>
      </c>
      <c r="Q1122" s="2">
        <f>IF(P1122&gt;=Assumptions!$B$14,"High",IF(P1122&gt;=Assumptions!$B$15,"Medium","Low"))</f>
        <v/>
      </c>
      <c r="R1122" s="2">
        <f>Cleaned_Data!L1122</f>
        <v/>
      </c>
    </row>
    <row r="1123">
      <c r="A1123" s="2">
        <f>Cleaned_Data!A1123</f>
        <v/>
      </c>
      <c r="B1123" s="2">
        <f>Cleaned_Data!B1123</f>
        <v/>
      </c>
      <c r="C1123" s="2">
        <f>Cleaned_Data!G1123</f>
        <v/>
      </c>
      <c r="D1123" s="2">
        <f>Cleaned_Data!I1123</f>
        <v/>
      </c>
      <c r="E1123" s="2">
        <f>Cleaned_Data!H1123</f>
        <v/>
      </c>
      <c r="F1123" s="2">
        <f>Cleaned_Data!F1123</f>
        <v/>
      </c>
      <c r="G1123" s="9">
        <f>SUMPRODUCT(($B$2:$B$1196=B1123)*($F$2:$F$1196&lt;=F1123))/SUMPRODUCT(($B$2:$B$1196=B1123)*1)</f>
        <v/>
      </c>
      <c r="H1123" s="2">
        <f>Cleaned_Data!J1123</f>
        <v/>
      </c>
      <c r="I1123" s="2">
        <f>Cleaned_Data!E1123</f>
        <v/>
      </c>
      <c r="J1123" s="2">
        <f>IF(C1123="Yes",1,0)</f>
        <v/>
      </c>
      <c r="K1123" s="2">
        <f>MIN(MAX(1-(D1123-1)/4,0),1)</f>
        <v/>
      </c>
      <c r="L1123" s="2">
        <f>MIN(E1123/60,1)</f>
        <v/>
      </c>
      <c r="M1123" s="2">
        <f>MIN(MAX(1-G1123,0),1)</f>
        <v/>
      </c>
      <c r="N1123" s="2">
        <f>MIN(MAX(1-(H1123-1)/4,0),1)</f>
        <v/>
      </c>
      <c r="O1123" s="2">
        <f>1-MIN(I1123/8,1)</f>
        <v/>
      </c>
      <c r="P1123" s="10">
        <f>ROUND(100*(J1123*Assumptions!$B$6+K1123*Assumptions!$B$7+L1123*Assumptions!$B$8+M1123*Assumptions!$B$9+N1123*Assumptions!$B$10+O1123*Assumptions!$B$11),1)</f>
        <v/>
      </c>
      <c r="Q1123" s="2">
        <f>IF(P1123&gt;=Assumptions!$B$14,"High",IF(P1123&gt;=Assumptions!$B$15,"Medium","Low"))</f>
        <v/>
      </c>
      <c r="R1123" s="2">
        <f>Cleaned_Data!L1123</f>
        <v/>
      </c>
    </row>
    <row r="1124">
      <c r="A1124" s="2">
        <f>Cleaned_Data!A1124</f>
        <v/>
      </c>
      <c r="B1124" s="2">
        <f>Cleaned_Data!B1124</f>
        <v/>
      </c>
      <c r="C1124" s="2">
        <f>Cleaned_Data!G1124</f>
        <v/>
      </c>
      <c r="D1124" s="2">
        <f>Cleaned_Data!I1124</f>
        <v/>
      </c>
      <c r="E1124" s="2">
        <f>Cleaned_Data!H1124</f>
        <v/>
      </c>
      <c r="F1124" s="2">
        <f>Cleaned_Data!F1124</f>
        <v/>
      </c>
      <c r="G1124" s="9">
        <f>SUMPRODUCT(($B$2:$B$1196=B1124)*($F$2:$F$1196&lt;=F1124))/SUMPRODUCT(($B$2:$B$1196=B1124)*1)</f>
        <v/>
      </c>
      <c r="H1124" s="2">
        <f>Cleaned_Data!J1124</f>
        <v/>
      </c>
      <c r="I1124" s="2">
        <f>Cleaned_Data!E1124</f>
        <v/>
      </c>
      <c r="J1124" s="2">
        <f>IF(C1124="Yes",1,0)</f>
        <v/>
      </c>
      <c r="K1124" s="2">
        <f>MIN(MAX(1-(D1124-1)/4,0),1)</f>
        <v/>
      </c>
      <c r="L1124" s="2">
        <f>MIN(E1124/60,1)</f>
        <v/>
      </c>
      <c r="M1124" s="2">
        <f>MIN(MAX(1-G1124,0),1)</f>
        <v/>
      </c>
      <c r="N1124" s="2">
        <f>MIN(MAX(1-(H1124-1)/4,0),1)</f>
        <v/>
      </c>
      <c r="O1124" s="2">
        <f>1-MIN(I1124/8,1)</f>
        <v/>
      </c>
      <c r="P1124" s="10">
        <f>ROUND(100*(J1124*Assumptions!$B$6+K1124*Assumptions!$B$7+L1124*Assumptions!$B$8+M1124*Assumptions!$B$9+N1124*Assumptions!$B$10+O1124*Assumptions!$B$11),1)</f>
        <v/>
      </c>
      <c r="Q1124" s="2">
        <f>IF(P1124&gt;=Assumptions!$B$14,"High",IF(P1124&gt;=Assumptions!$B$15,"Medium","Low"))</f>
        <v/>
      </c>
      <c r="R1124" s="2">
        <f>Cleaned_Data!L1124</f>
        <v/>
      </c>
    </row>
    <row r="1125">
      <c r="A1125" s="2">
        <f>Cleaned_Data!A1125</f>
        <v/>
      </c>
      <c r="B1125" s="2">
        <f>Cleaned_Data!B1125</f>
        <v/>
      </c>
      <c r="C1125" s="2">
        <f>Cleaned_Data!G1125</f>
        <v/>
      </c>
      <c r="D1125" s="2">
        <f>Cleaned_Data!I1125</f>
        <v/>
      </c>
      <c r="E1125" s="2">
        <f>Cleaned_Data!H1125</f>
        <v/>
      </c>
      <c r="F1125" s="2">
        <f>Cleaned_Data!F1125</f>
        <v/>
      </c>
      <c r="G1125" s="9">
        <f>SUMPRODUCT(($B$2:$B$1196=B1125)*($F$2:$F$1196&lt;=F1125))/SUMPRODUCT(($B$2:$B$1196=B1125)*1)</f>
        <v/>
      </c>
      <c r="H1125" s="2">
        <f>Cleaned_Data!J1125</f>
        <v/>
      </c>
      <c r="I1125" s="2">
        <f>Cleaned_Data!E1125</f>
        <v/>
      </c>
      <c r="J1125" s="2">
        <f>IF(C1125="Yes",1,0)</f>
        <v/>
      </c>
      <c r="K1125" s="2">
        <f>MIN(MAX(1-(D1125-1)/4,0),1)</f>
        <v/>
      </c>
      <c r="L1125" s="2">
        <f>MIN(E1125/60,1)</f>
        <v/>
      </c>
      <c r="M1125" s="2">
        <f>MIN(MAX(1-G1125,0),1)</f>
        <v/>
      </c>
      <c r="N1125" s="2">
        <f>MIN(MAX(1-(H1125-1)/4,0),1)</f>
        <v/>
      </c>
      <c r="O1125" s="2">
        <f>1-MIN(I1125/8,1)</f>
        <v/>
      </c>
      <c r="P1125" s="10">
        <f>ROUND(100*(J1125*Assumptions!$B$6+K1125*Assumptions!$B$7+L1125*Assumptions!$B$8+M1125*Assumptions!$B$9+N1125*Assumptions!$B$10+O1125*Assumptions!$B$11),1)</f>
        <v/>
      </c>
      <c r="Q1125" s="2">
        <f>IF(P1125&gt;=Assumptions!$B$14,"High",IF(P1125&gt;=Assumptions!$B$15,"Medium","Low"))</f>
        <v/>
      </c>
      <c r="R1125" s="2">
        <f>Cleaned_Data!L1125</f>
        <v/>
      </c>
    </row>
    <row r="1126">
      <c r="A1126" s="2">
        <f>Cleaned_Data!A1126</f>
        <v/>
      </c>
      <c r="B1126" s="2">
        <f>Cleaned_Data!B1126</f>
        <v/>
      </c>
      <c r="C1126" s="2">
        <f>Cleaned_Data!G1126</f>
        <v/>
      </c>
      <c r="D1126" s="2">
        <f>Cleaned_Data!I1126</f>
        <v/>
      </c>
      <c r="E1126" s="2">
        <f>Cleaned_Data!H1126</f>
        <v/>
      </c>
      <c r="F1126" s="2">
        <f>Cleaned_Data!F1126</f>
        <v/>
      </c>
      <c r="G1126" s="9">
        <f>SUMPRODUCT(($B$2:$B$1196=B1126)*($F$2:$F$1196&lt;=F1126))/SUMPRODUCT(($B$2:$B$1196=B1126)*1)</f>
        <v/>
      </c>
      <c r="H1126" s="2">
        <f>Cleaned_Data!J1126</f>
        <v/>
      </c>
      <c r="I1126" s="2">
        <f>Cleaned_Data!E1126</f>
        <v/>
      </c>
      <c r="J1126" s="2">
        <f>IF(C1126="Yes",1,0)</f>
        <v/>
      </c>
      <c r="K1126" s="2">
        <f>MIN(MAX(1-(D1126-1)/4,0),1)</f>
        <v/>
      </c>
      <c r="L1126" s="2">
        <f>MIN(E1126/60,1)</f>
        <v/>
      </c>
      <c r="M1126" s="2">
        <f>MIN(MAX(1-G1126,0),1)</f>
        <v/>
      </c>
      <c r="N1126" s="2">
        <f>MIN(MAX(1-(H1126-1)/4,0),1)</f>
        <v/>
      </c>
      <c r="O1126" s="2">
        <f>1-MIN(I1126/8,1)</f>
        <v/>
      </c>
      <c r="P1126" s="10">
        <f>ROUND(100*(J1126*Assumptions!$B$6+K1126*Assumptions!$B$7+L1126*Assumptions!$B$8+M1126*Assumptions!$B$9+N1126*Assumptions!$B$10+O1126*Assumptions!$B$11),1)</f>
        <v/>
      </c>
      <c r="Q1126" s="2">
        <f>IF(P1126&gt;=Assumptions!$B$14,"High",IF(P1126&gt;=Assumptions!$B$15,"Medium","Low"))</f>
        <v/>
      </c>
      <c r="R1126" s="2">
        <f>Cleaned_Data!L1126</f>
        <v/>
      </c>
    </row>
    <row r="1127">
      <c r="A1127" s="2">
        <f>Cleaned_Data!A1127</f>
        <v/>
      </c>
      <c r="B1127" s="2">
        <f>Cleaned_Data!B1127</f>
        <v/>
      </c>
      <c r="C1127" s="2">
        <f>Cleaned_Data!G1127</f>
        <v/>
      </c>
      <c r="D1127" s="2">
        <f>Cleaned_Data!I1127</f>
        <v/>
      </c>
      <c r="E1127" s="2">
        <f>Cleaned_Data!H1127</f>
        <v/>
      </c>
      <c r="F1127" s="2">
        <f>Cleaned_Data!F1127</f>
        <v/>
      </c>
      <c r="G1127" s="9">
        <f>SUMPRODUCT(($B$2:$B$1196=B1127)*($F$2:$F$1196&lt;=F1127))/SUMPRODUCT(($B$2:$B$1196=B1127)*1)</f>
        <v/>
      </c>
      <c r="H1127" s="2">
        <f>Cleaned_Data!J1127</f>
        <v/>
      </c>
      <c r="I1127" s="2">
        <f>Cleaned_Data!E1127</f>
        <v/>
      </c>
      <c r="J1127" s="2">
        <f>IF(C1127="Yes",1,0)</f>
        <v/>
      </c>
      <c r="K1127" s="2">
        <f>MIN(MAX(1-(D1127-1)/4,0),1)</f>
        <v/>
      </c>
      <c r="L1127" s="2">
        <f>MIN(E1127/60,1)</f>
        <v/>
      </c>
      <c r="M1127" s="2">
        <f>MIN(MAX(1-G1127,0),1)</f>
        <v/>
      </c>
      <c r="N1127" s="2">
        <f>MIN(MAX(1-(H1127-1)/4,0),1)</f>
        <v/>
      </c>
      <c r="O1127" s="2">
        <f>1-MIN(I1127/8,1)</f>
        <v/>
      </c>
      <c r="P1127" s="10">
        <f>ROUND(100*(J1127*Assumptions!$B$6+K1127*Assumptions!$B$7+L1127*Assumptions!$B$8+M1127*Assumptions!$B$9+N1127*Assumptions!$B$10+O1127*Assumptions!$B$11),1)</f>
        <v/>
      </c>
      <c r="Q1127" s="2">
        <f>IF(P1127&gt;=Assumptions!$B$14,"High",IF(P1127&gt;=Assumptions!$B$15,"Medium","Low"))</f>
        <v/>
      </c>
      <c r="R1127" s="2">
        <f>Cleaned_Data!L1127</f>
        <v/>
      </c>
    </row>
    <row r="1128">
      <c r="A1128" s="2">
        <f>Cleaned_Data!A1128</f>
        <v/>
      </c>
      <c r="B1128" s="2">
        <f>Cleaned_Data!B1128</f>
        <v/>
      </c>
      <c r="C1128" s="2">
        <f>Cleaned_Data!G1128</f>
        <v/>
      </c>
      <c r="D1128" s="2">
        <f>Cleaned_Data!I1128</f>
        <v/>
      </c>
      <c r="E1128" s="2">
        <f>Cleaned_Data!H1128</f>
        <v/>
      </c>
      <c r="F1128" s="2">
        <f>Cleaned_Data!F1128</f>
        <v/>
      </c>
      <c r="G1128" s="9">
        <f>SUMPRODUCT(($B$2:$B$1196=B1128)*($F$2:$F$1196&lt;=F1128))/SUMPRODUCT(($B$2:$B$1196=B1128)*1)</f>
        <v/>
      </c>
      <c r="H1128" s="2">
        <f>Cleaned_Data!J1128</f>
        <v/>
      </c>
      <c r="I1128" s="2">
        <f>Cleaned_Data!E1128</f>
        <v/>
      </c>
      <c r="J1128" s="2">
        <f>IF(C1128="Yes",1,0)</f>
        <v/>
      </c>
      <c r="K1128" s="2">
        <f>MIN(MAX(1-(D1128-1)/4,0),1)</f>
        <v/>
      </c>
      <c r="L1128" s="2">
        <f>MIN(E1128/60,1)</f>
        <v/>
      </c>
      <c r="M1128" s="2">
        <f>MIN(MAX(1-G1128,0),1)</f>
        <v/>
      </c>
      <c r="N1128" s="2">
        <f>MIN(MAX(1-(H1128-1)/4,0),1)</f>
        <v/>
      </c>
      <c r="O1128" s="2">
        <f>1-MIN(I1128/8,1)</f>
        <v/>
      </c>
      <c r="P1128" s="10">
        <f>ROUND(100*(J1128*Assumptions!$B$6+K1128*Assumptions!$B$7+L1128*Assumptions!$B$8+M1128*Assumptions!$B$9+N1128*Assumptions!$B$10+O1128*Assumptions!$B$11),1)</f>
        <v/>
      </c>
      <c r="Q1128" s="2">
        <f>IF(P1128&gt;=Assumptions!$B$14,"High",IF(P1128&gt;=Assumptions!$B$15,"Medium","Low"))</f>
        <v/>
      </c>
      <c r="R1128" s="2">
        <f>Cleaned_Data!L1128</f>
        <v/>
      </c>
    </row>
    <row r="1129">
      <c r="A1129" s="2">
        <f>Cleaned_Data!A1129</f>
        <v/>
      </c>
      <c r="B1129" s="2">
        <f>Cleaned_Data!B1129</f>
        <v/>
      </c>
      <c r="C1129" s="2">
        <f>Cleaned_Data!G1129</f>
        <v/>
      </c>
      <c r="D1129" s="2">
        <f>Cleaned_Data!I1129</f>
        <v/>
      </c>
      <c r="E1129" s="2">
        <f>Cleaned_Data!H1129</f>
        <v/>
      </c>
      <c r="F1129" s="2">
        <f>Cleaned_Data!F1129</f>
        <v/>
      </c>
      <c r="G1129" s="9">
        <f>SUMPRODUCT(($B$2:$B$1196=B1129)*($F$2:$F$1196&lt;=F1129))/SUMPRODUCT(($B$2:$B$1196=B1129)*1)</f>
        <v/>
      </c>
      <c r="H1129" s="2">
        <f>Cleaned_Data!J1129</f>
        <v/>
      </c>
      <c r="I1129" s="2">
        <f>Cleaned_Data!E1129</f>
        <v/>
      </c>
      <c r="J1129" s="2">
        <f>IF(C1129="Yes",1,0)</f>
        <v/>
      </c>
      <c r="K1129" s="2">
        <f>MIN(MAX(1-(D1129-1)/4,0),1)</f>
        <v/>
      </c>
      <c r="L1129" s="2">
        <f>MIN(E1129/60,1)</f>
        <v/>
      </c>
      <c r="M1129" s="2">
        <f>MIN(MAX(1-G1129,0),1)</f>
        <v/>
      </c>
      <c r="N1129" s="2">
        <f>MIN(MAX(1-(H1129-1)/4,0),1)</f>
        <v/>
      </c>
      <c r="O1129" s="2">
        <f>1-MIN(I1129/8,1)</f>
        <v/>
      </c>
      <c r="P1129" s="10">
        <f>ROUND(100*(J1129*Assumptions!$B$6+K1129*Assumptions!$B$7+L1129*Assumptions!$B$8+M1129*Assumptions!$B$9+N1129*Assumptions!$B$10+O1129*Assumptions!$B$11),1)</f>
        <v/>
      </c>
      <c r="Q1129" s="2">
        <f>IF(P1129&gt;=Assumptions!$B$14,"High",IF(P1129&gt;=Assumptions!$B$15,"Medium","Low"))</f>
        <v/>
      </c>
      <c r="R1129" s="2">
        <f>Cleaned_Data!L1129</f>
        <v/>
      </c>
    </row>
    <row r="1130">
      <c r="A1130" s="2">
        <f>Cleaned_Data!A1130</f>
        <v/>
      </c>
      <c r="B1130" s="2">
        <f>Cleaned_Data!B1130</f>
        <v/>
      </c>
      <c r="C1130" s="2">
        <f>Cleaned_Data!G1130</f>
        <v/>
      </c>
      <c r="D1130" s="2">
        <f>Cleaned_Data!I1130</f>
        <v/>
      </c>
      <c r="E1130" s="2">
        <f>Cleaned_Data!H1130</f>
        <v/>
      </c>
      <c r="F1130" s="2">
        <f>Cleaned_Data!F1130</f>
        <v/>
      </c>
      <c r="G1130" s="9">
        <f>SUMPRODUCT(($B$2:$B$1196=B1130)*($F$2:$F$1196&lt;=F1130))/SUMPRODUCT(($B$2:$B$1196=B1130)*1)</f>
        <v/>
      </c>
      <c r="H1130" s="2">
        <f>Cleaned_Data!J1130</f>
        <v/>
      </c>
      <c r="I1130" s="2">
        <f>Cleaned_Data!E1130</f>
        <v/>
      </c>
      <c r="J1130" s="2">
        <f>IF(C1130="Yes",1,0)</f>
        <v/>
      </c>
      <c r="K1130" s="2">
        <f>MIN(MAX(1-(D1130-1)/4,0),1)</f>
        <v/>
      </c>
      <c r="L1130" s="2">
        <f>MIN(E1130/60,1)</f>
        <v/>
      </c>
      <c r="M1130" s="2">
        <f>MIN(MAX(1-G1130,0),1)</f>
        <v/>
      </c>
      <c r="N1130" s="2">
        <f>MIN(MAX(1-(H1130-1)/4,0),1)</f>
        <v/>
      </c>
      <c r="O1130" s="2">
        <f>1-MIN(I1130/8,1)</f>
        <v/>
      </c>
      <c r="P1130" s="10">
        <f>ROUND(100*(J1130*Assumptions!$B$6+K1130*Assumptions!$B$7+L1130*Assumptions!$B$8+M1130*Assumptions!$B$9+N1130*Assumptions!$B$10+O1130*Assumptions!$B$11),1)</f>
        <v/>
      </c>
      <c r="Q1130" s="2">
        <f>IF(P1130&gt;=Assumptions!$B$14,"High",IF(P1130&gt;=Assumptions!$B$15,"Medium","Low"))</f>
        <v/>
      </c>
      <c r="R1130" s="2">
        <f>Cleaned_Data!L1130</f>
        <v/>
      </c>
    </row>
    <row r="1131">
      <c r="A1131" s="2">
        <f>Cleaned_Data!A1131</f>
        <v/>
      </c>
      <c r="B1131" s="2">
        <f>Cleaned_Data!B1131</f>
        <v/>
      </c>
      <c r="C1131" s="2">
        <f>Cleaned_Data!G1131</f>
        <v/>
      </c>
      <c r="D1131" s="2">
        <f>Cleaned_Data!I1131</f>
        <v/>
      </c>
      <c r="E1131" s="2">
        <f>Cleaned_Data!H1131</f>
        <v/>
      </c>
      <c r="F1131" s="2">
        <f>Cleaned_Data!F1131</f>
        <v/>
      </c>
      <c r="G1131" s="9">
        <f>SUMPRODUCT(($B$2:$B$1196=B1131)*($F$2:$F$1196&lt;=F1131))/SUMPRODUCT(($B$2:$B$1196=B1131)*1)</f>
        <v/>
      </c>
      <c r="H1131" s="2">
        <f>Cleaned_Data!J1131</f>
        <v/>
      </c>
      <c r="I1131" s="2">
        <f>Cleaned_Data!E1131</f>
        <v/>
      </c>
      <c r="J1131" s="2">
        <f>IF(C1131="Yes",1,0)</f>
        <v/>
      </c>
      <c r="K1131" s="2">
        <f>MIN(MAX(1-(D1131-1)/4,0),1)</f>
        <v/>
      </c>
      <c r="L1131" s="2">
        <f>MIN(E1131/60,1)</f>
        <v/>
      </c>
      <c r="M1131" s="2">
        <f>MIN(MAX(1-G1131,0),1)</f>
        <v/>
      </c>
      <c r="N1131" s="2">
        <f>MIN(MAX(1-(H1131-1)/4,0),1)</f>
        <v/>
      </c>
      <c r="O1131" s="2">
        <f>1-MIN(I1131/8,1)</f>
        <v/>
      </c>
      <c r="P1131" s="10">
        <f>ROUND(100*(J1131*Assumptions!$B$6+K1131*Assumptions!$B$7+L1131*Assumptions!$B$8+M1131*Assumptions!$B$9+N1131*Assumptions!$B$10+O1131*Assumptions!$B$11),1)</f>
        <v/>
      </c>
      <c r="Q1131" s="2">
        <f>IF(P1131&gt;=Assumptions!$B$14,"High",IF(P1131&gt;=Assumptions!$B$15,"Medium","Low"))</f>
        <v/>
      </c>
      <c r="R1131" s="2">
        <f>Cleaned_Data!L1131</f>
        <v/>
      </c>
    </row>
    <row r="1132">
      <c r="A1132" s="2">
        <f>Cleaned_Data!A1132</f>
        <v/>
      </c>
      <c r="B1132" s="2">
        <f>Cleaned_Data!B1132</f>
        <v/>
      </c>
      <c r="C1132" s="2">
        <f>Cleaned_Data!G1132</f>
        <v/>
      </c>
      <c r="D1132" s="2">
        <f>Cleaned_Data!I1132</f>
        <v/>
      </c>
      <c r="E1132" s="2">
        <f>Cleaned_Data!H1132</f>
        <v/>
      </c>
      <c r="F1132" s="2">
        <f>Cleaned_Data!F1132</f>
        <v/>
      </c>
      <c r="G1132" s="9">
        <f>SUMPRODUCT(($B$2:$B$1196=B1132)*($F$2:$F$1196&lt;=F1132))/SUMPRODUCT(($B$2:$B$1196=B1132)*1)</f>
        <v/>
      </c>
      <c r="H1132" s="2">
        <f>Cleaned_Data!J1132</f>
        <v/>
      </c>
      <c r="I1132" s="2">
        <f>Cleaned_Data!E1132</f>
        <v/>
      </c>
      <c r="J1132" s="2">
        <f>IF(C1132="Yes",1,0)</f>
        <v/>
      </c>
      <c r="K1132" s="2">
        <f>MIN(MAX(1-(D1132-1)/4,0),1)</f>
        <v/>
      </c>
      <c r="L1132" s="2">
        <f>MIN(E1132/60,1)</f>
        <v/>
      </c>
      <c r="M1132" s="2">
        <f>MIN(MAX(1-G1132,0),1)</f>
        <v/>
      </c>
      <c r="N1132" s="2">
        <f>MIN(MAX(1-(H1132-1)/4,0),1)</f>
        <v/>
      </c>
      <c r="O1132" s="2">
        <f>1-MIN(I1132/8,1)</f>
        <v/>
      </c>
      <c r="P1132" s="10">
        <f>ROUND(100*(J1132*Assumptions!$B$6+K1132*Assumptions!$B$7+L1132*Assumptions!$B$8+M1132*Assumptions!$B$9+N1132*Assumptions!$B$10+O1132*Assumptions!$B$11),1)</f>
        <v/>
      </c>
      <c r="Q1132" s="2">
        <f>IF(P1132&gt;=Assumptions!$B$14,"High",IF(P1132&gt;=Assumptions!$B$15,"Medium","Low"))</f>
        <v/>
      </c>
      <c r="R1132" s="2">
        <f>Cleaned_Data!L1132</f>
        <v/>
      </c>
    </row>
    <row r="1133">
      <c r="A1133" s="2">
        <f>Cleaned_Data!A1133</f>
        <v/>
      </c>
      <c r="B1133" s="2">
        <f>Cleaned_Data!B1133</f>
        <v/>
      </c>
      <c r="C1133" s="2">
        <f>Cleaned_Data!G1133</f>
        <v/>
      </c>
      <c r="D1133" s="2">
        <f>Cleaned_Data!I1133</f>
        <v/>
      </c>
      <c r="E1133" s="2">
        <f>Cleaned_Data!H1133</f>
        <v/>
      </c>
      <c r="F1133" s="2">
        <f>Cleaned_Data!F1133</f>
        <v/>
      </c>
      <c r="G1133" s="9">
        <f>SUMPRODUCT(($B$2:$B$1196=B1133)*($F$2:$F$1196&lt;=F1133))/SUMPRODUCT(($B$2:$B$1196=B1133)*1)</f>
        <v/>
      </c>
      <c r="H1133" s="2">
        <f>Cleaned_Data!J1133</f>
        <v/>
      </c>
      <c r="I1133" s="2">
        <f>Cleaned_Data!E1133</f>
        <v/>
      </c>
      <c r="J1133" s="2">
        <f>IF(C1133="Yes",1,0)</f>
        <v/>
      </c>
      <c r="K1133" s="2">
        <f>MIN(MAX(1-(D1133-1)/4,0),1)</f>
        <v/>
      </c>
      <c r="L1133" s="2">
        <f>MIN(E1133/60,1)</f>
        <v/>
      </c>
      <c r="M1133" s="2">
        <f>MIN(MAX(1-G1133,0),1)</f>
        <v/>
      </c>
      <c r="N1133" s="2">
        <f>MIN(MAX(1-(H1133-1)/4,0),1)</f>
        <v/>
      </c>
      <c r="O1133" s="2">
        <f>1-MIN(I1133/8,1)</f>
        <v/>
      </c>
      <c r="P1133" s="10">
        <f>ROUND(100*(J1133*Assumptions!$B$6+K1133*Assumptions!$B$7+L1133*Assumptions!$B$8+M1133*Assumptions!$B$9+N1133*Assumptions!$B$10+O1133*Assumptions!$B$11),1)</f>
        <v/>
      </c>
      <c r="Q1133" s="2">
        <f>IF(P1133&gt;=Assumptions!$B$14,"High",IF(P1133&gt;=Assumptions!$B$15,"Medium","Low"))</f>
        <v/>
      </c>
      <c r="R1133" s="2">
        <f>Cleaned_Data!L1133</f>
        <v/>
      </c>
    </row>
    <row r="1134">
      <c r="A1134" s="2">
        <f>Cleaned_Data!A1134</f>
        <v/>
      </c>
      <c r="B1134" s="2">
        <f>Cleaned_Data!B1134</f>
        <v/>
      </c>
      <c r="C1134" s="2">
        <f>Cleaned_Data!G1134</f>
        <v/>
      </c>
      <c r="D1134" s="2">
        <f>Cleaned_Data!I1134</f>
        <v/>
      </c>
      <c r="E1134" s="2">
        <f>Cleaned_Data!H1134</f>
        <v/>
      </c>
      <c r="F1134" s="2">
        <f>Cleaned_Data!F1134</f>
        <v/>
      </c>
      <c r="G1134" s="9">
        <f>SUMPRODUCT(($B$2:$B$1196=B1134)*($F$2:$F$1196&lt;=F1134))/SUMPRODUCT(($B$2:$B$1196=B1134)*1)</f>
        <v/>
      </c>
      <c r="H1134" s="2">
        <f>Cleaned_Data!J1134</f>
        <v/>
      </c>
      <c r="I1134" s="2">
        <f>Cleaned_Data!E1134</f>
        <v/>
      </c>
      <c r="J1134" s="2">
        <f>IF(C1134="Yes",1,0)</f>
        <v/>
      </c>
      <c r="K1134" s="2">
        <f>MIN(MAX(1-(D1134-1)/4,0),1)</f>
        <v/>
      </c>
      <c r="L1134" s="2">
        <f>MIN(E1134/60,1)</f>
        <v/>
      </c>
      <c r="M1134" s="2">
        <f>MIN(MAX(1-G1134,0),1)</f>
        <v/>
      </c>
      <c r="N1134" s="2">
        <f>MIN(MAX(1-(H1134-1)/4,0),1)</f>
        <v/>
      </c>
      <c r="O1134" s="2">
        <f>1-MIN(I1134/8,1)</f>
        <v/>
      </c>
      <c r="P1134" s="10">
        <f>ROUND(100*(J1134*Assumptions!$B$6+K1134*Assumptions!$B$7+L1134*Assumptions!$B$8+M1134*Assumptions!$B$9+N1134*Assumptions!$B$10+O1134*Assumptions!$B$11),1)</f>
        <v/>
      </c>
      <c r="Q1134" s="2">
        <f>IF(P1134&gt;=Assumptions!$B$14,"High",IF(P1134&gt;=Assumptions!$B$15,"Medium","Low"))</f>
        <v/>
      </c>
      <c r="R1134" s="2">
        <f>Cleaned_Data!L1134</f>
        <v/>
      </c>
    </row>
    <row r="1135">
      <c r="A1135" s="2">
        <f>Cleaned_Data!A1135</f>
        <v/>
      </c>
      <c r="B1135" s="2">
        <f>Cleaned_Data!B1135</f>
        <v/>
      </c>
      <c r="C1135" s="2">
        <f>Cleaned_Data!G1135</f>
        <v/>
      </c>
      <c r="D1135" s="2">
        <f>Cleaned_Data!I1135</f>
        <v/>
      </c>
      <c r="E1135" s="2">
        <f>Cleaned_Data!H1135</f>
        <v/>
      </c>
      <c r="F1135" s="2">
        <f>Cleaned_Data!F1135</f>
        <v/>
      </c>
      <c r="G1135" s="9">
        <f>SUMPRODUCT(($B$2:$B$1196=B1135)*($F$2:$F$1196&lt;=F1135))/SUMPRODUCT(($B$2:$B$1196=B1135)*1)</f>
        <v/>
      </c>
      <c r="H1135" s="2">
        <f>Cleaned_Data!J1135</f>
        <v/>
      </c>
      <c r="I1135" s="2">
        <f>Cleaned_Data!E1135</f>
        <v/>
      </c>
      <c r="J1135" s="2">
        <f>IF(C1135="Yes",1,0)</f>
        <v/>
      </c>
      <c r="K1135" s="2">
        <f>MIN(MAX(1-(D1135-1)/4,0),1)</f>
        <v/>
      </c>
      <c r="L1135" s="2">
        <f>MIN(E1135/60,1)</f>
        <v/>
      </c>
      <c r="M1135" s="2">
        <f>MIN(MAX(1-G1135,0),1)</f>
        <v/>
      </c>
      <c r="N1135" s="2">
        <f>MIN(MAX(1-(H1135-1)/4,0),1)</f>
        <v/>
      </c>
      <c r="O1135" s="2">
        <f>1-MIN(I1135/8,1)</f>
        <v/>
      </c>
      <c r="P1135" s="10">
        <f>ROUND(100*(J1135*Assumptions!$B$6+K1135*Assumptions!$B$7+L1135*Assumptions!$B$8+M1135*Assumptions!$B$9+N1135*Assumptions!$B$10+O1135*Assumptions!$B$11),1)</f>
        <v/>
      </c>
      <c r="Q1135" s="2">
        <f>IF(P1135&gt;=Assumptions!$B$14,"High",IF(P1135&gt;=Assumptions!$B$15,"Medium","Low"))</f>
        <v/>
      </c>
      <c r="R1135" s="2">
        <f>Cleaned_Data!L1135</f>
        <v/>
      </c>
    </row>
    <row r="1136">
      <c r="A1136" s="2">
        <f>Cleaned_Data!A1136</f>
        <v/>
      </c>
      <c r="B1136" s="2">
        <f>Cleaned_Data!B1136</f>
        <v/>
      </c>
      <c r="C1136" s="2">
        <f>Cleaned_Data!G1136</f>
        <v/>
      </c>
      <c r="D1136" s="2">
        <f>Cleaned_Data!I1136</f>
        <v/>
      </c>
      <c r="E1136" s="2">
        <f>Cleaned_Data!H1136</f>
        <v/>
      </c>
      <c r="F1136" s="2">
        <f>Cleaned_Data!F1136</f>
        <v/>
      </c>
      <c r="G1136" s="9">
        <f>SUMPRODUCT(($B$2:$B$1196=B1136)*($F$2:$F$1196&lt;=F1136))/SUMPRODUCT(($B$2:$B$1196=B1136)*1)</f>
        <v/>
      </c>
      <c r="H1136" s="2">
        <f>Cleaned_Data!J1136</f>
        <v/>
      </c>
      <c r="I1136" s="2">
        <f>Cleaned_Data!E1136</f>
        <v/>
      </c>
      <c r="J1136" s="2">
        <f>IF(C1136="Yes",1,0)</f>
        <v/>
      </c>
      <c r="K1136" s="2">
        <f>MIN(MAX(1-(D1136-1)/4,0),1)</f>
        <v/>
      </c>
      <c r="L1136" s="2">
        <f>MIN(E1136/60,1)</f>
        <v/>
      </c>
      <c r="M1136" s="2">
        <f>MIN(MAX(1-G1136,0),1)</f>
        <v/>
      </c>
      <c r="N1136" s="2">
        <f>MIN(MAX(1-(H1136-1)/4,0),1)</f>
        <v/>
      </c>
      <c r="O1136" s="2">
        <f>1-MIN(I1136/8,1)</f>
        <v/>
      </c>
      <c r="P1136" s="10">
        <f>ROUND(100*(J1136*Assumptions!$B$6+K1136*Assumptions!$B$7+L1136*Assumptions!$B$8+M1136*Assumptions!$B$9+N1136*Assumptions!$B$10+O1136*Assumptions!$B$11),1)</f>
        <v/>
      </c>
      <c r="Q1136" s="2">
        <f>IF(P1136&gt;=Assumptions!$B$14,"High",IF(P1136&gt;=Assumptions!$B$15,"Medium","Low"))</f>
        <v/>
      </c>
      <c r="R1136" s="2">
        <f>Cleaned_Data!L1136</f>
        <v/>
      </c>
    </row>
    <row r="1137">
      <c r="A1137" s="2">
        <f>Cleaned_Data!A1137</f>
        <v/>
      </c>
      <c r="B1137" s="2">
        <f>Cleaned_Data!B1137</f>
        <v/>
      </c>
      <c r="C1137" s="2">
        <f>Cleaned_Data!G1137</f>
        <v/>
      </c>
      <c r="D1137" s="2">
        <f>Cleaned_Data!I1137</f>
        <v/>
      </c>
      <c r="E1137" s="2">
        <f>Cleaned_Data!H1137</f>
        <v/>
      </c>
      <c r="F1137" s="2">
        <f>Cleaned_Data!F1137</f>
        <v/>
      </c>
      <c r="G1137" s="9">
        <f>SUMPRODUCT(($B$2:$B$1196=B1137)*($F$2:$F$1196&lt;=F1137))/SUMPRODUCT(($B$2:$B$1196=B1137)*1)</f>
        <v/>
      </c>
      <c r="H1137" s="2">
        <f>Cleaned_Data!J1137</f>
        <v/>
      </c>
      <c r="I1137" s="2">
        <f>Cleaned_Data!E1137</f>
        <v/>
      </c>
      <c r="J1137" s="2">
        <f>IF(C1137="Yes",1,0)</f>
        <v/>
      </c>
      <c r="K1137" s="2">
        <f>MIN(MAX(1-(D1137-1)/4,0),1)</f>
        <v/>
      </c>
      <c r="L1137" s="2">
        <f>MIN(E1137/60,1)</f>
        <v/>
      </c>
      <c r="M1137" s="2">
        <f>MIN(MAX(1-G1137,0),1)</f>
        <v/>
      </c>
      <c r="N1137" s="2">
        <f>MIN(MAX(1-(H1137-1)/4,0),1)</f>
        <v/>
      </c>
      <c r="O1137" s="2">
        <f>1-MIN(I1137/8,1)</f>
        <v/>
      </c>
      <c r="P1137" s="10">
        <f>ROUND(100*(J1137*Assumptions!$B$6+K1137*Assumptions!$B$7+L1137*Assumptions!$B$8+M1137*Assumptions!$B$9+N1137*Assumptions!$B$10+O1137*Assumptions!$B$11),1)</f>
        <v/>
      </c>
      <c r="Q1137" s="2">
        <f>IF(P1137&gt;=Assumptions!$B$14,"High",IF(P1137&gt;=Assumptions!$B$15,"Medium","Low"))</f>
        <v/>
      </c>
      <c r="R1137" s="2">
        <f>Cleaned_Data!L1137</f>
        <v/>
      </c>
    </row>
    <row r="1138">
      <c r="A1138" s="2">
        <f>Cleaned_Data!A1138</f>
        <v/>
      </c>
      <c r="B1138" s="2">
        <f>Cleaned_Data!B1138</f>
        <v/>
      </c>
      <c r="C1138" s="2">
        <f>Cleaned_Data!G1138</f>
        <v/>
      </c>
      <c r="D1138" s="2">
        <f>Cleaned_Data!I1138</f>
        <v/>
      </c>
      <c r="E1138" s="2">
        <f>Cleaned_Data!H1138</f>
        <v/>
      </c>
      <c r="F1138" s="2">
        <f>Cleaned_Data!F1138</f>
        <v/>
      </c>
      <c r="G1138" s="9">
        <f>SUMPRODUCT(($B$2:$B$1196=B1138)*($F$2:$F$1196&lt;=F1138))/SUMPRODUCT(($B$2:$B$1196=B1138)*1)</f>
        <v/>
      </c>
      <c r="H1138" s="2">
        <f>Cleaned_Data!J1138</f>
        <v/>
      </c>
      <c r="I1138" s="2">
        <f>Cleaned_Data!E1138</f>
        <v/>
      </c>
      <c r="J1138" s="2">
        <f>IF(C1138="Yes",1,0)</f>
        <v/>
      </c>
      <c r="K1138" s="2">
        <f>MIN(MAX(1-(D1138-1)/4,0),1)</f>
        <v/>
      </c>
      <c r="L1138" s="2">
        <f>MIN(E1138/60,1)</f>
        <v/>
      </c>
      <c r="M1138" s="2">
        <f>MIN(MAX(1-G1138,0),1)</f>
        <v/>
      </c>
      <c r="N1138" s="2">
        <f>MIN(MAX(1-(H1138-1)/4,0),1)</f>
        <v/>
      </c>
      <c r="O1138" s="2">
        <f>1-MIN(I1138/8,1)</f>
        <v/>
      </c>
      <c r="P1138" s="10">
        <f>ROUND(100*(J1138*Assumptions!$B$6+K1138*Assumptions!$B$7+L1138*Assumptions!$B$8+M1138*Assumptions!$B$9+N1138*Assumptions!$B$10+O1138*Assumptions!$B$11),1)</f>
        <v/>
      </c>
      <c r="Q1138" s="2">
        <f>IF(P1138&gt;=Assumptions!$B$14,"High",IF(P1138&gt;=Assumptions!$B$15,"Medium","Low"))</f>
        <v/>
      </c>
      <c r="R1138" s="2">
        <f>Cleaned_Data!L1138</f>
        <v/>
      </c>
    </row>
    <row r="1139">
      <c r="A1139" s="2">
        <f>Cleaned_Data!A1139</f>
        <v/>
      </c>
      <c r="B1139" s="2">
        <f>Cleaned_Data!B1139</f>
        <v/>
      </c>
      <c r="C1139" s="2">
        <f>Cleaned_Data!G1139</f>
        <v/>
      </c>
      <c r="D1139" s="2">
        <f>Cleaned_Data!I1139</f>
        <v/>
      </c>
      <c r="E1139" s="2">
        <f>Cleaned_Data!H1139</f>
        <v/>
      </c>
      <c r="F1139" s="2">
        <f>Cleaned_Data!F1139</f>
        <v/>
      </c>
      <c r="G1139" s="9">
        <f>SUMPRODUCT(($B$2:$B$1196=B1139)*($F$2:$F$1196&lt;=F1139))/SUMPRODUCT(($B$2:$B$1196=B1139)*1)</f>
        <v/>
      </c>
      <c r="H1139" s="2">
        <f>Cleaned_Data!J1139</f>
        <v/>
      </c>
      <c r="I1139" s="2">
        <f>Cleaned_Data!E1139</f>
        <v/>
      </c>
      <c r="J1139" s="2">
        <f>IF(C1139="Yes",1,0)</f>
        <v/>
      </c>
      <c r="K1139" s="2">
        <f>MIN(MAX(1-(D1139-1)/4,0),1)</f>
        <v/>
      </c>
      <c r="L1139" s="2">
        <f>MIN(E1139/60,1)</f>
        <v/>
      </c>
      <c r="M1139" s="2">
        <f>MIN(MAX(1-G1139,0),1)</f>
        <v/>
      </c>
      <c r="N1139" s="2">
        <f>MIN(MAX(1-(H1139-1)/4,0),1)</f>
        <v/>
      </c>
      <c r="O1139" s="2">
        <f>1-MIN(I1139/8,1)</f>
        <v/>
      </c>
      <c r="P1139" s="10">
        <f>ROUND(100*(J1139*Assumptions!$B$6+K1139*Assumptions!$B$7+L1139*Assumptions!$B$8+M1139*Assumptions!$B$9+N1139*Assumptions!$B$10+O1139*Assumptions!$B$11),1)</f>
        <v/>
      </c>
      <c r="Q1139" s="2">
        <f>IF(P1139&gt;=Assumptions!$B$14,"High",IF(P1139&gt;=Assumptions!$B$15,"Medium","Low"))</f>
        <v/>
      </c>
      <c r="R1139" s="2">
        <f>Cleaned_Data!L1139</f>
        <v/>
      </c>
    </row>
    <row r="1140">
      <c r="A1140" s="2">
        <f>Cleaned_Data!A1140</f>
        <v/>
      </c>
      <c r="B1140" s="2">
        <f>Cleaned_Data!B1140</f>
        <v/>
      </c>
      <c r="C1140" s="2">
        <f>Cleaned_Data!G1140</f>
        <v/>
      </c>
      <c r="D1140" s="2">
        <f>Cleaned_Data!I1140</f>
        <v/>
      </c>
      <c r="E1140" s="2">
        <f>Cleaned_Data!H1140</f>
        <v/>
      </c>
      <c r="F1140" s="2">
        <f>Cleaned_Data!F1140</f>
        <v/>
      </c>
      <c r="G1140" s="9">
        <f>SUMPRODUCT(($B$2:$B$1196=B1140)*($F$2:$F$1196&lt;=F1140))/SUMPRODUCT(($B$2:$B$1196=B1140)*1)</f>
        <v/>
      </c>
      <c r="H1140" s="2">
        <f>Cleaned_Data!J1140</f>
        <v/>
      </c>
      <c r="I1140" s="2">
        <f>Cleaned_Data!E1140</f>
        <v/>
      </c>
      <c r="J1140" s="2">
        <f>IF(C1140="Yes",1,0)</f>
        <v/>
      </c>
      <c r="K1140" s="2">
        <f>MIN(MAX(1-(D1140-1)/4,0),1)</f>
        <v/>
      </c>
      <c r="L1140" s="2">
        <f>MIN(E1140/60,1)</f>
        <v/>
      </c>
      <c r="M1140" s="2">
        <f>MIN(MAX(1-G1140,0),1)</f>
        <v/>
      </c>
      <c r="N1140" s="2">
        <f>MIN(MAX(1-(H1140-1)/4,0),1)</f>
        <v/>
      </c>
      <c r="O1140" s="2">
        <f>1-MIN(I1140/8,1)</f>
        <v/>
      </c>
      <c r="P1140" s="10">
        <f>ROUND(100*(J1140*Assumptions!$B$6+K1140*Assumptions!$B$7+L1140*Assumptions!$B$8+M1140*Assumptions!$B$9+N1140*Assumptions!$B$10+O1140*Assumptions!$B$11),1)</f>
        <v/>
      </c>
      <c r="Q1140" s="2">
        <f>IF(P1140&gt;=Assumptions!$B$14,"High",IF(P1140&gt;=Assumptions!$B$15,"Medium","Low"))</f>
        <v/>
      </c>
      <c r="R1140" s="2">
        <f>Cleaned_Data!L1140</f>
        <v/>
      </c>
    </row>
    <row r="1141">
      <c r="A1141" s="2">
        <f>Cleaned_Data!A1141</f>
        <v/>
      </c>
      <c r="B1141" s="2">
        <f>Cleaned_Data!B1141</f>
        <v/>
      </c>
      <c r="C1141" s="2">
        <f>Cleaned_Data!G1141</f>
        <v/>
      </c>
      <c r="D1141" s="2">
        <f>Cleaned_Data!I1141</f>
        <v/>
      </c>
      <c r="E1141" s="2">
        <f>Cleaned_Data!H1141</f>
        <v/>
      </c>
      <c r="F1141" s="2">
        <f>Cleaned_Data!F1141</f>
        <v/>
      </c>
      <c r="G1141" s="9">
        <f>SUMPRODUCT(($B$2:$B$1196=B1141)*($F$2:$F$1196&lt;=F1141))/SUMPRODUCT(($B$2:$B$1196=B1141)*1)</f>
        <v/>
      </c>
      <c r="H1141" s="2">
        <f>Cleaned_Data!J1141</f>
        <v/>
      </c>
      <c r="I1141" s="2">
        <f>Cleaned_Data!E1141</f>
        <v/>
      </c>
      <c r="J1141" s="2">
        <f>IF(C1141="Yes",1,0)</f>
        <v/>
      </c>
      <c r="K1141" s="2">
        <f>MIN(MAX(1-(D1141-1)/4,0),1)</f>
        <v/>
      </c>
      <c r="L1141" s="2">
        <f>MIN(E1141/60,1)</f>
        <v/>
      </c>
      <c r="M1141" s="2">
        <f>MIN(MAX(1-G1141,0),1)</f>
        <v/>
      </c>
      <c r="N1141" s="2">
        <f>MIN(MAX(1-(H1141-1)/4,0),1)</f>
        <v/>
      </c>
      <c r="O1141" s="2">
        <f>1-MIN(I1141/8,1)</f>
        <v/>
      </c>
      <c r="P1141" s="10">
        <f>ROUND(100*(J1141*Assumptions!$B$6+K1141*Assumptions!$B$7+L1141*Assumptions!$B$8+M1141*Assumptions!$B$9+N1141*Assumptions!$B$10+O1141*Assumptions!$B$11),1)</f>
        <v/>
      </c>
      <c r="Q1141" s="2">
        <f>IF(P1141&gt;=Assumptions!$B$14,"High",IF(P1141&gt;=Assumptions!$B$15,"Medium","Low"))</f>
        <v/>
      </c>
      <c r="R1141" s="2">
        <f>Cleaned_Data!L1141</f>
        <v/>
      </c>
    </row>
    <row r="1142">
      <c r="A1142" s="2">
        <f>Cleaned_Data!A1142</f>
        <v/>
      </c>
      <c r="B1142" s="2">
        <f>Cleaned_Data!B1142</f>
        <v/>
      </c>
      <c r="C1142" s="2">
        <f>Cleaned_Data!G1142</f>
        <v/>
      </c>
      <c r="D1142" s="2">
        <f>Cleaned_Data!I1142</f>
        <v/>
      </c>
      <c r="E1142" s="2">
        <f>Cleaned_Data!H1142</f>
        <v/>
      </c>
      <c r="F1142" s="2">
        <f>Cleaned_Data!F1142</f>
        <v/>
      </c>
      <c r="G1142" s="9">
        <f>SUMPRODUCT(($B$2:$B$1196=B1142)*($F$2:$F$1196&lt;=F1142))/SUMPRODUCT(($B$2:$B$1196=B1142)*1)</f>
        <v/>
      </c>
      <c r="H1142" s="2">
        <f>Cleaned_Data!J1142</f>
        <v/>
      </c>
      <c r="I1142" s="2">
        <f>Cleaned_Data!E1142</f>
        <v/>
      </c>
      <c r="J1142" s="2">
        <f>IF(C1142="Yes",1,0)</f>
        <v/>
      </c>
      <c r="K1142" s="2">
        <f>MIN(MAX(1-(D1142-1)/4,0),1)</f>
        <v/>
      </c>
      <c r="L1142" s="2">
        <f>MIN(E1142/60,1)</f>
        <v/>
      </c>
      <c r="M1142" s="2">
        <f>MIN(MAX(1-G1142,0),1)</f>
        <v/>
      </c>
      <c r="N1142" s="2">
        <f>MIN(MAX(1-(H1142-1)/4,0),1)</f>
        <v/>
      </c>
      <c r="O1142" s="2">
        <f>1-MIN(I1142/8,1)</f>
        <v/>
      </c>
      <c r="P1142" s="10">
        <f>ROUND(100*(J1142*Assumptions!$B$6+K1142*Assumptions!$B$7+L1142*Assumptions!$B$8+M1142*Assumptions!$B$9+N1142*Assumptions!$B$10+O1142*Assumptions!$B$11),1)</f>
        <v/>
      </c>
      <c r="Q1142" s="2">
        <f>IF(P1142&gt;=Assumptions!$B$14,"High",IF(P1142&gt;=Assumptions!$B$15,"Medium","Low"))</f>
        <v/>
      </c>
      <c r="R1142" s="2">
        <f>Cleaned_Data!L1142</f>
        <v/>
      </c>
    </row>
    <row r="1143">
      <c r="A1143" s="2">
        <f>Cleaned_Data!A1143</f>
        <v/>
      </c>
      <c r="B1143" s="2">
        <f>Cleaned_Data!B1143</f>
        <v/>
      </c>
      <c r="C1143" s="2">
        <f>Cleaned_Data!G1143</f>
        <v/>
      </c>
      <c r="D1143" s="2">
        <f>Cleaned_Data!I1143</f>
        <v/>
      </c>
      <c r="E1143" s="2">
        <f>Cleaned_Data!H1143</f>
        <v/>
      </c>
      <c r="F1143" s="2">
        <f>Cleaned_Data!F1143</f>
        <v/>
      </c>
      <c r="G1143" s="9">
        <f>SUMPRODUCT(($B$2:$B$1196=B1143)*($F$2:$F$1196&lt;=F1143))/SUMPRODUCT(($B$2:$B$1196=B1143)*1)</f>
        <v/>
      </c>
      <c r="H1143" s="2">
        <f>Cleaned_Data!J1143</f>
        <v/>
      </c>
      <c r="I1143" s="2">
        <f>Cleaned_Data!E1143</f>
        <v/>
      </c>
      <c r="J1143" s="2">
        <f>IF(C1143="Yes",1,0)</f>
        <v/>
      </c>
      <c r="K1143" s="2">
        <f>MIN(MAX(1-(D1143-1)/4,0),1)</f>
        <v/>
      </c>
      <c r="L1143" s="2">
        <f>MIN(E1143/60,1)</f>
        <v/>
      </c>
      <c r="M1143" s="2">
        <f>MIN(MAX(1-G1143,0),1)</f>
        <v/>
      </c>
      <c r="N1143" s="2">
        <f>MIN(MAX(1-(H1143-1)/4,0),1)</f>
        <v/>
      </c>
      <c r="O1143" s="2">
        <f>1-MIN(I1143/8,1)</f>
        <v/>
      </c>
      <c r="P1143" s="10">
        <f>ROUND(100*(J1143*Assumptions!$B$6+K1143*Assumptions!$B$7+L1143*Assumptions!$B$8+M1143*Assumptions!$B$9+N1143*Assumptions!$B$10+O1143*Assumptions!$B$11),1)</f>
        <v/>
      </c>
      <c r="Q1143" s="2">
        <f>IF(P1143&gt;=Assumptions!$B$14,"High",IF(P1143&gt;=Assumptions!$B$15,"Medium","Low"))</f>
        <v/>
      </c>
      <c r="R1143" s="2">
        <f>Cleaned_Data!L1143</f>
        <v/>
      </c>
    </row>
    <row r="1144">
      <c r="A1144" s="2">
        <f>Cleaned_Data!A1144</f>
        <v/>
      </c>
      <c r="B1144" s="2">
        <f>Cleaned_Data!B1144</f>
        <v/>
      </c>
      <c r="C1144" s="2">
        <f>Cleaned_Data!G1144</f>
        <v/>
      </c>
      <c r="D1144" s="2">
        <f>Cleaned_Data!I1144</f>
        <v/>
      </c>
      <c r="E1144" s="2">
        <f>Cleaned_Data!H1144</f>
        <v/>
      </c>
      <c r="F1144" s="2">
        <f>Cleaned_Data!F1144</f>
        <v/>
      </c>
      <c r="G1144" s="9">
        <f>SUMPRODUCT(($B$2:$B$1196=B1144)*($F$2:$F$1196&lt;=F1144))/SUMPRODUCT(($B$2:$B$1196=B1144)*1)</f>
        <v/>
      </c>
      <c r="H1144" s="2">
        <f>Cleaned_Data!J1144</f>
        <v/>
      </c>
      <c r="I1144" s="2">
        <f>Cleaned_Data!E1144</f>
        <v/>
      </c>
      <c r="J1144" s="2">
        <f>IF(C1144="Yes",1,0)</f>
        <v/>
      </c>
      <c r="K1144" s="2">
        <f>MIN(MAX(1-(D1144-1)/4,0),1)</f>
        <v/>
      </c>
      <c r="L1144" s="2">
        <f>MIN(E1144/60,1)</f>
        <v/>
      </c>
      <c r="M1144" s="2">
        <f>MIN(MAX(1-G1144,0),1)</f>
        <v/>
      </c>
      <c r="N1144" s="2">
        <f>MIN(MAX(1-(H1144-1)/4,0),1)</f>
        <v/>
      </c>
      <c r="O1144" s="2">
        <f>1-MIN(I1144/8,1)</f>
        <v/>
      </c>
      <c r="P1144" s="10">
        <f>ROUND(100*(J1144*Assumptions!$B$6+K1144*Assumptions!$B$7+L1144*Assumptions!$B$8+M1144*Assumptions!$B$9+N1144*Assumptions!$B$10+O1144*Assumptions!$B$11),1)</f>
        <v/>
      </c>
      <c r="Q1144" s="2">
        <f>IF(P1144&gt;=Assumptions!$B$14,"High",IF(P1144&gt;=Assumptions!$B$15,"Medium","Low"))</f>
        <v/>
      </c>
      <c r="R1144" s="2">
        <f>Cleaned_Data!L1144</f>
        <v/>
      </c>
    </row>
    <row r="1145">
      <c r="A1145" s="2">
        <f>Cleaned_Data!A1145</f>
        <v/>
      </c>
      <c r="B1145" s="2">
        <f>Cleaned_Data!B1145</f>
        <v/>
      </c>
      <c r="C1145" s="2">
        <f>Cleaned_Data!G1145</f>
        <v/>
      </c>
      <c r="D1145" s="2">
        <f>Cleaned_Data!I1145</f>
        <v/>
      </c>
      <c r="E1145" s="2">
        <f>Cleaned_Data!H1145</f>
        <v/>
      </c>
      <c r="F1145" s="2">
        <f>Cleaned_Data!F1145</f>
        <v/>
      </c>
      <c r="G1145" s="9">
        <f>SUMPRODUCT(($B$2:$B$1196=B1145)*($F$2:$F$1196&lt;=F1145))/SUMPRODUCT(($B$2:$B$1196=B1145)*1)</f>
        <v/>
      </c>
      <c r="H1145" s="2">
        <f>Cleaned_Data!J1145</f>
        <v/>
      </c>
      <c r="I1145" s="2">
        <f>Cleaned_Data!E1145</f>
        <v/>
      </c>
      <c r="J1145" s="2">
        <f>IF(C1145="Yes",1,0)</f>
        <v/>
      </c>
      <c r="K1145" s="2">
        <f>MIN(MAX(1-(D1145-1)/4,0),1)</f>
        <v/>
      </c>
      <c r="L1145" s="2">
        <f>MIN(E1145/60,1)</f>
        <v/>
      </c>
      <c r="M1145" s="2">
        <f>MIN(MAX(1-G1145,0),1)</f>
        <v/>
      </c>
      <c r="N1145" s="2">
        <f>MIN(MAX(1-(H1145-1)/4,0),1)</f>
        <v/>
      </c>
      <c r="O1145" s="2">
        <f>1-MIN(I1145/8,1)</f>
        <v/>
      </c>
      <c r="P1145" s="10">
        <f>ROUND(100*(J1145*Assumptions!$B$6+K1145*Assumptions!$B$7+L1145*Assumptions!$B$8+M1145*Assumptions!$B$9+N1145*Assumptions!$B$10+O1145*Assumptions!$B$11),1)</f>
        <v/>
      </c>
      <c r="Q1145" s="2">
        <f>IF(P1145&gt;=Assumptions!$B$14,"High",IF(P1145&gt;=Assumptions!$B$15,"Medium","Low"))</f>
        <v/>
      </c>
      <c r="R1145" s="2">
        <f>Cleaned_Data!L1145</f>
        <v/>
      </c>
    </row>
    <row r="1146">
      <c r="A1146" s="2">
        <f>Cleaned_Data!A1146</f>
        <v/>
      </c>
      <c r="B1146" s="2">
        <f>Cleaned_Data!B1146</f>
        <v/>
      </c>
      <c r="C1146" s="2">
        <f>Cleaned_Data!G1146</f>
        <v/>
      </c>
      <c r="D1146" s="2">
        <f>Cleaned_Data!I1146</f>
        <v/>
      </c>
      <c r="E1146" s="2">
        <f>Cleaned_Data!H1146</f>
        <v/>
      </c>
      <c r="F1146" s="2">
        <f>Cleaned_Data!F1146</f>
        <v/>
      </c>
      <c r="G1146" s="9">
        <f>SUMPRODUCT(($B$2:$B$1196=B1146)*($F$2:$F$1196&lt;=F1146))/SUMPRODUCT(($B$2:$B$1196=B1146)*1)</f>
        <v/>
      </c>
      <c r="H1146" s="2">
        <f>Cleaned_Data!J1146</f>
        <v/>
      </c>
      <c r="I1146" s="2">
        <f>Cleaned_Data!E1146</f>
        <v/>
      </c>
      <c r="J1146" s="2">
        <f>IF(C1146="Yes",1,0)</f>
        <v/>
      </c>
      <c r="K1146" s="2">
        <f>MIN(MAX(1-(D1146-1)/4,0),1)</f>
        <v/>
      </c>
      <c r="L1146" s="2">
        <f>MIN(E1146/60,1)</f>
        <v/>
      </c>
      <c r="M1146" s="2">
        <f>MIN(MAX(1-G1146,0),1)</f>
        <v/>
      </c>
      <c r="N1146" s="2">
        <f>MIN(MAX(1-(H1146-1)/4,0),1)</f>
        <v/>
      </c>
      <c r="O1146" s="2">
        <f>1-MIN(I1146/8,1)</f>
        <v/>
      </c>
      <c r="P1146" s="10">
        <f>ROUND(100*(J1146*Assumptions!$B$6+K1146*Assumptions!$B$7+L1146*Assumptions!$B$8+M1146*Assumptions!$B$9+N1146*Assumptions!$B$10+O1146*Assumptions!$B$11),1)</f>
        <v/>
      </c>
      <c r="Q1146" s="2">
        <f>IF(P1146&gt;=Assumptions!$B$14,"High",IF(P1146&gt;=Assumptions!$B$15,"Medium","Low"))</f>
        <v/>
      </c>
      <c r="R1146" s="2">
        <f>Cleaned_Data!L1146</f>
        <v/>
      </c>
    </row>
    <row r="1147">
      <c r="A1147" s="2">
        <f>Cleaned_Data!A1147</f>
        <v/>
      </c>
      <c r="B1147" s="2">
        <f>Cleaned_Data!B1147</f>
        <v/>
      </c>
      <c r="C1147" s="2">
        <f>Cleaned_Data!G1147</f>
        <v/>
      </c>
      <c r="D1147" s="2">
        <f>Cleaned_Data!I1147</f>
        <v/>
      </c>
      <c r="E1147" s="2">
        <f>Cleaned_Data!H1147</f>
        <v/>
      </c>
      <c r="F1147" s="2">
        <f>Cleaned_Data!F1147</f>
        <v/>
      </c>
      <c r="G1147" s="9">
        <f>SUMPRODUCT(($B$2:$B$1196=B1147)*($F$2:$F$1196&lt;=F1147))/SUMPRODUCT(($B$2:$B$1196=B1147)*1)</f>
        <v/>
      </c>
      <c r="H1147" s="2">
        <f>Cleaned_Data!J1147</f>
        <v/>
      </c>
      <c r="I1147" s="2">
        <f>Cleaned_Data!E1147</f>
        <v/>
      </c>
      <c r="J1147" s="2">
        <f>IF(C1147="Yes",1,0)</f>
        <v/>
      </c>
      <c r="K1147" s="2">
        <f>MIN(MAX(1-(D1147-1)/4,0),1)</f>
        <v/>
      </c>
      <c r="L1147" s="2">
        <f>MIN(E1147/60,1)</f>
        <v/>
      </c>
      <c r="M1147" s="2">
        <f>MIN(MAX(1-G1147,0),1)</f>
        <v/>
      </c>
      <c r="N1147" s="2">
        <f>MIN(MAX(1-(H1147-1)/4,0),1)</f>
        <v/>
      </c>
      <c r="O1147" s="2">
        <f>1-MIN(I1147/8,1)</f>
        <v/>
      </c>
      <c r="P1147" s="10">
        <f>ROUND(100*(J1147*Assumptions!$B$6+K1147*Assumptions!$B$7+L1147*Assumptions!$B$8+M1147*Assumptions!$B$9+N1147*Assumptions!$B$10+O1147*Assumptions!$B$11),1)</f>
        <v/>
      </c>
      <c r="Q1147" s="2">
        <f>IF(P1147&gt;=Assumptions!$B$14,"High",IF(P1147&gt;=Assumptions!$B$15,"Medium","Low"))</f>
        <v/>
      </c>
      <c r="R1147" s="2">
        <f>Cleaned_Data!L1147</f>
        <v/>
      </c>
    </row>
    <row r="1148">
      <c r="A1148" s="2">
        <f>Cleaned_Data!A1148</f>
        <v/>
      </c>
      <c r="B1148" s="2">
        <f>Cleaned_Data!B1148</f>
        <v/>
      </c>
      <c r="C1148" s="2">
        <f>Cleaned_Data!G1148</f>
        <v/>
      </c>
      <c r="D1148" s="2">
        <f>Cleaned_Data!I1148</f>
        <v/>
      </c>
      <c r="E1148" s="2">
        <f>Cleaned_Data!H1148</f>
        <v/>
      </c>
      <c r="F1148" s="2">
        <f>Cleaned_Data!F1148</f>
        <v/>
      </c>
      <c r="G1148" s="9">
        <f>SUMPRODUCT(($B$2:$B$1196=B1148)*($F$2:$F$1196&lt;=F1148))/SUMPRODUCT(($B$2:$B$1196=B1148)*1)</f>
        <v/>
      </c>
      <c r="H1148" s="2">
        <f>Cleaned_Data!J1148</f>
        <v/>
      </c>
      <c r="I1148" s="2">
        <f>Cleaned_Data!E1148</f>
        <v/>
      </c>
      <c r="J1148" s="2">
        <f>IF(C1148="Yes",1,0)</f>
        <v/>
      </c>
      <c r="K1148" s="2">
        <f>MIN(MAX(1-(D1148-1)/4,0),1)</f>
        <v/>
      </c>
      <c r="L1148" s="2">
        <f>MIN(E1148/60,1)</f>
        <v/>
      </c>
      <c r="M1148" s="2">
        <f>MIN(MAX(1-G1148,0),1)</f>
        <v/>
      </c>
      <c r="N1148" s="2">
        <f>MIN(MAX(1-(H1148-1)/4,0),1)</f>
        <v/>
      </c>
      <c r="O1148" s="2">
        <f>1-MIN(I1148/8,1)</f>
        <v/>
      </c>
      <c r="P1148" s="10">
        <f>ROUND(100*(J1148*Assumptions!$B$6+K1148*Assumptions!$B$7+L1148*Assumptions!$B$8+M1148*Assumptions!$B$9+N1148*Assumptions!$B$10+O1148*Assumptions!$B$11),1)</f>
        <v/>
      </c>
      <c r="Q1148" s="2">
        <f>IF(P1148&gt;=Assumptions!$B$14,"High",IF(P1148&gt;=Assumptions!$B$15,"Medium","Low"))</f>
        <v/>
      </c>
      <c r="R1148" s="2">
        <f>Cleaned_Data!L1148</f>
        <v/>
      </c>
    </row>
    <row r="1149">
      <c r="A1149" s="2">
        <f>Cleaned_Data!A1149</f>
        <v/>
      </c>
      <c r="B1149" s="2">
        <f>Cleaned_Data!B1149</f>
        <v/>
      </c>
      <c r="C1149" s="2">
        <f>Cleaned_Data!G1149</f>
        <v/>
      </c>
      <c r="D1149" s="2">
        <f>Cleaned_Data!I1149</f>
        <v/>
      </c>
      <c r="E1149" s="2">
        <f>Cleaned_Data!H1149</f>
        <v/>
      </c>
      <c r="F1149" s="2">
        <f>Cleaned_Data!F1149</f>
        <v/>
      </c>
      <c r="G1149" s="9">
        <f>SUMPRODUCT(($B$2:$B$1196=B1149)*($F$2:$F$1196&lt;=F1149))/SUMPRODUCT(($B$2:$B$1196=B1149)*1)</f>
        <v/>
      </c>
      <c r="H1149" s="2">
        <f>Cleaned_Data!J1149</f>
        <v/>
      </c>
      <c r="I1149" s="2">
        <f>Cleaned_Data!E1149</f>
        <v/>
      </c>
      <c r="J1149" s="2">
        <f>IF(C1149="Yes",1,0)</f>
        <v/>
      </c>
      <c r="K1149" s="2">
        <f>MIN(MAX(1-(D1149-1)/4,0),1)</f>
        <v/>
      </c>
      <c r="L1149" s="2">
        <f>MIN(E1149/60,1)</f>
        <v/>
      </c>
      <c r="M1149" s="2">
        <f>MIN(MAX(1-G1149,0),1)</f>
        <v/>
      </c>
      <c r="N1149" s="2">
        <f>MIN(MAX(1-(H1149-1)/4,0),1)</f>
        <v/>
      </c>
      <c r="O1149" s="2">
        <f>1-MIN(I1149/8,1)</f>
        <v/>
      </c>
      <c r="P1149" s="10">
        <f>ROUND(100*(J1149*Assumptions!$B$6+K1149*Assumptions!$B$7+L1149*Assumptions!$B$8+M1149*Assumptions!$B$9+N1149*Assumptions!$B$10+O1149*Assumptions!$B$11),1)</f>
        <v/>
      </c>
      <c r="Q1149" s="2">
        <f>IF(P1149&gt;=Assumptions!$B$14,"High",IF(P1149&gt;=Assumptions!$B$15,"Medium","Low"))</f>
        <v/>
      </c>
      <c r="R1149" s="2">
        <f>Cleaned_Data!L1149</f>
        <v/>
      </c>
    </row>
    <row r="1150">
      <c r="A1150" s="2">
        <f>Cleaned_Data!A1150</f>
        <v/>
      </c>
      <c r="B1150" s="2">
        <f>Cleaned_Data!B1150</f>
        <v/>
      </c>
      <c r="C1150" s="2">
        <f>Cleaned_Data!G1150</f>
        <v/>
      </c>
      <c r="D1150" s="2">
        <f>Cleaned_Data!I1150</f>
        <v/>
      </c>
      <c r="E1150" s="2">
        <f>Cleaned_Data!H1150</f>
        <v/>
      </c>
      <c r="F1150" s="2">
        <f>Cleaned_Data!F1150</f>
        <v/>
      </c>
      <c r="G1150" s="9">
        <f>SUMPRODUCT(($B$2:$B$1196=B1150)*($F$2:$F$1196&lt;=F1150))/SUMPRODUCT(($B$2:$B$1196=B1150)*1)</f>
        <v/>
      </c>
      <c r="H1150" s="2">
        <f>Cleaned_Data!J1150</f>
        <v/>
      </c>
      <c r="I1150" s="2">
        <f>Cleaned_Data!E1150</f>
        <v/>
      </c>
      <c r="J1150" s="2">
        <f>IF(C1150="Yes",1,0)</f>
        <v/>
      </c>
      <c r="K1150" s="2">
        <f>MIN(MAX(1-(D1150-1)/4,0),1)</f>
        <v/>
      </c>
      <c r="L1150" s="2">
        <f>MIN(E1150/60,1)</f>
        <v/>
      </c>
      <c r="M1150" s="2">
        <f>MIN(MAX(1-G1150,0),1)</f>
        <v/>
      </c>
      <c r="N1150" s="2">
        <f>MIN(MAX(1-(H1150-1)/4,0),1)</f>
        <v/>
      </c>
      <c r="O1150" s="2">
        <f>1-MIN(I1150/8,1)</f>
        <v/>
      </c>
      <c r="P1150" s="10">
        <f>ROUND(100*(J1150*Assumptions!$B$6+K1150*Assumptions!$B$7+L1150*Assumptions!$B$8+M1150*Assumptions!$B$9+N1150*Assumptions!$B$10+O1150*Assumptions!$B$11),1)</f>
        <v/>
      </c>
      <c r="Q1150" s="2">
        <f>IF(P1150&gt;=Assumptions!$B$14,"High",IF(P1150&gt;=Assumptions!$B$15,"Medium","Low"))</f>
        <v/>
      </c>
      <c r="R1150" s="2">
        <f>Cleaned_Data!L1150</f>
        <v/>
      </c>
    </row>
    <row r="1151">
      <c r="A1151" s="2">
        <f>Cleaned_Data!A1151</f>
        <v/>
      </c>
      <c r="B1151" s="2">
        <f>Cleaned_Data!B1151</f>
        <v/>
      </c>
      <c r="C1151" s="2">
        <f>Cleaned_Data!G1151</f>
        <v/>
      </c>
      <c r="D1151" s="2">
        <f>Cleaned_Data!I1151</f>
        <v/>
      </c>
      <c r="E1151" s="2">
        <f>Cleaned_Data!H1151</f>
        <v/>
      </c>
      <c r="F1151" s="2">
        <f>Cleaned_Data!F1151</f>
        <v/>
      </c>
      <c r="G1151" s="9">
        <f>SUMPRODUCT(($B$2:$B$1196=B1151)*($F$2:$F$1196&lt;=F1151))/SUMPRODUCT(($B$2:$B$1196=B1151)*1)</f>
        <v/>
      </c>
      <c r="H1151" s="2">
        <f>Cleaned_Data!J1151</f>
        <v/>
      </c>
      <c r="I1151" s="2">
        <f>Cleaned_Data!E1151</f>
        <v/>
      </c>
      <c r="J1151" s="2">
        <f>IF(C1151="Yes",1,0)</f>
        <v/>
      </c>
      <c r="K1151" s="2">
        <f>MIN(MAX(1-(D1151-1)/4,0),1)</f>
        <v/>
      </c>
      <c r="L1151" s="2">
        <f>MIN(E1151/60,1)</f>
        <v/>
      </c>
      <c r="M1151" s="2">
        <f>MIN(MAX(1-G1151,0),1)</f>
        <v/>
      </c>
      <c r="N1151" s="2">
        <f>MIN(MAX(1-(H1151-1)/4,0),1)</f>
        <v/>
      </c>
      <c r="O1151" s="2">
        <f>1-MIN(I1151/8,1)</f>
        <v/>
      </c>
      <c r="P1151" s="10">
        <f>ROUND(100*(J1151*Assumptions!$B$6+K1151*Assumptions!$B$7+L1151*Assumptions!$B$8+M1151*Assumptions!$B$9+N1151*Assumptions!$B$10+O1151*Assumptions!$B$11),1)</f>
        <v/>
      </c>
      <c r="Q1151" s="2">
        <f>IF(P1151&gt;=Assumptions!$B$14,"High",IF(P1151&gt;=Assumptions!$B$15,"Medium","Low"))</f>
        <v/>
      </c>
      <c r="R1151" s="2">
        <f>Cleaned_Data!L1151</f>
        <v/>
      </c>
    </row>
    <row r="1152">
      <c r="A1152" s="2">
        <f>Cleaned_Data!A1152</f>
        <v/>
      </c>
      <c r="B1152" s="2">
        <f>Cleaned_Data!B1152</f>
        <v/>
      </c>
      <c r="C1152" s="2">
        <f>Cleaned_Data!G1152</f>
        <v/>
      </c>
      <c r="D1152" s="2">
        <f>Cleaned_Data!I1152</f>
        <v/>
      </c>
      <c r="E1152" s="2">
        <f>Cleaned_Data!H1152</f>
        <v/>
      </c>
      <c r="F1152" s="2">
        <f>Cleaned_Data!F1152</f>
        <v/>
      </c>
      <c r="G1152" s="9">
        <f>SUMPRODUCT(($B$2:$B$1196=B1152)*($F$2:$F$1196&lt;=F1152))/SUMPRODUCT(($B$2:$B$1196=B1152)*1)</f>
        <v/>
      </c>
      <c r="H1152" s="2">
        <f>Cleaned_Data!J1152</f>
        <v/>
      </c>
      <c r="I1152" s="2">
        <f>Cleaned_Data!E1152</f>
        <v/>
      </c>
      <c r="J1152" s="2">
        <f>IF(C1152="Yes",1,0)</f>
        <v/>
      </c>
      <c r="K1152" s="2">
        <f>MIN(MAX(1-(D1152-1)/4,0),1)</f>
        <v/>
      </c>
      <c r="L1152" s="2">
        <f>MIN(E1152/60,1)</f>
        <v/>
      </c>
      <c r="M1152" s="2">
        <f>MIN(MAX(1-G1152,0),1)</f>
        <v/>
      </c>
      <c r="N1152" s="2">
        <f>MIN(MAX(1-(H1152-1)/4,0),1)</f>
        <v/>
      </c>
      <c r="O1152" s="2">
        <f>1-MIN(I1152/8,1)</f>
        <v/>
      </c>
      <c r="P1152" s="10">
        <f>ROUND(100*(J1152*Assumptions!$B$6+K1152*Assumptions!$B$7+L1152*Assumptions!$B$8+M1152*Assumptions!$B$9+N1152*Assumptions!$B$10+O1152*Assumptions!$B$11),1)</f>
        <v/>
      </c>
      <c r="Q1152" s="2">
        <f>IF(P1152&gt;=Assumptions!$B$14,"High",IF(P1152&gt;=Assumptions!$B$15,"Medium","Low"))</f>
        <v/>
      </c>
      <c r="R1152" s="2">
        <f>Cleaned_Data!L1152</f>
        <v/>
      </c>
    </row>
    <row r="1153">
      <c r="A1153" s="2">
        <f>Cleaned_Data!A1153</f>
        <v/>
      </c>
      <c r="B1153" s="2">
        <f>Cleaned_Data!B1153</f>
        <v/>
      </c>
      <c r="C1153" s="2">
        <f>Cleaned_Data!G1153</f>
        <v/>
      </c>
      <c r="D1153" s="2">
        <f>Cleaned_Data!I1153</f>
        <v/>
      </c>
      <c r="E1153" s="2">
        <f>Cleaned_Data!H1153</f>
        <v/>
      </c>
      <c r="F1153" s="2">
        <f>Cleaned_Data!F1153</f>
        <v/>
      </c>
      <c r="G1153" s="9">
        <f>SUMPRODUCT(($B$2:$B$1196=B1153)*($F$2:$F$1196&lt;=F1153))/SUMPRODUCT(($B$2:$B$1196=B1153)*1)</f>
        <v/>
      </c>
      <c r="H1153" s="2">
        <f>Cleaned_Data!J1153</f>
        <v/>
      </c>
      <c r="I1153" s="2">
        <f>Cleaned_Data!E1153</f>
        <v/>
      </c>
      <c r="J1153" s="2">
        <f>IF(C1153="Yes",1,0)</f>
        <v/>
      </c>
      <c r="K1153" s="2">
        <f>MIN(MAX(1-(D1153-1)/4,0),1)</f>
        <v/>
      </c>
      <c r="L1153" s="2">
        <f>MIN(E1153/60,1)</f>
        <v/>
      </c>
      <c r="M1153" s="2">
        <f>MIN(MAX(1-G1153,0),1)</f>
        <v/>
      </c>
      <c r="N1153" s="2">
        <f>MIN(MAX(1-(H1153-1)/4,0),1)</f>
        <v/>
      </c>
      <c r="O1153" s="2">
        <f>1-MIN(I1153/8,1)</f>
        <v/>
      </c>
      <c r="P1153" s="10">
        <f>ROUND(100*(J1153*Assumptions!$B$6+K1153*Assumptions!$B$7+L1153*Assumptions!$B$8+M1153*Assumptions!$B$9+N1153*Assumptions!$B$10+O1153*Assumptions!$B$11),1)</f>
        <v/>
      </c>
      <c r="Q1153" s="2">
        <f>IF(P1153&gt;=Assumptions!$B$14,"High",IF(P1153&gt;=Assumptions!$B$15,"Medium","Low"))</f>
        <v/>
      </c>
      <c r="R1153" s="2">
        <f>Cleaned_Data!L1153</f>
        <v/>
      </c>
    </row>
    <row r="1154">
      <c r="A1154" s="2">
        <f>Cleaned_Data!A1154</f>
        <v/>
      </c>
      <c r="B1154" s="2">
        <f>Cleaned_Data!B1154</f>
        <v/>
      </c>
      <c r="C1154" s="2">
        <f>Cleaned_Data!G1154</f>
        <v/>
      </c>
      <c r="D1154" s="2">
        <f>Cleaned_Data!I1154</f>
        <v/>
      </c>
      <c r="E1154" s="2">
        <f>Cleaned_Data!H1154</f>
        <v/>
      </c>
      <c r="F1154" s="2">
        <f>Cleaned_Data!F1154</f>
        <v/>
      </c>
      <c r="G1154" s="9">
        <f>SUMPRODUCT(($B$2:$B$1196=B1154)*($F$2:$F$1196&lt;=F1154))/SUMPRODUCT(($B$2:$B$1196=B1154)*1)</f>
        <v/>
      </c>
      <c r="H1154" s="2">
        <f>Cleaned_Data!J1154</f>
        <v/>
      </c>
      <c r="I1154" s="2">
        <f>Cleaned_Data!E1154</f>
        <v/>
      </c>
      <c r="J1154" s="2">
        <f>IF(C1154="Yes",1,0)</f>
        <v/>
      </c>
      <c r="K1154" s="2">
        <f>MIN(MAX(1-(D1154-1)/4,0),1)</f>
        <v/>
      </c>
      <c r="L1154" s="2">
        <f>MIN(E1154/60,1)</f>
        <v/>
      </c>
      <c r="M1154" s="2">
        <f>MIN(MAX(1-G1154,0),1)</f>
        <v/>
      </c>
      <c r="N1154" s="2">
        <f>MIN(MAX(1-(H1154-1)/4,0),1)</f>
        <v/>
      </c>
      <c r="O1154" s="2">
        <f>1-MIN(I1154/8,1)</f>
        <v/>
      </c>
      <c r="P1154" s="10">
        <f>ROUND(100*(J1154*Assumptions!$B$6+K1154*Assumptions!$B$7+L1154*Assumptions!$B$8+M1154*Assumptions!$B$9+N1154*Assumptions!$B$10+O1154*Assumptions!$B$11),1)</f>
        <v/>
      </c>
      <c r="Q1154" s="2">
        <f>IF(P1154&gt;=Assumptions!$B$14,"High",IF(P1154&gt;=Assumptions!$B$15,"Medium","Low"))</f>
        <v/>
      </c>
      <c r="R1154" s="2">
        <f>Cleaned_Data!L1154</f>
        <v/>
      </c>
    </row>
    <row r="1155">
      <c r="A1155" s="2">
        <f>Cleaned_Data!A1155</f>
        <v/>
      </c>
      <c r="B1155" s="2">
        <f>Cleaned_Data!B1155</f>
        <v/>
      </c>
      <c r="C1155" s="2">
        <f>Cleaned_Data!G1155</f>
        <v/>
      </c>
      <c r="D1155" s="2">
        <f>Cleaned_Data!I1155</f>
        <v/>
      </c>
      <c r="E1155" s="2">
        <f>Cleaned_Data!H1155</f>
        <v/>
      </c>
      <c r="F1155" s="2">
        <f>Cleaned_Data!F1155</f>
        <v/>
      </c>
      <c r="G1155" s="9">
        <f>SUMPRODUCT(($B$2:$B$1196=B1155)*($F$2:$F$1196&lt;=F1155))/SUMPRODUCT(($B$2:$B$1196=B1155)*1)</f>
        <v/>
      </c>
      <c r="H1155" s="2">
        <f>Cleaned_Data!J1155</f>
        <v/>
      </c>
      <c r="I1155" s="2">
        <f>Cleaned_Data!E1155</f>
        <v/>
      </c>
      <c r="J1155" s="2">
        <f>IF(C1155="Yes",1,0)</f>
        <v/>
      </c>
      <c r="K1155" s="2">
        <f>MIN(MAX(1-(D1155-1)/4,0),1)</f>
        <v/>
      </c>
      <c r="L1155" s="2">
        <f>MIN(E1155/60,1)</f>
        <v/>
      </c>
      <c r="M1155" s="2">
        <f>MIN(MAX(1-G1155,0),1)</f>
        <v/>
      </c>
      <c r="N1155" s="2">
        <f>MIN(MAX(1-(H1155-1)/4,0),1)</f>
        <v/>
      </c>
      <c r="O1155" s="2">
        <f>1-MIN(I1155/8,1)</f>
        <v/>
      </c>
      <c r="P1155" s="10">
        <f>ROUND(100*(J1155*Assumptions!$B$6+K1155*Assumptions!$B$7+L1155*Assumptions!$B$8+M1155*Assumptions!$B$9+N1155*Assumptions!$B$10+O1155*Assumptions!$B$11),1)</f>
        <v/>
      </c>
      <c r="Q1155" s="2">
        <f>IF(P1155&gt;=Assumptions!$B$14,"High",IF(P1155&gt;=Assumptions!$B$15,"Medium","Low"))</f>
        <v/>
      </c>
      <c r="R1155" s="2">
        <f>Cleaned_Data!L1155</f>
        <v/>
      </c>
    </row>
    <row r="1156">
      <c r="A1156" s="2">
        <f>Cleaned_Data!A1156</f>
        <v/>
      </c>
      <c r="B1156" s="2">
        <f>Cleaned_Data!B1156</f>
        <v/>
      </c>
      <c r="C1156" s="2">
        <f>Cleaned_Data!G1156</f>
        <v/>
      </c>
      <c r="D1156" s="2">
        <f>Cleaned_Data!I1156</f>
        <v/>
      </c>
      <c r="E1156" s="2">
        <f>Cleaned_Data!H1156</f>
        <v/>
      </c>
      <c r="F1156" s="2">
        <f>Cleaned_Data!F1156</f>
        <v/>
      </c>
      <c r="G1156" s="9">
        <f>SUMPRODUCT(($B$2:$B$1196=B1156)*($F$2:$F$1196&lt;=F1156))/SUMPRODUCT(($B$2:$B$1196=B1156)*1)</f>
        <v/>
      </c>
      <c r="H1156" s="2">
        <f>Cleaned_Data!J1156</f>
        <v/>
      </c>
      <c r="I1156" s="2">
        <f>Cleaned_Data!E1156</f>
        <v/>
      </c>
      <c r="J1156" s="2">
        <f>IF(C1156="Yes",1,0)</f>
        <v/>
      </c>
      <c r="K1156" s="2">
        <f>MIN(MAX(1-(D1156-1)/4,0),1)</f>
        <v/>
      </c>
      <c r="L1156" s="2">
        <f>MIN(E1156/60,1)</f>
        <v/>
      </c>
      <c r="M1156" s="2">
        <f>MIN(MAX(1-G1156,0),1)</f>
        <v/>
      </c>
      <c r="N1156" s="2">
        <f>MIN(MAX(1-(H1156-1)/4,0),1)</f>
        <v/>
      </c>
      <c r="O1156" s="2">
        <f>1-MIN(I1156/8,1)</f>
        <v/>
      </c>
      <c r="P1156" s="10">
        <f>ROUND(100*(J1156*Assumptions!$B$6+K1156*Assumptions!$B$7+L1156*Assumptions!$B$8+M1156*Assumptions!$B$9+N1156*Assumptions!$B$10+O1156*Assumptions!$B$11),1)</f>
        <v/>
      </c>
      <c r="Q1156" s="2">
        <f>IF(P1156&gt;=Assumptions!$B$14,"High",IF(P1156&gt;=Assumptions!$B$15,"Medium","Low"))</f>
        <v/>
      </c>
      <c r="R1156" s="2">
        <f>Cleaned_Data!L1156</f>
        <v/>
      </c>
    </row>
    <row r="1157">
      <c r="A1157" s="2">
        <f>Cleaned_Data!A1157</f>
        <v/>
      </c>
      <c r="B1157" s="2">
        <f>Cleaned_Data!B1157</f>
        <v/>
      </c>
      <c r="C1157" s="2">
        <f>Cleaned_Data!G1157</f>
        <v/>
      </c>
      <c r="D1157" s="2">
        <f>Cleaned_Data!I1157</f>
        <v/>
      </c>
      <c r="E1157" s="2">
        <f>Cleaned_Data!H1157</f>
        <v/>
      </c>
      <c r="F1157" s="2">
        <f>Cleaned_Data!F1157</f>
        <v/>
      </c>
      <c r="G1157" s="9">
        <f>SUMPRODUCT(($B$2:$B$1196=B1157)*($F$2:$F$1196&lt;=F1157))/SUMPRODUCT(($B$2:$B$1196=B1157)*1)</f>
        <v/>
      </c>
      <c r="H1157" s="2">
        <f>Cleaned_Data!J1157</f>
        <v/>
      </c>
      <c r="I1157" s="2">
        <f>Cleaned_Data!E1157</f>
        <v/>
      </c>
      <c r="J1157" s="2">
        <f>IF(C1157="Yes",1,0)</f>
        <v/>
      </c>
      <c r="K1157" s="2">
        <f>MIN(MAX(1-(D1157-1)/4,0),1)</f>
        <v/>
      </c>
      <c r="L1157" s="2">
        <f>MIN(E1157/60,1)</f>
        <v/>
      </c>
      <c r="M1157" s="2">
        <f>MIN(MAX(1-G1157,0),1)</f>
        <v/>
      </c>
      <c r="N1157" s="2">
        <f>MIN(MAX(1-(H1157-1)/4,0),1)</f>
        <v/>
      </c>
      <c r="O1157" s="2">
        <f>1-MIN(I1157/8,1)</f>
        <v/>
      </c>
      <c r="P1157" s="10">
        <f>ROUND(100*(J1157*Assumptions!$B$6+K1157*Assumptions!$B$7+L1157*Assumptions!$B$8+M1157*Assumptions!$B$9+N1157*Assumptions!$B$10+O1157*Assumptions!$B$11),1)</f>
        <v/>
      </c>
      <c r="Q1157" s="2">
        <f>IF(P1157&gt;=Assumptions!$B$14,"High",IF(P1157&gt;=Assumptions!$B$15,"Medium","Low"))</f>
        <v/>
      </c>
      <c r="R1157" s="2">
        <f>Cleaned_Data!L1157</f>
        <v/>
      </c>
    </row>
    <row r="1158">
      <c r="A1158" s="2">
        <f>Cleaned_Data!A1158</f>
        <v/>
      </c>
      <c r="B1158" s="2">
        <f>Cleaned_Data!B1158</f>
        <v/>
      </c>
      <c r="C1158" s="2">
        <f>Cleaned_Data!G1158</f>
        <v/>
      </c>
      <c r="D1158" s="2">
        <f>Cleaned_Data!I1158</f>
        <v/>
      </c>
      <c r="E1158" s="2">
        <f>Cleaned_Data!H1158</f>
        <v/>
      </c>
      <c r="F1158" s="2">
        <f>Cleaned_Data!F1158</f>
        <v/>
      </c>
      <c r="G1158" s="9">
        <f>SUMPRODUCT(($B$2:$B$1196=B1158)*($F$2:$F$1196&lt;=F1158))/SUMPRODUCT(($B$2:$B$1196=B1158)*1)</f>
        <v/>
      </c>
      <c r="H1158" s="2">
        <f>Cleaned_Data!J1158</f>
        <v/>
      </c>
      <c r="I1158" s="2">
        <f>Cleaned_Data!E1158</f>
        <v/>
      </c>
      <c r="J1158" s="2">
        <f>IF(C1158="Yes",1,0)</f>
        <v/>
      </c>
      <c r="K1158" s="2">
        <f>MIN(MAX(1-(D1158-1)/4,0),1)</f>
        <v/>
      </c>
      <c r="L1158" s="2">
        <f>MIN(E1158/60,1)</f>
        <v/>
      </c>
      <c r="M1158" s="2">
        <f>MIN(MAX(1-G1158,0),1)</f>
        <v/>
      </c>
      <c r="N1158" s="2">
        <f>MIN(MAX(1-(H1158-1)/4,0),1)</f>
        <v/>
      </c>
      <c r="O1158" s="2">
        <f>1-MIN(I1158/8,1)</f>
        <v/>
      </c>
      <c r="P1158" s="10">
        <f>ROUND(100*(J1158*Assumptions!$B$6+K1158*Assumptions!$B$7+L1158*Assumptions!$B$8+M1158*Assumptions!$B$9+N1158*Assumptions!$B$10+O1158*Assumptions!$B$11),1)</f>
        <v/>
      </c>
      <c r="Q1158" s="2">
        <f>IF(P1158&gt;=Assumptions!$B$14,"High",IF(P1158&gt;=Assumptions!$B$15,"Medium","Low"))</f>
        <v/>
      </c>
      <c r="R1158" s="2">
        <f>Cleaned_Data!L1158</f>
        <v/>
      </c>
    </row>
    <row r="1159">
      <c r="A1159" s="2">
        <f>Cleaned_Data!A1159</f>
        <v/>
      </c>
      <c r="B1159" s="2">
        <f>Cleaned_Data!B1159</f>
        <v/>
      </c>
      <c r="C1159" s="2">
        <f>Cleaned_Data!G1159</f>
        <v/>
      </c>
      <c r="D1159" s="2">
        <f>Cleaned_Data!I1159</f>
        <v/>
      </c>
      <c r="E1159" s="2">
        <f>Cleaned_Data!H1159</f>
        <v/>
      </c>
      <c r="F1159" s="2">
        <f>Cleaned_Data!F1159</f>
        <v/>
      </c>
      <c r="G1159" s="9">
        <f>SUMPRODUCT(($B$2:$B$1196=B1159)*($F$2:$F$1196&lt;=F1159))/SUMPRODUCT(($B$2:$B$1196=B1159)*1)</f>
        <v/>
      </c>
      <c r="H1159" s="2">
        <f>Cleaned_Data!J1159</f>
        <v/>
      </c>
      <c r="I1159" s="2">
        <f>Cleaned_Data!E1159</f>
        <v/>
      </c>
      <c r="J1159" s="2">
        <f>IF(C1159="Yes",1,0)</f>
        <v/>
      </c>
      <c r="K1159" s="2">
        <f>MIN(MAX(1-(D1159-1)/4,0),1)</f>
        <v/>
      </c>
      <c r="L1159" s="2">
        <f>MIN(E1159/60,1)</f>
        <v/>
      </c>
      <c r="M1159" s="2">
        <f>MIN(MAX(1-G1159,0),1)</f>
        <v/>
      </c>
      <c r="N1159" s="2">
        <f>MIN(MAX(1-(H1159-1)/4,0),1)</f>
        <v/>
      </c>
      <c r="O1159" s="2">
        <f>1-MIN(I1159/8,1)</f>
        <v/>
      </c>
      <c r="P1159" s="10">
        <f>ROUND(100*(J1159*Assumptions!$B$6+K1159*Assumptions!$B$7+L1159*Assumptions!$B$8+M1159*Assumptions!$B$9+N1159*Assumptions!$B$10+O1159*Assumptions!$B$11),1)</f>
        <v/>
      </c>
      <c r="Q1159" s="2">
        <f>IF(P1159&gt;=Assumptions!$B$14,"High",IF(P1159&gt;=Assumptions!$B$15,"Medium","Low"))</f>
        <v/>
      </c>
      <c r="R1159" s="2">
        <f>Cleaned_Data!L1159</f>
        <v/>
      </c>
    </row>
    <row r="1160">
      <c r="A1160" s="2">
        <f>Cleaned_Data!A1160</f>
        <v/>
      </c>
      <c r="B1160" s="2">
        <f>Cleaned_Data!B1160</f>
        <v/>
      </c>
      <c r="C1160" s="2">
        <f>Cleaned_Data!G1160</f>
        <v/>
      </c>
      <c r="D1160" s="2">
        <f>Cleaned_Data!I1160</f>
        <v/>
      </c>
      <c r="E1160" s="2">
        <f>Cleaned_Data!H1160</f>
        <v/>
      </c>
      <c r="F1160" s="2">
        <f>Cleaned_Data!F1160</f>
        <v/>
      </c>
      <c r="G1160" s="9">
        <f>SUMPRODUCT(($B$2:$B$1196=B1160)*($F$2:$F$1196&lt;=F1160))/SUMPRODUCT(($B$2:$B$1196=B1160)*1)</f>
        <v/>
      </c>
      <c r="H1160" s="2">
        <f>Cleaned_Data!J1160</f>
        <v/>
      </c>
      <c r="I1160" s="2">
        <f>Cleaned_Data!E1160</f>
        <v/>
      </c>
      <c r="J1160" s="2">
        <f>IF(C1160="Yes",1,0)</f>
        <v/>
      </c>
      <c r="K1160" s="2">
        <f>MIN(MAX(1-(D1160-1)/4,0),1)</f>
        <v/>
      </c>
      <c r="L1160" s="2">
        <f>MIN(E1160/60,1)</f>
        <v/>
      </c>
      <c r="M1160" s="2">
        <f>MIN(MAX(1-G1160,0),1)</f>
        <v/>
      </c>
      <c r="N1160" s="2">
        <f>MIN(MAX(1-(H1160-1)/4,0),1)</f>
        <v/>
      </c>
      <c r="O1160" s="2">
        <f>1-MIN(I1160/8,1)</f>
        <v/>
      </c>
      <c r="P1160" s="10">
        <f>ROUND(100*(J1160*Assumptions!$B$6+K1160*Assumptions!$B$7+L1160*Assumptions!$B$8+M1160*Assumptions!$B$9+N1160*Assumptions!$B$10+O1160*Assumptions!$B$11),1)</f>
        <v/>
      </c>
      <c r="Q1160" s="2">
        <f>IF(P1160&gt;=Assumptions!$B$14,"High",IF(P1160&gt;=Assumptions!$B$15,"Medium","Low"))</f>
        <v/>
      </c>
      <c r="R1160" s="2">
        <f>Cleaned_Data!L1160</f>
        <v/>
      </c>
    </row>
    <row r="1161">
      <c r="A1161" s="2">
        <f>Cleaned_Data!A1161</f>
        <v/>
      </c>
      <c r="B1161" s="2">
        <f>Cleaned_Data!B1161</f>
        <v/>
      </c>
      <c r="C1161" s="2">
        <f>Cleaned_Data!G1161</f>
        <v/>
      </c>
      <c r="D1161" s="2">
        <f>Cleaned_Data!I1161</f>
        <v/>
      </c>
      <c r="E1161" s="2">
        <f>Cleaned_Data!H1161</f>
        <v/>
      </c>
      <c r="F1161" s="2">
        <f>Cleaned_Data!F1161</f>
        <v/>
      </c>
      <c r="G1161" s="9">
        <f>SUMPRODUCT(($B$2:$B$1196=B1161)*($F$2:$F$1196&lt;=F1161))/SUMPRODUCT(($B$2:$B$1196=B1161)*1)</f>
        <v/>
      </c>
      <c r="H1161" s="2">
        <f>Cleaned_Data!J1161</f>
        <v/>
      </c>
      <c r="I1161" s="2">
        <f>Cleaned_Data!E1161</f>
        <v/>
      </c>
      <c r="J1161" s="2">
        <f>IF(C1161="Yes",1,0)</f>
        <v/>
      </c>
      <c r="K1161" s="2">
        <f>MIN(MAX(1-(D1161-1)/4,0),1)</f>
        <v/>
      </c>
      <c r="L1161" s="2">
        <f>MIN(E1161/60,1)</f>
        <v/>
      </c>
      <c r="M1161" s="2">
        <f>MIN(MAX(1-G1161,0),1)</f>
        <v/>
      </c>
      <c r="N1161" s="2">
        <f>MIN(MAX(1-(H1161-1)/4,0),1)</f>
        <v/>
      </c>
      <c r="O1161" s="2">
        <f>1-MIN(I1161/8,1)</f>
        <v/>
      </c>
      <c r="P1161" s="10">
        <f>ROUND(100*(J1161*Assumptions!$B$6+K1161*Assumptions!$B$7+L1161*Assumptions!$B$8+M1161*Assumptions!$B$9+N1161*Assumptions!$B$10+O1161*Assumptions!$B$11),1)</f>
        <v/>
      </c>
      <c r="Q1161" s="2">
        <f>IF(P1161&gt;=Assumptions!$B$14,"High",IF(P1161&gt;=Assumptions!$B$15,"Medium","Low"))</f>
        <v/>
      </c>
      <c r="R1161" s="2">
        <f>Cleaned_Data!L1161</f>
        <v/>
      </c>
    </row>
    <row r="1162">
      <c r="A1162" s="2">
        <f>Cleaned_Data!A1162</f>
        <v/>
      </c>
      <c r="B1162" s="2">
        <f>Cleaned_Data!B1162</f>
        <v/>
      </c>
      <c r="C1162" s="2">
        <f>Cleaned_Data!G1162</f>
        <v/>
      </c>
      <c r="D1162" s="2">
        <f>Cleaned_Data!I1162</f>
        <v/>
      </c>
      <c r="E1162" s="2">
        <f>Cleaned_Data!H1162</f>
        <v/>
      </c>
      <c r="F1162" s="2">
        <f>Cleaned_Data!F1162</f>
        <v/>
      </c>
      <c r="G1162" s="9">
        <f>SUMPRODUCT(($B$2:$B$1196=B1162)*($F$2:$F$1196&lt;=F1162))/SUMPRODUCT(($B$2:$B$1196=B1162)*1)</f>
        <v/>
      </c>
      <c r="H1162" s="2">
        <f>Cleaned_Data!J1162</f>
        <v/>
      </c>
      <c r="I1162" s="2">
        <f>Cleaned_Data!E1162</f>
        <v/>
      </c>
      <c r="J1162" s="2">
        <f>IF(C1162="Yes",1,0)</f>
        <v/>
      </c>
      <c r="K1162" s="2">
        <f>MIN(MAX(1-(D1162-1)/4,0),1)</f>
        <v/>
      </c>
      <c r="L1162" s="2">
        <f>MIN(E1162/60,1)</f>
        <v/>
      </c>
      <c r="M1162" s="2">
        <f>MIN(MAX(1-G1162,0),1)</f>
        <v/>
      </c>
      <c r="N1162" s="2">
        <f>MIN(MAX(1-(H1162-1)/4,0),1)</f>
        <v/>
      </c>
      <c r="O1162" s="2">
        <f>1-MIN(I1162/8,1)</f>
        <v/>
      </c>
      <c r="P1162" s="10">
        <f>ROUND(100*(J1162*Assumptions!$B$6+K1162*Assumptions!$B$7+L1162*Assumptions!$B$8+M1162*Assumptions!$B$9+N1162*Assumptions!$B$10+O1162*Assumptions!$B$11),1)</f>
        <v/>
      </c>
      <c r="Q1162" s="2">
        <f>IF(P1162&gt;=Assumptions!$B$14,"High",IF(P1162&gt;=Assumptions!$B$15,"Medium","Low"))</f>
        <v/>
      </c>
      <c r="R1162" s="2">
        <f>Cleaned_Data!L1162</f>
        <v/>
      </c>
    </row>
    <row r="1163">
      <c r="A1163" s="2">
        <f>Cleaned_Data!A1163</f>
        <v/>
      </c>
      <c r="B1163" s="2">
        <f>Cleaned_Data!B1163</f>
        <v/>
      </c>
      <c r="C1163" s="2">
        <f>Cleaned_Data!G1163</f>
        <v/>
      </c>
      <c r="D1163" s="2">
        <f>Cleaned_Data!I1163</f>
        <v/>
      </c>
      <c r="E1163" s="2">
        <f>Cleaned_Data!H1163</f>
        <v/>
      </c>
      <c r="F1163" s="2">
        <f>Cleaned_Data!F1163</f>
        <v/>
      </c>
      <c r="G1163" s="9">
        <f>SUMPRODUCT(($B$2:$B$1196=B1163)*($F$2:$F$1196&lt;=F1163))/SUMPRODUCT(($B$2:$B$1196=B1163)*1)</f>
        <v/>
      </c>
      <c r="H1163" s="2">
        <f>Cleaned_Data!J1163</f>
        <v/>
      </c>
      <c r="I1163" s="2">
        <f>Cleaned_Data!E1163</f>
        <v/>
      </c>
      <c r="J1163" s="2">
        <f>IF(C1163="Yes",1,0)</f>
        <v/>
      </c>
      <c r="K1163" s="2">
        <f>MIN(MAX(1-(D1163-1)/4,0),1)</f>
        <v/>
      </c>
      <c r="L1163" s="2">
        <f>MIN(E1163/60,1)</f>
        <v/>
      </c>
      <c r="M1163" s="2">
        <f>MIN(MAX(1-G1163,0),1)</f>
        <v/>
      </c>
      <c r="N1163" s="2">
        <f>MIN(MAX(1-(H1163-1)/4,0),1)</f>
        <v/>
      </c>
      <c r="O1163" s="2">
        <f>1-MIN(I1163/8,1)</f>
        <v/>
      </c>
      <c r="P1163" s="10">
        <f>ROUND(100*(J1163*Assumptions!$B$6+K1163*Assumptions!$B$7+L1163*Assumptions!$B$8+M1163*Assumptions!$B$9+N1163*Assumptions!$B$10+O1163*Assumptions!$B$11),1)</f>
        <v/>
      </c>
      <c r="Q1163" s="2">
        <f>IF(P1163&gt;=Assumptions!$B$14,"High",IF(P1163&gt;=Assumptions!$B$15,"Medium","Low"))</f>
        <v/>
      </c>
      <c r="R1163" s="2">
        <f>Cleaned_Data!L1163</f>
        <v/>
      </c>
    </row>
    <row r="1164">
      <c r="A1164" s="2">
        <f>Cleaned_Data!A1164</f>
        <v/>
      </c>
      <c r="B1164" s="2">
        <f>Cleaned_Data!B1164</f>
        <v/>
      </c>
      <c r="C1164" s="2">
        <f>Cleaned_Data!G1164</f>
        <v/>
      </c>
      <c r="D1164" s="2">
        <f>Cleaned_Data!I1164</f>
        <v/>
      </c>
      <c r="E1164" s="2">
        <f>Cleaned_Data!H1164</f>
        <v/>
      </c>
      <c r="F1164" s="2">
        <f>Cleaned_Data!F1164</f>
        <v/>
      </c>
      <c r="G1164" s="9">
        <f>SUMPRODUCT(($B$2:$B$1196=B1164)*($F$2:$F$1196&lt;=F1164))/SUMPRODUCT(($B$2:$B$1196=B1164)*1)</f>
        <v/>
      </c>
      <c r="H1164" s="2">
        <f>Cleaned_Data!J1164</f>
        <v/>
      </c>
      <c r="I1164" s="2">
        <f>Cleaned_Data!E1164</f>
        <v/>
      </c>
      <c r="J1164" s="2">
        <f>IF(C1164="Yes",1,0)</f>
        <v/>
      </c>
      <c r="K1164" s="2">
        <f>MIN(MAX(1-(D1164-1)/4,0),1)</f>
        <v/>
      </c>
      <c r="L1164" s="2">
        <f>MIN(E1164/60,1)</f>
        <v/>
      </c>
      <c r="M1164" s="2">
        <f>MIN(MAX(1-G1164,0),1)</f>
        <v/>
      </c>
      <c r="N1164" s="2">
        <f>MIN(MAX(1-(H1164-1)/4,0),1)</f>
        <v/>
      </c>
      <c r="O1164" s="2">
        <f>1-MIN(I1164/8,1)</f>
        <v/>
      </c>
      <c r="P1164" s="10">
        <f>ROUND(100*(J1164*Assumptions!$B$6+K1164*Assumptions!$B$7+L1164*Assumptions!$B$8+M1164*Assumptions!$B$9+N1164*Assumptions!$B$10+O1164*Assumptions!$B$11),1)</f>
        <v/>
      </c>
      <c r="Q1164" s="2">
        <f>IF(P1164&gt;=Assumptions!$B$14,"High",IF(P1164&gt;=Assumptions!$B$15,"Medium","Low"))</f>
        <v/>
      </c>
      <c r="R1164" s="2">
        <f>Cleaned_Data!L1164</f>
        <v/>
      </c>
    </row>
    <row r="1165">
      <c r="A1165" s="2">
        <f>Cleaned_Data!A1165</f>
        <v/>
      </c>
      <c r="B1165" s="2">
        <f>Cleaned_Data!B1165</f>
        <v/>
      </c>
      <c r="C1165" s="2">
        <f>Cleaned_Data!G1165</f>
        <v/>
      </c>
      <c r="D1165" s="2">
        <f>Cleaned_Data!I1165</f>
        <v/>
      </c>
      <c r="E1165" s="2">
        <f>Cleaned_Data!H1165</f>
        <v/>
      </c>
      <c r="F1165" s="2">
        <f>Cleaned_Data!F1165</f>
        <v/>
      </c>
      <c r="G1165" s="9">
        <f>SUMPRODUCT(($B$2:$B$1196=B1165)*($F$2:$F$1196&lt;=F1165))/SUMPRODUCT(($B$2:$B$1196=B1165)*1)</f>
        <v/>
      </c>
      <c r="H1165" s="2">
        <f>Cleaned_Data!J1165</f>
        <v/>
      </c>
      <c r="I1165" s="2">
        <f>Cleaned_Data!E1165</f>
        <v/>
      </c>
      <c r="J1165" s="2">
        <f>IF(C1165="Yes",1,0)</f>
        <v/>
      </c>
      <c r="K1165" s="2">
        <f>MIN(MAX(1-(D1165-1)/4,0),1)</f>
        <v/>
      </c>
      <c r="L1165" s="2">
        <f>MIN(E1165/60,1)</f>
        <v/>
      </c>
      <c r="M1165" s="2">
        <f>MIN(MAX(1-G1165,0),1)</f>
        <v/>
      </c>
      <c r="N1165" s="2">
        <f>MIN(MAX(1-(H1165-1)/4,0),1)</f>
        <v/>
      </c>
      <c r="O1165" s="2">
        <f>1-MIN(I1165/8,1)</f>
        <v/>
      </c>
      <c r="P1165" s="10">
        <f>ROUND(100*(J1165*Assumptions!$B$6+K1165*Assumptions!$B$7+L1165*Assumptions!$B$8+M1165*Assumptions!$B$9+N1165*Assumptions!$B$10+O1165*Assumptions!$B$11),1)</f>
        <v/>
      </c>
      <c r="Q1165" s="2">
        <f>IF(P1165&gt;=Assumptions!$B$14,"High",IF(P1165&gt;=Assumptions!$B$15,"Medium","Low"))</f>
        <v/>
      </c>
      <c r="R1165" s="2">
        <f>Cleaned_Data!L1165</f>
        <v/>
      </c>
    </row>
    <row r="1166">
      <c r="A1166" s="2">
        <f>Cleaned_Data!A1166</f>
        <v/>
      </c>
      <c r="B1166" s="2">
        <f>Cleaned_Data!B1166</f>
        <v/>
      </c>
      <c r="C1166" s="2">
        <f>Cleaned_Data!G1166</f>
        <v/>
      </c>
      <c r="D1166" s="2">
        <f>Cleaned_Data!I1166</f>
        <v/>
      </c>
      <c r="E1166" s="2">
        <f>Cleaned_Data!H1166</f>
        <v/>
      </c>
      <c r="F1166" s="2">
        <f>Cleaned_Data!F1166</f>
        <v/>
      </c>
      <c r="G1166" s="9">
        <f>SUMPRODUCT(($B$2:$B$1196=B1166)*($F$2:$F$1196&lt;=F1166))/SUMPRODUCT(($B$2:$B$1196=B1166)*1)</f>
        <v/>
      </c>
      <c r="H1166" s="2">
        <f>Cleaned_Data!J1166</f>
        <v/>
      </c>
      <c r="I1166" s="2">
        <f>Cleaned_Data!E1166</f>
        <v/>
      </c>
      <c r="J1166" s="2">
        <f>IF(C1166="Yes",1,0)</f>
        <v/>
      </c>
      <c r="K1166" s="2">
        <f>MIN(MAX(1-(D1166-1)/4,0),1)</f>
        <v/>
      </c>
      <c r="L1166" s="2">
        <f>MIN(E1166/60,1)</f>
        <v/>
      </c>
      <c r="M1166" s="2">
        <f>MIN(MAX(1-G1166,0),1)</f>
        <v/>
      </c>
      <c r="N1166" s="2">
        <f>MIN(MAX(1-(H1166-1)/4,0),1)</f>
        <v/>
      </c>
      <c r="O1166" s="2">
        <f>1-MIN(I1166/8,1)</f>
        <v/>
      </c>
      <c r="P1166" s="10">
        <f>ROUND(100*(J1166*Assumptions!$B$6+K1166*Assumptions!$B$7+L1166*Assumptions!$B$8+M1166*Assumptions!$B$9+N1166*Assumptions!$B$10+O1166*Assumptions!$B$11),1)</f>
        <v/>
      </c>
      <c r="Q1166" s="2">
        <f>IF(P1166&gt;=Assumptions!$B$14,"High",IF(P1166&gt;=Assumptions!$B$15,"Medium","Low"))</f>
        <v/>
      </c>
      <c r="R1166" s="2">
        <f>Cleaned_Data!L1166</f>
        <v/>
      </c>
    </row>
    <row r="1167">
      <c r="A1167" s="2">
        <f>Cleaned_Data!A1167</f>
        <v/>
      </c>
      <c r="B1167" s="2">
        <f>Cleaned_Data!B1167</f>
        <v/>
      </c>
      <c r="C1167" s="2">
        <f>Cleaned_Data!G1167</f>
        <v/>
      </c>
      <c r="D1167" s="2">
        <f>Cleaned_Data!I1167</f>
        <v/>
      </c>
      <c r="E1167" s="2">
        <f>Cleaned_Data!H1167</f>
        <v/>
      </c>
      <c r="F1167" s="2">
        <f>Cleaned_Data!F1167</f>
        <v/>
      </c>
      <c r="G1167" s="9">
        <f>SUMPRODUCT(($B$2:$B$1196=B1167)*($F$2:$F$1196&lt;=F1167))/SUMPRODUCT(($B$2:$B$1196=B1167)*1)</f>
        <v/>
      </c>
      <c r="H1167" s="2">
        <f>Cleaned_Data!J1167</f>
        <v/>
      </c>
      <c r="I1167" s="2">
        <f>Cleaned_Data!E1167</f>
        <v/>
      </c>
      <c r="J1167" s="2">
        <f>IF(C1167="Yes",1,0)</f>
        <v/>
      </c>
      <c r="K1167" s="2">
        <f>MIN(MAX(1-(D1167-1)/4,0),1)</f>
        <v/>
      </c>
      <c r="L1167" s="2">
        <f>MIN(E1167/60,1)</f>
        <v/>
      </c>
      <c r="M1167" s="2">
        <f>MIN(MAX(1-G1167,0),1)</f>
        <v/>
      </c>
      <c r="N1167" s="2">
        <f>MIN(MAX(1-(H1167-1)/4,0),1)</f>
        <v/>
      </c>
      <c r="O1167" s="2">
        <f>1-MIN(I1167/8,1)</f>
        <v/>
      </c>
      <c r="P1167" s="10">
        <f>ROUND(100*(J1167*Assumptions!$B$6+K1167*Assumptions!$B$7+L1167*Assumptions!$B$8+M1167*Assumptions!$B$9+N1167*Assumptions!$B$10+O1167*Assumptions!$B$11),1)</f>
        <v/>
      </c>
      <c r="Q1167" s="2">
        <f>IF(P1167&gt;=Assumptions!$B$14,"High",IF(P1167&gt;=Assumptions!$B$15,"Medium","Low"))</f>
        <v/>
      </c>
      <c r="R1167" s="2">
        <f>Cleaned_Data!L1167</f>
        <v/>
      </c>
    </row>
    <row r="1168">
      <c r="A1168" s="2">
        <f>Cleaned_Data!A1168</f>
        <v/>
      </c>
      <c r="B1168" s="2">
        <f>Cleaned_Data!B1168</f>
        <v/>
      </c>
      <c r="C1168" s="2">
        <f>Cleaned_Data!G1168</f>
        <v/>
      </c>
      <c r="D1168" s="2">
        <f>Cleaned_Data!I1168</f>
        <v/>
      </c>
      <c r="E1168" s="2">
        <f>Cleaned_Data!H1168</f>
        <v/>
      </c>
      <c r="F1168" s="2">
        <f>Cleaned_Data!F1168</f>
        <v/>
      </c>
      <c r="G1168" s="9">
        <f>SUMPRODUCT(($B$2:$B$1196=B1168)*($F$2:$F$1196&lt;=F1168))/SUMPRODUCT(($B$2:$B$1196=B1168)*1)</f>
        <v/>
      </c>
      <c r="H1168" s="2">
        <f>Cleaned_Data!J1168</f>
        <v/>
      </c>
      <c r="I1168" s="2">
        <f>Cleaned_Data!E1168</f>
        <v/>
      </c>
      <c r="J1168" s="2">
        <f>IF(C1168="Yes",1,0)</f>
        <v/>
      </c>
      <c r="K1168" s="2">
        <f>MIN(MAX(1-(D1168-1)/4,0),1)</f>
        <v/>
      </c>
      <c r="L1168" s="2">
        <f>MIN(E1168/60,1)</f>
        <v/>
      </c>
      <c r="M1168" s="2">
        <f>MIN(MAX(1-G1168,0),1)</f>
        <v/>
      </c>
      <c r="N1168" s="2">
        <f>MIN(MAX(1-(H1168-1)/4,0),1)</f>
        <v/>
      </c>
      <c r="O1168" s="2">
        <f>1-MIN(I1168/8,1)</f>
        <v/>
      </c>
      <c r="P1168" s="10">
        <f>ROUND(100*(J1168*Assumptions!$B$6+K1168*Assumptions!$B$7+L1168*Assumptions!$B$8+M1168*Assumptions!$B$9+N1168*Assumptions!$B$10+O1168*Assumptions!$B$11),1)</f>
        <v/>
      </c>
      <c r="Q1168" s="2">
        <f>IF(P1168&gt;=Assumptions!$B$14,"High",IF(P1168&gt;=Assumptions!$B$15,"Medium","Low"))</f>
        <v/>
      </c>
      <c r="R1168" s="2">
        <f>Cleaned_Data!L1168</f>
        <v/>
      </c>
    </row>
    <row r="1169">
      <c r="A1169" s="2">
        <f>Cleaned_Data!A1169</f>
        <v/>
      </c>
      <c r="B1169" s="2">
        <f>Cleaned_Data!B1169</f>
        <v/>
      </c>
      <c r="C1169" s="2">
        <f>Cleaned_Data!G1169</f>
        <v/>
      </c>
      <c r="D1169" s="2">
        <f>Cleaned_Data!I1169</f>
        <v/>
      </c>
      <c r="E1169" s="2">
        <f>Cleaned_Data!H1169</f>
        <v/>
      </c>
      <c r="F1169" s="2">
        <f>Cleaned_Data!F1169</f>
        <v/>
      </c>
      <c r="G1169" s="9">
        <f>SUMPRODUCT(($B$2:$B$1196=B1169)*($F$2:$F$1196&lt;=F1169))/SUMPRODUCT(($B$2:$B$1196=B1169)*1)</f>
        <v/>
      </c>
      <c r="H1169" s="2">
        <f>Cleaned_Data!J1169</f>
        <v/>
      </c>
      <c r="I1169" s="2">
        <f>Cleaned_Data!E1169</f>
        <v/>
      </c>
      <c r="J1169" s="2">
        <f>IF(C1169="Yes",1,0)</f>
        <v/>
      </c>
      <c r="K1169" s="2">
        <f>MIN(MAX(1-(D1169-1)/4,0),1)</f>
        <v/>
      </c>
      <c r="L1169" s="2">
        <f>MIN(E1169/60,1)</f>
        <v/>
      </c>
      <c r="M1169" s="2">
        <f>MIN(MAX(1-G1169,0),1)</f>
        <v/>
      </c>
      <c r="N1169" s="2">
        <f>MIN(MAX(1-(H1169-1)/4,0),1)</f>
        <v/>
      </c>
      <c r="O1169" s="2">
        <f>1-MIN(I1169/8,1)</f>
        <v/>
      </c>
      <c r="P1169" s="10">
        <f>ROUND(100*(J1169*Assumptions!$B$6+K1169*Assumptions!$B$7+L1169*Assumptions!$B$8+M1169*Assumptions!$B$9+N1169*Assumptions!$B$10+O1169*Assumptions!$B$11),1)</f>
        <v/>
      </c>
      <c r="Q1169" s="2">
        <f>IF(P1169&gt;=Assumptions!$B$14,"High",IF(P1169&gt;=Assumptions!$B$15,"Medium","Low"))</f>
        <v/>
      </c>
      <c r="R1169" s="2">
        <f>Cleaned_Data!L1169</f>
        <v/>
      </c>
    </row>
    <row r="1170">
      <c r="A1170" s="2">
        <f>Cleaned_Data!A1170</f>
        <v/>
      </c>
      <c r="B1170" s="2">
        <f>Cleaned_Data!B1170</f>
        <v/>
      </c>
      <c r="C1170" s="2">
        <f>Cleaned_Data!G1170</f>
        <v/>
      </c>
      <c r="D1170" s="2">
        <f>Cleaned_Data!I1170</f>
        <v/>
      </c>
      <c r="E1170" s="2">
        <f>Cleaned_Data!H1170</f>
        <v/>
      </c>
      <c r="F1170" s="2">
        <f>Cleaned_Data!F1170</f>
        <v/>
      </c>
      <c r="G1170" s="9">
        <f>SUMPRODUCT(($B$2:$B$1196=B1170)*($F$2:$F$1196&lt;=F1170))/SUMPRODUCT(($B$2:$B$1196=B1170)*1)</f>
        <v/>
      </c>
      <c r="H1170" s="2">
        <f>Cleaned_Data!J1170</f>
        <v/>
      </c>
      <c r="I1170" s="2">
        <f>Cleaned_Data!E1170</f>
        <v/>
      </c>
      <c r="J1170" s="2">
        <f>IF(C1170="Yes",1,0)</f>
        <v/>
      </c>
      <c r="K1170" s="2">
        <f>MIN(MAX(1-(D1170-1)/4,0),1)</f>
        <v/>
      </c>
      <c r="L1170" s="2">
        <f>MIN(E1170/60,1)</f>
        <v/>
      </c>
      <c r="M1170" s="2">
        <f>MIN(MAX(1-G1170,0),1)</f>
        <v/>
      </c>
      <c r="N1170" s="2">
        <f>MIN(MAX(1-(H1170-1)/4,0),1)</f>
        <v/>
      </c>
      <c r="O1170" s="2">
        <f>1-MIN(I1170/8,1)</f>
        <v/>
      </c>
      <c r="P1170" s="10">
        <f>ROUND(100*(J1170*Assumptions!$B$6+K1170*Assumptions!$B$7+L1170*Assumptions!$B$8+M1170*Assumptions!$B$9+N1170*Assumptions!$B$10+O1170*Assumptions!$B$11),1)</f>
        <v/>
      </c>
      <c r="Q1170" s="2">
        <f>IF(P1170&gt;=Assumptions!$B$14,"High",IF(P1170&gt;=Assumptions!$B$15,"Medium","Low"))</f>
        <v/>
      </c>
      <c r="R1170" s="2">
        <f>Cleaned_Data!L1170</f>
        <v/>
      </c>
    </row>
    <row r="1171">
      <c r="A1171" s="2">
        <f>Cleaned_Data!A1171</f>
        <v/>
      </c>
      <c r="B1171" s="2">
        <f>Cleaned_Data!B1171</f>
        <v/>
      </c>
      <c r="C1171" s="2">
        <f>Cleaned_Data!G1171</f>
        <v/>
      </c>
      <c r="D1171" s="2">
        <f>Cleaned_Data!I1171</f>
        <v/>
      </c>
      <c r="E1171" s="2">
        <f>Cleaned_Data!H1171</f>
        <v/>
      </c>
      <c r="F1171" s="2">
        <f>Cleaned_Data!F1171</f>
        <v/>
      </c>
      <c r="G1171" s="9">
        <f>SUMPRODUCT(($B$2:$B$1196=B1171)*($F$2:$F$1196&lt;=F1171))/SUMPRODUCT(($B$2:$B$1196=B1171)*1)</f>
        <v/>
      </c>
      <c r="H1171" s="2">
        <f>Cleaned_Data!J1171</f>
        <v/>
      </c>
      <c r="I1171" s="2">
        <f>Cleaned_Data!E1171</f>
        <v/>
      </c>
      <c r="J1171" s="2">
        <f>IF(C1171="Yes",1,0)</f>
        <v/>
      </c>
      <c r="K1171" s="2">
        <f>MIN(MAX(1-(D1171-1)/4,0),1)</f>
        <v/>
      </c>
      <c r="L1171" s="2">
        <f>MIN(E1171/60,1)</f>
        <v/>
      </c>
      <c r="M1171" s="2">
        <f>MIN(MAX(1-G1171,0),1)</f>
        <v/>
      </c>
      <c r="N1171" s="2">
        <f>MIN(MAX(1-(H1171-1)/4,0),1)</f>
        <v/>
      </c>
      <c r="O1171" s="2">
        <f>1-MIN(I1171/8,1)</f>
        <v/>
      </c>
      <c r="P1171" s="10">
        <f>ROUND(100*(J1171*Assumptions!$B$6+K1171*Assumptions!$B$7+L1171*Assumptions!$B$8+M1171*Assumptions!$B$9+N1171*Assumptions!$B$10+O1171*Assumptions!$B$11),1)</f>
        <v/>
      </c>
      <c r="Q1171" s="2">
        <f>IF(P1171&gt;=Assumptions!$B$14,"High",IF(P1171&gt;=Assumptions!$B$15,"Medium","Low"))</f>
        <v/>
      </c>
      <c r="R1171" s="2">
        <f>Cleaned_Data!L1171</f>
        <v/>
      </c>
    </row>
    <row r="1172">
      <c r="A1172" s="2">
        <f>Cleaned_Data!A1172</f>
        <v/>
      </c>
      <c r="B1172" s="2">
        <f>Cleaned_Data!B1172</f>
        <v/>
      </c>
      <c r="C1172" s="2">
        <f>Cleaned_Data!G1172</f>
        <v/>
      </c>
      <c r="D1172" s="2">
        <f>Cleaned_Data!I1172</f>
        <v/>
      </c>
      <c r="E1172" s="2">
        <f>Cleaned_Data!H1172</f>
        <v/>
      </c>
      <c r="F1172" s="2">
        <f>Cleaned_Data!F1172</f>
        <v/>
      </c>
      <c r="G1172" s="9">
        <f>SUMPRODUCT(($B$2:$B$1196=B1172)*($F$2:$F$1196&lt;=F1172))/SUMPRODUCT(($B$2:$B$1196=B1172)*1)</f>
        <v/>
      </c>
      <c r="H1172" s="2">
        <f>Cleaned_Data!J1172</f>
        <v/>
      </c>
      <c r="I1172" s="2">
        <f>Cleaned_Data!E1172</f>
        <v/>
      </c>
      <c r="J1172" s="2">
        <f>IF(C1172="Yes",1,0)</f>
        <v/>
      </c>
      <c r="K1172" s="2">
        <f>MIN(MAX(1-(D1172-1)/4,0),1)</f>
        <v/>
      </c>
      <c r="L1172" s="2">
        <f>MIN(E1172/60,1)</f>
        <v/>
      </c>
      <c r="M1172" s="2">
        <f>MIN(MAX(1-G1172,0),1)</f>
        <v/>
      </c>
      <c r="N1172" s="2">
        <f>MIN(MAX(1-(H1172-1)/4,0),1)</f>
        <v/>
      </c>
      <c r="O1172" s="2">
        <f>1-MIN(I1172/8,1)</f>
        <v/>
      </c>
      <c r="P1172" s="10">
        <f>ROUND(100*(J1172*Assumptions!$B$6+K1172*Assumptions!$B$7+L1172*Assumptions!$B$8+M1172*Assumptions!$B$9+N1172*Assumptions!$B$10+O1172*Assumptions!$B$11),1)</f>
        <v/>
      </c>
      <c r="Q1172" s="2">
        <f>IF(P1172&gt;=Assumptions!$B$14,"High",IF(P1172&gt;=Assumptions!$B$15,"Medium","Low"))</f>
        <v/>
      </c>
      <c r="R1172" s="2">
        <f>Cleaned_Data!L1172</f>
        <v/>
      </c>
    </row>
    <row r="1173">
      <c r="A1173" s="2">
        <f>Cleaned_Data!A1173</f>
        <v/>
      </c>
      <c r="B1173" s="2">
        <f>Cleaned_Data!B1173</f>
        <v/>
      </c>
      <c r="C1173" s="2">
        <f>Cleaned_Data!G1173</f>
        <v/>
      </c>
      <c r="D1173" s="2">
        <f>Cleaned_Data!I1173</f>
        <v/>
      </c>
      <c r="E1173" s="2">
        <f>Cleaned_Data!H1173</f>
        <v/>
      </c>
      <c r="F1173" s="2">
        <f>Cleaned_Data!F1173</f>
        <v/>
      </c>
      <c r="G1173" s="9">
        <f>SUMPRODUCT(($B$2:$B$1196=B1173)*($F$2:$F$1196&lt;=F1173))/SUMPRODUCT(($B$2:$B$1196=B1173)*1)</f>
        <v/>
      </c>
      <c r="H1173" s="2">
        <f>Cleaned_Data!J1173</f>
        <v/>
      </c>
      <c r="I1173" s="2">
        <f>Cleaned_Data!E1173</f>
        <v/>
      </c>
      <c r="J1173" s="2">
        <f>IF(C1173="Yes",1,0)</f>
        <v/>
      </c>
      <c r="K1173" s="2">
        <f>MIN(MAX(1-(D1173-1)/4,0),1)</f>
        <v/>
      </c>
      <c r="L1173" s="2">
        <f>MIN(E1173/60,1)</f>
        <v/>
      </c>
      <c r="M1173" s="2">
        <f>MIN(MAX(1-G1173,0),1)</f>
        <v/>
      </c>
      <c r="N1173" s="2">
        <f>MIN(MAX(1-(H1173-1)/4,0),1)</f>
        <v/>
      </c>
      <c r="O1173" s="2">
        <f>1-MIN(I1173/8,1)</f>
        <v/>
      </c>
      <c r="P1173" s="10">
        <f>ROUND(100*(J1173*Assumptions!$B$6+K1173*Assumptions!$B$7+L1173*Assumptions!$B$8+M1173*Assumptions!$B$9+N1173*Assumptions!$B$10+O1173*Assumptions!$B$11),1)</f>
        <v/>
      </c>
      <c r="Q1173" s="2">
        <f>IF(P1173&gt;=Assumptions!$B$14,"High",IF(P1173&gt;=Assumptions!$B$15,"Medium","Low"))</f>
        <v/>
      </c>
      <c r="R1173" s="2">
        <f>Cleaned_Data!L1173</f>
        <v/>
      </c>
    </row>
    <row r="1174">
      <c r="A1174" s="2">
        <f>Cleaned_Data!A1174</f>
        <v/>
      </c>
      <c r="B1174" s="2">
        <f>Cleaned_Data!B1174</f>
        <v/>
      </c>
      <c r="C1174" s="2">
        <f>Cleaned_Data!G1174</f>
        <v/>
      </c>
      <c r="D1174" s="2">
        <f>Cleaned_Data!I1174</f>
        <v/>
      </c>
      <c r="E1174" s="2">
        <f>Cleaned_Data!H1174</f>
        <v/>
      </c>
      <c r="F1174" s="2">
        <f>Cleaned_Data!F1174</f>
        <v/>
      </c>
      <c r="G1174" s="9">
        <f>SUMPRODUCT(($B$2:$B$1196=B1174)*($F$2:$F$1196&lt;=F1174))/SUMPRODUCT(($B$2:$B$1196=B1174)*1)</f>
        <v/>
      </c>
      <c r="H1174" s="2">
        <f>Cleaned_Data!J1174</f>
        <v/>
      </c>
      <c r="I1174" s="2">
        <f>Cleaned_Data!E1174</f>
        <v/>
      </c>
      <c r="J1174" s="2">
        <f>IF(C1174="Yes",1,0)</f>
        <v/>
      </c>
      <c r="K1174" s="2">
        <f>MIN(MAX(1-(D1174-1)/4,0),1)</f>
        <v/>
      </c>
      <c r="L1174" s="2">
        <f>MIN(E1174/60,1)</f>
        <v/>
      </c>
      <c r="M1174" s="2">
        <f>MIN(MAX(1-G1174,0),1)</f>
        <v/>
      </c>
      <c r="N1174" s="2">
        <f>MIN(MAX(1-(H1174-1)/4,0),1)</f>
        <v/>
      </c>
      <c r="O1174" s="2">
        <f>1-MIN(I1174/8,1)</f>
        <v/>
      </c>
      <c r="P1174" s="10">
        <f>ROUND(100*(J1174*Assumptions!$B$6+K1174*Assumptions!$B$7+L1174*Assumptions!$B$8+M1174*Assumptions!$B$9+N1174*Assumptions!$B$10+O1174*Assumptions!$B$11),1)</f>
        <v/>
      </c>
      <c r="Q1174" s="2">
        <f>IF(P1174&gt;=Assumptions!$B$14,"High",IF(P1174&gt;=Assumptions!$B$15,"Medium","Low"))</f>
        <v/>
      </c>
      <c r="R1174" s="2">
        <f>Cleaned_Data!L1174</f>
        <v/>
      </c>
    </row>
    <row r="1175">
      <c r="A1175" s="2">
        <f>Cleaned_Data!A1175</f>
        <v/>
      </c>
      <c r="B1175" s="2">
        <f>Cleaned_Data!B1175</f>
        <v/>
      </c>
      <c r="C1175" s="2">
        <f>Cleaned_Data!G1175</f>
        <v/>
      </c>
      <c r="D1175" s="2">
        <f>Cleaned_Data!I1175</f>
        <v/>
      </c>
      <c r="E1175" s="2">
        <f>Cleaned_Data!H1175</f>
        <v/>
      </c>
      <c r="F1175" s="2">
        <f>Cleaned_Data!F1175</f>
        <v/>
      </c>
      <c r="G1175" s="9">
        <f>SUMPRODUCT(($B$2:$B$1196=B1175)*($F$2:$F$1196&lt;=F1175))/SUMPRODUCT(($B$2:$B$1196=B1175)*1)</f>
        <v/>
      </c>
      <c r="H1175" s="2">
        <f>Cleaned_Data!J1175</f>
        <v/>
      </c>
      <c r="I1175" s="2">
        <f>Cleaned_Data!E1175</f>
        <v/>
      </c>
      <c r="J1175" s="2">
        <f>IF(C1175="Yes",1,0)</f>
        <v/>
      </c>
      <c r="K1175" s="2">
        <f>MIN(MAX(1-(D1175-1)/4,0),1)</f>
        <v/>
      </c>
      <c r="L1175" s="2">
        <f>MIN(E1175/60,1)</f>
        <v/>
      </c>
      <c r="M1175" s="2">
        <f>MIN(MAX(1-G1175,0),1)</f>
        <v/>
      </c>
      <c r="N1175" s="2">
        <f>MIN(MAX(1-(H1175-1)/4,0),1)</f>
        <v/>
      </c>
      <c r="O1175" s="2">
        <f>1-MIN(I1175/8,1)</f>
        <v/>
      </c>
      <c r="P1175" s="10">
        <f>ROUND(100*(J1175*Assumptions!$B$6+K1175*Assumptions!$B$7+L1175*Assumptions!$B$8+M1175*Assumptions!$B$9+N1175*Assumptions!$B$10+O1175*Assumptions!$B$11),1)</f>
        <v/>
      </c>
      <c r="Q1175" s="2">
        <f>IF(P1175&gt;=Assumptions!$B$14,"High",IF(P1175&gt;=Assumptions!$B$15,"Medium","Low"))</f>
        <v/>
      </c>
      <c r="R1175" s="2">
        <f>Cleaned_Data!L1175</f>
        <v/>
      </c>
    </row>
    <row r="1176">
      <c r="A1176" s="2">
        <f>Cleaned_Data!A1176</f>
        <v/>
      </c>
      <c r="B1176" s="2">
        <f>Cleaned_Data!B1176</f>
        <v/>
      </c>
      <c r="C1176" s="2">
        <f>Cleaned_Data!G1176</f>
        <v/>
      </c>
      <c r="D1176" s="2">
        <f>Cleaned_Data!I1176</f>
        <v/>
      </c>
      <c r="E1176" s="2">
        <f>Cleaned_Data!H1176</f>
        <v/>
      </c>
      <c r="F1176" s="2">
        <f>Cleaned_Data!F1176</f>
        <v/>
      </c>
      <c r="G1176" s="9">
        <f>SUMPRODUCT(($B$2:$B$1196=B1176)*($F$2:$F$1196&lt;=F1176))/SUMPRODUCT(($B$2:$B$1196=B1176)*1)</f>
        <v/>
      </c>
      <c r="H1176" s="2">
        <f>Cleaned_Data!J1176</f>
        <v/>
      </c>
      <c r="I1176" s="2">
        <f>Cleaned_Data!E1176</f>
        <v/>
      </c>
      <c r="J1176" s="2">
        <f>IF(C1176="Yes",1,0)</f>
        <v/>
      </c>
      <c r="K1176" s="2">
        <f>MIN(MAX(1-(D1176-1)/4,0),1)</f>
        <v/>
      </c>
      <c r="L1176" s="2">
        <f>MIN(E1176/60,1)</f>
        <v/>
      </c>
      <c r="M1176" s="2">
        <f>MIN(MAX(1-G1176,0),1)</f>
        <v/>
      </c>
      <c r="N1176" s="2">
        <f>MIN(MAX(1-(H1176-1)/4,0),1)</f>
        <v/>
      </c>
      <c r="O1176" s="2">
        <f>1-MIN(I1176/8,1)</f>
        <v/>
      </c>
      <c r="P1176" s="10">
        <f>ROUND(100*(J1176*Assumptions!$B$6+K1176*Assumptions!$B$7+L1176*Assumptions!$B$8+M1176*Assumptions!$B$9+N1176*Assumptions!$B$10+O1176*Assumptions!$B$11),1)</f>
        <v/>
      </c>
      <c r="Q1176" s="2">
        <f>IF(P1176&gt;=Assumptions!$B$14,"High",IF(P1176&gt;=Assumptions!$B$15,"Medium","Low"))</f>
        <v/>
      </c>
      <c r="R1176" s="2">
        <f>Cleaned_Data!L1176</f>
        <v/>
      </c>
    </row>
    <row r="1177">
      <c r="A1177" s="2">
        <f>Cleaned_Data!A1177</f>
        <v/>
      </c>
      <c r="B1177" s="2">
        <f>Cleaned_Data!B1177</f>
        <v/>
      </c>
      <c r="C1177" s="2">
        <f>Cleaned_Data!G1177</f>
        <v/>
      </c>
      <c r="D1177" s="2">
        <f>Cleaned_Data!I1177</f>
        <v/>
      </c>
      <c r="E1177" s="2">
        <f>Cleaned_Data!H1177</f>
        <v/>
      </c>
      <c r="F1177" s="2">
        <f>Cleaned_Data!F1177</f>
        <v/>
      </c>
      <c r="G1177" s="9">
        <f>SUMPRODUCT(($B$2:$B$1196=B1177)*($F$2:$F$1196&lt;=F1177))/SUMPRODUCT(($B$2:$B$1196=B1177)*1)</f>
        <v/>
      </c>
      <c r="H1177" s="2">
        <f>Cleaned_Data!J1177</f>
        <v/>
      </c>
      <c r="I1177" s="2">
        <f>Cleaned_Data!E1177</f>
        <v/>
      </c>
      <c r="J1177" s="2">
        <f>IF(C1177="Yes",1,0)</f>
        <v/>
      </c>
      <c r="K1177" s="2">
        <f>MIN(MAX(1-(D1177-1)/4,0),1)</f>
        <v/>
      </c>
      <c r="L1177" s="2">
        <f>MIN(E1177/60,1)</f>
        <v/>
      </c>
      <c r="M1177" s="2">
        <f>MIN(MAX(1-G1177,0),1)</f>
        <v/>
      </c>
      <c r="N1177" s="2">
        <f>MIN(MAX(1-(H1177-1)/4,0),1)</f>
        <v/>
      </c>
      <c r="O1177" s="2">
        <f>1-MIN(I1177/8,1)</f>
        <v/>
      </c>
      <c r="P1177" s="10">
        <f>ROUND(100*(J1177*Assumptions!$B$6+K1177*Assumptions!$B$7+L1177*Assumptions!$B$8+M1177*Assumptions!$B$9+N1177*Assumptions!$B$10+O1177*Assumptions!$B$11),1)</f>
        <v/>
      </c>
      <c r="Q1177" s="2">
        <f>IF(P1177&gt;=Assumptions!$B$14,"High",IF(P1177&gt;=Assumptions!$B$15,"Medium","Low"))</f>
        <v/>
      </c>
      <c r="R1177" s="2">
        <f>Cleaned_Data!L1177</f>
        <v/>
      </c>
    </row>
    <row r="1178">
      <c r="A1178" s="2">
        <f>Cleaned_Data!A1178</f>
        <v/>
      </c>
      <c r="B1178" s="2">
        <f>Cleaned_Data!B1178</f>
        <v/>
      </c>
      <c r="C1178" s="2">
        <f>Cleaned_Data!G1178</f>
        <v/>
      </c>
      <c r="D1178" s="2">
        <f>Cleaned_Data!I1178</f>
        <v/>
      </c>
      <c r="E1178" s="2">
        <f>Cleaned_Data!H1178</f>
        <v/>
      </c>
      <c r="F1178" s="2">
        <f>Cleaned_Data!F1178</f>
        <v/>
      </c>
      <c r="G1178" s="9">
        <f>SUMPRODUCT(($B$2:$B$1196=B1178)*($F$2:$F$1196&lt;=F1178))/SUMPRODUCT(($B$2:$B$1196=B1178)*1)</f>
        <v/>
      </c>
      <c r="H1178" s="2">
        <f>Cleaned_Data!J1178</f>
        <v/>
      </c>
      <c r="I1178" s="2">
        <f>Cleaned_Data!E1178</f>
        <v/>
      </c>
      <c r="J1178" s="2">
        <f>IF(C1178="Yes",1,0)</f>
        <v/>
      </c>
      <c r="K1178" s="2">
        <f>MIN(MAX(1-(D1178-1)/4,0),1)</f>
        <v/>
      </c>
      <c r="L1178" s="2">
        <f>MIN(E1178/60,1)</f>
        <v/>
      </c>
      <c r="M1178" s="2">
        <f>MIN(MAX(1-G1178,0),1)</f>
        <v/>
      </c>
      <c r="N1178" s="2">
        <f>MIN(MAX(1-(H1178-1)/4,0),1)</f>
        <v/>
      </c>
      <c r="O1178" s="2">
        <f>1-MIN(I1178/8,1)</f>
        <v/>
      </c>
      <c r="P1178" s="10">
        <f>ROUND(100*(J1178*Assumptions!$B$6+K1178*Assumptions!$B$7+L1178*Assumptions!$B$8+M1178*Assumptions!$B$9+N1178*Assumptions!$B$10+O1178*Assumptions!$B$11),1)</f>
        <v/>
      </c>
      <c r="Q1178" s="2">
        <f>IF(P1178&gt;=Assumptions!$B$14,"High",IF(P1178&gt;=Assumptions!$B$15,"Medium","Low"))</f>
        <v/>
      </c>
      <c r="R1178" s="2">
        <f>Cleaned_Data!L1178</f>
        <v/>
      </c>
    </row>
    <row r="1179">
      <c r="A1179" s="2">
        <f>Cleaned_Data!A1179</f>
        <v/>
      </c>
      <c r="B1179" s="2">
        <f>Cleaned_Data!B1179</f>
        <v/>
      </c>
      <c r="C1179" s="2">
        <f>Cleaned_Data!G1179</f>
        <v/>
      </c>
      <c r="D1179" s="2">
        <f>Cleaned_Data!I1179</f>
        <v/>
      </c>
      <c r="E1179" s="2">
        <f>Cleaned_Data!H1179</f>
        <v/>
      </c>
      <c r="F1179" s="2">
        <f>Cleaned_Data!F1179</f>
        <v/>
      </c>
      <c r="G1179" s="9">
        <f>SUMPRODUCT(($B$2:$B$1196=B1179)*($F$2:$F$1196&lt;=F1179))/SUMPRODUCT(($B$2:$B$1196=B1179)*1)</f>
        <v/>
      </c>
      <c r="H1179" s="2">
        <f>Cleaned_Data!J1179</f>
        <v/>
      </c>
      <c r="I1179" s="2">
        <f>Cleaned_Data!E1179</f>
        <v/>
      </c>
      <c r="J1179" s="2">
        <f>IF(C1179="Yes",1,0)</f>
        <v/>
      </c>
      <c r="K1179" s="2">
        <f>MIN(MAX(1-(D1179-1)/4,0),1)</f>
        <v/>
      </c>
      <c r="L1179" s="2">
        <f>MIN(E1179/60,1)</f>
        <v/>
      </c>
      <c r="M1179" s="2">
        <f>MIN(MAX(1-G1179,0),1)</f>
        <v/>
      </c>
      <c r="N1179" s="2">
        <f>MIN(MAX(1-(H1179-1)/4,0),1)</f>
        <v/>
      </c>
      <c r="O1179" s="2">
        <f>1-MIN(I1179/8,1)</f>
        <v/>
      </c>
      <c r="P1179" s="10">
        <f>ROUND(100*(J1179*Assumptions!$B$6+K1179*Assumptions!$B$7+L1179*Assumptions!$B$8+M1179*Assumptions!$B$9+N1179*Assumptions!$B$10+O1179*Assumptions!$B$11),1)</f>
        <v/>
      </c>
      <c r="Q1179" s="2">
        <f>IF(P1179&gt;=Assumptions!$B$14,"High",IF(P1179&gt;=Assumptions!$B$15,"Medium","Low"))</f>
        <v/>
      </c>
      <c r="R1179" s="2">
        <f>Cleaned_Data!L1179</f>
        <v/>
      </c>
    </row>
    <row r="1180">
      <c r="A1180" s="2">
        <f>Cleaned_Data!A1180</f>
        <v/>
      </c>
      <c r="B1180" s="2">
        <f>Cleaned_Data!B1180</f>
        <v/>
      </c>
      <c r="C1180" s="2">
        <f>Cleaned_Data!G1180</f>
        <v/>
      </c>
      <c r="D1180" s="2">
        <f>Cleaned_Data!I1180</f>
        <v/>
      </c>
      <c r="E1180" s="2">
        <f>Cleaned_Data!H1180</f>
        <v/>
      </c>
      <c r="F1180" s="2">
        <f>Cleaned_Data!F1180</f>
        <v/>
      </c>
      <c r="G1180" s="9">
        <f>SUMPRODUCT(($B$2:$B$1196=B1180)*($F$2:$F$1196&lt;=F1180))/SUMPRODUCT(($B$2:$B$1196=B1180)*1)</f>
        <v/>
      </c>
      <c r="H1180" s="2">
        <f>Cleaned_Data!J1180</f>
        <v/>
      </c>
      <c r="I1180" s="2">
        <f>Cleaned_Data!E1180</f>
        <v/>
      </c>
      <c r="J1180" s="2">
        <f>IF(C1180="Yes",1,0)</f>
        <v/>
      </c>
      <c r="K1180" s="2">
        <f>MIN(MAX(1-(D1180-1)/4,0),1)</f>
        <v/>
      </c>
      <c r="L1180" s="2">
        <f>MIN(E1180/60,1)</f>
        <v/>
      </c>
      <c r="M1180" s="2">
        <f>MIN(MAX(1-G1180,0),1)</f>
        <v/>
      </c>
      <c r="N1180" s="2">
        <f>MIN(MAX(1-(H1180-1)/4,0),1)</f>
        <v/>
      </c>
      <c r="O1180" s="2">
        <f>1-MIN(I1180/8,1)</f>
        <v/>
      </c>
      <c r="P1180" s="10">
        <f>ROUND(100*(J1180*Assumptions!$B$6+K1180*Assumptions!$B$7+L1180*Assumptions!$B$8+M1180*Assumptions!$B$9+N1180*Assumptions!$B$10+O1180*Assumptions!$B$11),1)</f>
        <v/>
      </c>
      <c r="Q1180" s="2">
        <f>IF(P1180&gt;=Assumptions!$B$14,"High",IF(P1180&gt;=Assumptions!$B$15,"Medium","Low"))</f>
        <v/>
      </c>
      <c r="R1180" s="2">
        <f>Cleaned_Data!L1180</f>
        <v/>
      </c>
    </row>
    <row r="1181">
      <c r="A1181" s="2">
        <f>Cleaned_Data!A1181</f>
        <v/>
      </c>
      <c r="B1181" s="2">
        <f>Cleaned_Data!B1181</f>
        <v/>
      </c>
      <c r="C1181" s="2">
        <f>Cleaned_Data!G1181</f>
        <v/>
      </c>
      <c r="D1181" s="2">
        <f>Cleaned_Data!I1181</f>
        <v/>
      </c>
      <c r="E1181" s="2">
        <f>Cleaned_Data!H1181</f>
        <v/>
      </c>
      <c r="F1181" s="2">
        <f>Cleaned_Data!F1181</f>
        <v/>
      </c>
      <c r="G1181" s="9">
        <f>SUMPRODUCT(($B$2:$B$1196=B1181)*($F$2:$F$1196&lt;=F1181))/SUMPRODUCT(($B$2:$B$1196=B1181)*1)</f>
        <v/>
      </c>
      <c r="H1181" s="2">
        <f>Cleaned_Data!J1181</f>
        <v/>
      </c>
      <c r="I1181" s="2">
        <f>Cleaned_Data!E1181</f>
        <v/>
      </c>
      <c r="J1181" s="2">
        <f>IF(C1181="Yes",1,0)</f>
        <v/>
      </c>
      <c r="K1181" s="2">
        <f>MIN(MAX(1-(D1181-1)/4,0),1)</f>
        <v/>
      </c>
      <c r="L1181" s="2">
        <f>MIN(E1181/60,1)</f>
        <v/>
      </c>
      <c r="M1181" s="2">
        <f>MIN(MAX(1-G1181,0),1)</f>
        <v/>
      </c>
      <c r="N1181" s="2">
        <f>MIN(MAX(1-(H1181-1)/4,0),1)</f>
        <v/>
      </c>
      <c r="O1181" s="2">
        <f>1-MIN(I1181/8,1)</f>
        <v/>
      </c>
      <c r="P1181" s="10">
        <f>ROUND(100*(J1181*Assumptions!$B$6+K1181*Assumptions!$B$7+L1181*Assumptions!$B$8+M1181*Assumptions!$B$9+N1181*Assumptions!$B$10+O1181*Assumptions!$B$11),1)</f>
        <v/>
      </c>
      <c r="Q1181" s="2">
        <f>IF(P1181&gt;=Assumptions!$B$14,"High",IF(P1181&gt;=Assumptions!$B$15,"Medium","Low"))</f>
        <v/>
      </c>
      <c r="R1181" s="2">
        <f>Cleaned_Data!L1181</f>
        <v/>
      </c>
    </row>
    <row r="1182">
      <c r="A1182" s="2">
        <f>Cleaned_Data!A1182</f>
        <v/>
      </c>
      <c r="B1182" s="2">
        <f>Cleaned_Data!B1182</f>
        <v/>
      </c>
      <c r="C1182" s="2">
        <f>Cleaned_Data!G1182</f>
        <v/>
      </c>
      <c r="D1182" s="2">
        <f>Cleaned_Data!I1182</f>
        <v/>
      </c>
      <c r="E1182" s="2">
        <f>Cleaned_Data!H1182</f>
        <v/>
      </c>
      <c r="F1182" s="2">
        <f>Cleaned_Data!F1182</f>
        <v/>
      </c>
      <c r="G1182" s="9">
        <f>SUMPRODUCT(($B$2:$B$1196=B1182)*($F$2:$F$1196&lt;=F1182))/SUMPRODUCT(($B$2:$B$1196=B1182)*1)</f>
        <v/>
      </c>
      <c r="H1182" s="2">
        <f>Cleaned_Data!J1182</f>
        <v/>
      </c>
      <c r="I1182" s="2">
        <f>Cleaned_Data!E1182</f>
        <v/>
      </c>
      <c r="J1182" s="2">
        <f>IF(C1182="Yes",1,0)</f>
        <v/>
      </c>
      <c r="K1182" s="2">
        <f>MIN(MAX(1-(D1182-1)/4,0),1)</f>
        <v/>
      </c>
      <c r="L1182" s="2">
        <f>MIN(E1182/60,1)</f>
        <v/>
      </c>
      <c r="M1182" s="2">
        <f>MIN(MAX(1-G1182,0),1)</f>
        <v/>
      </c>
      <c r="N1182" s="2">
        <f>MIN(MAX(1-(H1182-1)/4,0),1)</f>
        <v/>
      </c>
      <c r="O1182" s="2">
        <f>1-MIN(I1182/8,1)</f>
        <v/>
      </c>
      <c r="P1182" s="10">
        <f>ROUND(100*(J1182*Assumptions!$B$6+K1182*Assumptions!$B$7+L1182*Assumptions!$B$8+M1182*Assumptions!$B$9+N1182*Assumptions!$B$10+O1182*Assumptions!$B$11),1)</f>
        <v/>
      </c>
      <c r="Q1182" s="2">
        <f>IF(P1182&gt;=Assumptions!$B$14,"High",IF(P1182&gt;=Assumptions!$B$15,"Medium","Low"))</f>
        <v/>
      </c>
      <c r="R1182" s="2">
        <f>Cleaned_Data!L1182</f>
        <v/>
      </c>
    </row>
    <row r="1183">
      <c r="A1183" s="2">
        <f>Cleaned_Data!A1183</f>
        <v/>
      </c>
      <c r="B1183" s="2">
        <f>Cleaned_Data!B1183</f>
        <v/>
      </c>
      <c r="C1183" s="2">
        <f>Cleaned_Data!G1183</f>
        <v/>
      </c>
      <c r="D1183" s="2">
        <f>Cleaned_Data!I1183</f>
        <v/>
      </c>
      <c r="E1183" s="2">
        <f>Cleaned_Data!H1183</f>
        <v/>
      </c>
      <c r="F1183" s="2">
        <f>Cleaned_Data!F1183</f>
        <v/>
      </c>
      <c r="G1183" s="9">
        <f>SUMPRODUCT(($B$2:$B$1196=B1183)*($F$2:$F$1196&lt;=F1183))/SUMPRODUCT(($B$2:$B$1196=B1183)*1)</f>
        <v/>
      </c>
      <c r="H1183" s="2">
        <f>Cleaned_Data!J1183</f>
        <v/>
      </c>
      <c r="I1183" s="2">
        <f>Cleaned_Data!E1183</f>
        <v/>
      </c>
      <c r="J1183" s="2">
        <f>IF(C1183="Yes",1,0)</f>
        <v/>
      </c>
      <c r="K1183" s="2">
        <f>MIN(MAX(1-(D1183-1)/4,0),1)</f>
        <v/>
      </c>
      <c r="L1183" s="2">
        <f>MIN(E1183/60,1)</f>
        <v/>
      </c>
      <c r="M1183" s="2">
        <f>MIN(MAX(1-G1183,0),1)</f>
        <v/>
      </c>
      <c r="N1183" s="2">
        <f>MIN(MAX(1-(H1183-1)/4,0),1)</f>
        <v/>
      </c>
      <c r="O1183" s="2">
        <f>1-MIN(I1183/8,1)</f>
        <v/>
      </c>
      <c r="P1183" s="10">
        <f>ROUND(100*(J1183*Assumptions!$B$6+K1183*Assumptions!$B$7+L1183*Assumptions!$B$8+M1183*Assumptions!$B$9+N1183*Assumptions!$B$10+O1183*Assumptions!$B$11),1)</f>
        <v/>
      </c>
      <c r="Q1183" s="2">
        <f>IF(P1183&gt;=Assumptions!$B$14,"High",IF(P1183&gt;=Assumptions!$B$15,"Medium","Low"))</f>
        <v/>
      </c>
      <c r="R1183" s="2">
        <f>Cleaned_Data!L1183</f>
        <v/>
      </c>
    </row>
    <row r="1184">
      <c r="A1184" s="2">
        <f>Cleaned_Data!A1184</f>
        <v/>
      </c>
      <c r="B1184" s="2">
        <f>Cleaned_Data!B1184</f>
        <v/>
      </c>
      <c r="C1184" s="2">
        <f>Cleaned_Data!G1184</f>
        <v/>
      </c>
      <c r="D1184" s="2">
        <f>Cleaned_Data!I1184</f>
        <v/>
      </c>
      <c r="E1184" s="2">
        <f>Cleaned_Data!H1184</f>
        <v/>
      </c>
      <c r="F1184" s="2">
        <f>Cleaned_Data!F1184</f>
        <v/>
      </c>
      <c r="G1184" s="9">
        <f>SUMPRODUCT(($B$2:$B$1196=B1184)*($F$2:$F$1196&lt;=F1184))/SUMPRODUCT(($B$2:$B$1196=B1184)*1)</f>
        <v/>
      </c>
      <c r="H1184" s="2">
        <f>Cleaned_Data!J1184</f>
        <v/>
      </c>
      <c r="I1184" s="2">
        <f>Cleaned_Data!E1184</f>
        <v/>
      </c>
      <c r="J1184" s="2">
        <f>IF(C1184="Yes",1,0)</f>
        <v/>
      </c>
      <c r="K1184" s="2">
        <f>MIN(MAX(1-(D1184-1)/4,0),1)</f>
        <v/>
      </c>
      <c r="L1184" s="2">
        <f>MIN(E1184/60,1)</f>
        <v/>
      </c>
      <c r="M1184" s="2">
        <f>MIN(MAX(1-G1184,0),1)</f>
        <v/>
      </c>
      <c r="N1184" s="2">
        <f>MIN(MAX(1-(H1184-1)/4,0),1)</f>
        <v/>
      </c>
      <c r="O1184" s="2">
        <f>1-MIN(I1184/8,1)</f>
        <v/>
      </c>
      <c r="P1184" s="10">
        <f>ROUND(100*(J1184*Assumptions!$B$6+K1184*Assumptions!$B$7+L1184*Assumptions!$B$8+M1184*Assumptions!$B$9+N1184*Assumptions!$B$10+O1184*Assumptions!$B$11),1)</f>
        <v/>
      </c>
      <c r="Q1184" s="2">
        <f>IF(P1184&gt;=Assumptions!$B$14,"High",IF(P1184&gt;=Assumptions!$B$15,"Medium","Low"))</f>
        <v/>
      </c>
      <c r="R1184" s="2">
        <f>Cleaned_Data!L1184</f>
        <v/>
      </c>
    </row>
    <row r="1185">
      <c r="A1185" s="2">
        <f>Cleaned_Data!A1185</f>
        <v/>
      </c>
      <c r="B1185" s="2">
        <f>Cleaned_Data!B1185</f>
        <v/>
      </c>
      <c r="C1185" s="2">
        <f>Cleaned_Data!G1185</f>
        <v/>
      </c>
      <c r="D1185" s="2">
        <f>Cleaned_Data!I1185</f>
        <v/>
      </c>
      <c r="E1185" s="2">
        <f>Cleaned_Data!H1185</f>
        <v/>
      </c>
      <c r="F1185" s="2">
        <f>Cleaned_Data!F1185</f>
        <v/>
      </c>
      <c r="G1185" s="9">
        <f>SUMPRODUCT(($B$2:$B$1196=B1185)*($F$2:$F$1196&lt;=F1185))/SUMPRODUCT(($B$2:$B$1196=B1185)*1)</f>
        <v/>
      </c>
      <c r="H1185" s="2">
        <f>Cleaned_Data!J1185</f>
        <v/>
      </c>
      <c r="I1185" s="2">
        <f>Cleaned_Data!E1185</f>
        <v/>
      </c>
      <c r="J1185" s="2">
        <f>IF(C1185="Yes",1,0)</f>
        <v/>
      </c>
      <c r="K1185" s="2">
        <f>MIN(MAX(1-(D1185-1)/4,0),1)</f>
        <v/>
      </c>
      <c r="L1185" s="2">
        <f>MIN(E1185/60,1)</f>
        <v/>
      </c>
      <c r="M1185" s="2">
        <f>MIN(MAX(1-G1185,0),1)</f>
        <v/>
      </c>
      <c r="N1185" s="2">
        <f>MIN(MAX(1-(H1185-1)/4,0),1)</f>
        <v/>
      </c>
      <c r="O1185" s="2">
        <f>1-MIN(I1185/8,1)</f>
        <v/>
      </c>
      <c r="P1185" s="10">
        <f>ROUND(100*(J1185*Assumptions!$B$6+K1185*Assumptions!$B$7+L1185*Assumptions!$B$8+M1185*Assumptions!$B$9+N1185*Assumptions!$B$10+O1185*Assumptions!$B$11),1)</f>
        <v/>
      </c>
      <c r="Q1185" s="2">
        <f>IF(P1185&gt;=Assumptions!$B$14,"High",IF(P1185&gt;=Assumptions!$B$15,"Medium","Low"))</f>
        <v/>
      </c>
      <c r="R1185" s="2">
        <f>Cleaned_Data!L1185</f>
        <v/>
      </c>
    </row>
    <row r="1186">
      <c r="A1186" s="2">
        <f>Cleaned_Data!A1186</f>
        <v/>
      </c>
      <c r="B1186" s="2">
        <f>Cleaned_Data!B1186</f>
        <v/>
      </c>
      <c r="C1186" s="2">
        <f>Cleaned_Data!G1186</f>
        <v/>
      </c>
      <c r="D1186" s="2">
        <f>Cleaned_Data!I1186</f>
        <v/>
      </c>
      <c r="E1186" s="2">
        <f>Cleaned_Data!H1186</f>
        <v/>
      </c>
      <c r="F1186" s="2">
        <f>Cleaned_Data!F1186</f>
        <v/>
      </c>
      <c r="G1186" s="9">
        <f>SUMPRODUCT(($B$2:$B$1196=B1186)*($F$2:$F$1196&lt;=F1186))/SUMPRODUCT(($B$2:$B$1196=B1186)*1)</f>
        <v/>
      </c>
      <c r="H1186" s="2">
        <f>Cleaned_Data!J1186</f>
        <v/>
      </c>
      <c r="I1186" s="2">
        <f>Cleaned_Data!E1186</f>
        <v/>
      </c>
      <c r="J1186" s="2">
        <f>IF(C1186="Yes",1,0)</f>
        <v/>
      </c>
      <c r="K1186" s="2">
        <f>MIN(MAX(1-(D1186-1)/4,0),1)</f>
        <v/>
      </c>
      <c r="L1186" s="2">
        <f>MIN(E1186/60,1)</f>
        <v/>
      </c>
      <c r="M1186" s="2">
        <f>MIN(MAX(1-G1186,0),1)</f>
        <v/>
      </c>
      <c r="N1186" s="2">
        <f>MIN(MAX(1-(H1186-1)/4,0),1)</f>
        <v/>
      </c>
      <c r="O1186" s="2">
        <f>1-MIN(I1186/8,1)</f>
        <v/>
      </c>
      <c r="P1186" s="10">
        <f>ROUND(100*(J1186*Assumptions!$B$6+K1186*Assumptions!$B$7+L1186*Assumptions!$B$8+M1186*Assumptions!$B$9+N1186*Assumptions!$B$10+O1186*Assumptions!$B$11),1)</f>
        <v/>
      </c>
      <c r="Q1186" s="2">
        <f>IF(P1186&gt;=Assumptions!$B$14,"High",IF(P1186&gt;=Assumptions!$B$15,"Medium","Low"))</f>
        <v/>
      </c>
      <c r="R1186" s="2">
        <f>Cleaned_Data!L1186</f>
        <v/>
      </c>
    </row>
    <row r="1187">
      <c r="A1187" s="2">
        <f>Cleaned_Data!A1187</f>
        <v/>
      </c>
      <c r="B1187" s="2">
        <f>Cleaned_Data!B1187</f>
        <v/>
      </c>
      <c r="C1187" s="2">
        <f>Cleaned_Data!G1187</f>
        <v/>
      </c>
      <c r="D1187" s="2">
        <f>Cleaned_Data!I1187</f>
        <v/>
      </c>
      <c r="E1187" s="2">
        <f>Cleaned_Data!H1187</f>
        <v/>
      </c>
      <c r="F1187" s="2">
        <f>Cleaned_Data!F1187</f>
        <v/>
      </c>
      <c r="G1187" s="9">
        <f>SUMPRODUCT(($B$2:$B$1196=B1187)*($F$2:$F$1196&lt;=F1187))/SUMPRODUCT(($B$2:$B$1196=B1187)*1)</f>
        <v/>
      </c>
      <c r="H1187" s="2">
        <f>Cleaned_Data!J1187</f>
        <v/>
      </c>
      <c r="I1187" s="2">
        <f>Cleaned_Data!E1187</f>
        <v/>
      </c>
      <c r="J1187" s="2">
        <f>IF(C1187="Yes",1,0)</f>
        <v/>
      </c>
      <c r="K1187" s="2">
        <f>MIN(MAX(1-(D1187-1)/4,0),1)</f>
        <v/>
      </c>
      <c r="L1187" s="2">
        <f>MIN(E1187/60,1)</f>
        <v/>
      </c>
      <c r="M1187" s="2">
        <f>MIN(MAX(1-G1187,0),1)</f>
        <v/>
      </c>
      <c r="N1187" s="2">
        <f>MIN(MAX(1-(H1187-1)/4,0),1)</f>
        <v/>
      </c>
      <c r="O1187" s="2">
        <f>1-MIN(I1187/8,1)</f>
        <v/>
      </c>
      <c r="P1187" s="10">
        <f>ROUND(100*(J1187*Assumptions!$B$6+K1187*Assumptions!$B$7+L1187*Assumptions!$B$8+M1187*Assumptions!$B$9+N1187*Assumptions!$B$10+O1187*Assumptions!$B$11),1)</f>
        <v/>
      </c>
      <c r="Q1187" s="2">
        <f>IF(P1187&gt;=Assumptions!$B$14,"High",IF(P1187&gt;=Assumptions!$B$15,"Medium","Low"))</f>
        <v/>
      </c>
      <c r="R1187" s="2">
        <f>Cleaned_Data!L1187</f>
        <v/>
      </c>
    </row>
    <row r="1188">
      <c r="A1188" s="2">
        <f>Cleaned_Data!A1188</f>
        <v/>
      </c>
      <c r="B1188" s="2">
        <f>Cleaned_Data!B1188</f>
        <v/>
      </c>
      <c r="C1188" s="2">
        <f>Cleaned_Data!G1188</f>
        <v/>
      </c>
      <c r="D1188" s="2">
        <f>Cleaned_Data!I1188</f>
        <v/>
      </c>
      <c r="E1188" s="2">
        <f>Cleaned_Data!H1188</f>
        <v/>
      </c>
      <c r="F1188" s="2">
        <f>Cleaned_Data!F1188</f>
        <v/>
      </c>
      <c r="G1188" s="9">
        <f>SUMPRODUCT(($B$2:$B$1196=B1188)*($F$2:$F$1196&lt;=F1188))/SUMPRODUCT(($B$2:$B$1196=B1188)*1)</f>
        <v/>
      </c>
      <c r="H1188" s="2">
        <f>Cleaned_Data!J1188</f>
        <v/>
      </c>
      <c r="I1188" s="2">
        <f>Cleaned_Data!E1188</f>
        <v/>
      </c>
      <c r="J1188" s="2">
        <f>IF(C1188="Yes",1,0)</f>
        <v/>
      </c>
      <c r="K1188" s="2">
        <f>MIN(MAX(1-(D1188-1)/4,0),1)</f>
        <v/>
      </c>
      <c r="L1188" s="2">
        <f>MIN(E1188/60,1)</f>
        <v/>
      </c>
      <c r="M1188" s="2">
        <f>MIN(MAX(1-G1188,0),1)</f>
        <v/>
      </c>
      <c r="N1188" s="2">
        <f>MIN(MAX(1-(H1188-1)/4,0),1)</f>
        <v/>
      </c>
      <c r="O1188" s="2">
        <f>1-MIN(I1188/8,1)</f>
        <v/>
      </c>
      <c r="P1188" s="10">
        <f>ROUND(100*(J1188*Assumptions!$B$6+K1188*Assumptions!$B$7+L1188*Assumptions!$B$8+M1188*Assumptions!$B$9+N1188*Assumptions!$B$10+O1188*Assumptions!$B$11),1)</f>
        <v/>
      </c>
      <c r="Q1188" s="2">
        <f>IF(P1188&gt;=Assumptions!$B$14,"High",IF(P1188&gt;=Assumptions!$B$15,"Medium","Low"))</f>
        <v/>
      </c>
      <c r="R1188" s="2">
        <f>Cleaned_Data!L1188</f>
        <v/>
      </c>
    </row>
    <row r="1189">
      <c r="A1189" s="2">
        <f>Cleaned_Data!A1189</f>
        <v/>
      </c>
      <c r="B1189" s="2">
        <f>Cleaned_Data!B1189</f>
        <v/>
      </c>
      <c r="C1189" s="2">
        <f>Cleaned_Data!G1189</f>
        <v/>
      </c>
      <c r="D1189" s="2">
        <f>Cleaned_Data!I1189</f>
        <v/>
      </c>
      <c r="E1189" s="2">
        <f>Cleaned_Data!H1189</f>
        <v/>
      </c>
      <c r="F1189" s="2">
        <f>Cleaned_Data!F1189</f>
        <v/>
      </c>
      <c r="G1189" s="9">
        <f>SUMPRODUCT(($B$2:$B$1196=B1189)*($F$2:$F$1196&lt;=F1189))/SUMPRODUCT(($B$2:$B$1196=B1189)*1)</f>
        <v/>
      </c>
      <c r="H1189" s="2">
        <f>Cleaned_Data!J1189</f>
        <v/>
      </c>
      <c r="I1189" s="2">
        <f>Cleaned_Data!E1189</f>
        <v/>
      </c>
      <c r="J1189" s="2">
        <f>IF(C1189="Yes",1,0)</f>
        <v/>
      </c>
      <c r="K1189" s="2">
        <f>MIN(MAX(1-(D1189-1)/4,0),1)</f>
        <v/>
      </c>
      <c r="L1189" s="2">
        <f>MIN(E1189/60,1)</f>
        <v/>
      </c>
      <c r="M1189" s="2">
        <f>MIN(MAX(1-G1189,0),1)</f>
        <v/>
      </c>
      <c r="N1189" s="2">
        <f>MIN(MAX(1-(H1189-1)/4,0),1)</f>
        <v/>
      </c>
      <c r="O1189" s="2">
        <f>1-MIN(I1189/8,1)</f>
        <v/>
      </c>
      <c r="P1189" s="10">
        <f>ROUND(100*(J1189*Assumptions!$B$6+K1189*Assumptions!$B$7+L1189*Assumptions!$B$8+M1189*Assumptions!$B$9+N1189*Assumptions!$B$10+O1189*Assumptions!$B$11),1)</f>
        <v/>
      </c>
      <c r="Q1189" s="2">
        <f>IF(P1189&gt;=Assumptions!$B$14,"High",IF(P1189&gt;=Assumptions!$B$15,"Medium","Low"))</f>
        <v/>
      </c>
      <c r="R1189" s="2">
        <f>Cleaned_Data!L1189</f>
        <v/>
      </c>
    </row>
    <row r="1190">
      <c r="A1190" s="2">
        <f>Cleaned_Data!A1190</f>
        <v/>
      </c>
      <c r="B1190" s="2">
        <f>Cleaned_Data!B1190</f>
        <v/>
      </c>
      <c r="C1190" s="2">
        <f>Cleaned_Data!G1190</f>
        <v/>
      </c>
      <c r="D1190" s="2">
        <f>Cleaned_Data!I1190</f>
        <v/>
      </c>
      <c r="E1190" s="2">
        <f>Cleaned_Data!H1190</f>
        <v/>
      </c>
      <c r="F1190" s="2">
        <f>Cleaned_Data!F1190</f>
        <v/>
      </c>
      <c r="G1190" s="9">
        <f>SUMPRODUCT(($B$2:$B$1196=B1190)*($F$2:$F$1196&lt;=F1190))/SUMPRODUCT(($B$2:$B$1196=B1190)*1)</f>
        <v/>
      </c>
      <c r="H1190" s="2">
        <f>Cleaned_Data!J1190</f>
        <v/>
      </c>
      <c r="I1190" s="2">
        <f>Cleaned_Data!E1190</f>
        <v/>
      </c>
      <c r="J1190" s="2">
        <f>IF(C1190="Yes",1,0)</f>
        <v/>
      </c>
      <c r="K1190" s="2">
        <f>MIN(MAX(1-(D1190-1)/4,0),1)</f>
        <v/>
      </c>
      <c r="L1190" s="2">
        <f>MIN(E1190/60,1)</f>
        <v/>
      </c>
      <c r="M1190" s="2">
        <f>MIN(MAX(1-G1190,0),1)</f>
        <v/>
      </c>
      <c r="N1190" s="2">
        <f>MIN(MAX(1-(H1190-1)/4,0),1)</f>
        <v/>
      </c>
      <c r="O1190" s="2">
        <f>1-MIN(I1190/8,1)</f>
        <v/>
      </c>
      <c r="P1190" s="10">
        <f>ROUND(100*(J1190*Assumptions!$B$6+K1190*Assumptions!$B$7+L1190*Assumptions!$B$8+M1190*Assumptions!$B$9+N1190*Assumptions!$B$10+O1190*Assumptions!$B$11),1)</f>
        <v/>
      </c>
      <c r="Q1190" s="2">
        <f>IF(P1190&gt;=Assumptions!$B$14,"High",IF(P1190&gt;=Assumptions!$B$15,"Medium","Low"))</f>
        <v/>
      </c>
      <c r="R1190" s="2">
        <f>Cleaned_Data!L1190</f>
        <v/>
      </c>
    </row>
    <row r="1191">
      <c r="A1191" s="2">
        <f>Cleaned_Data!A1191</f>
        <v/>
      </c>
      <c r="B1191" s="2">
        <f>Cleaned_Data!B1191</f>
        <v/>
      </c>
      <c r="C1191" s="2">
        <f>Cleaned_Data!G1191</f>
        <v/>
      </c>
      <c r="D1191" s="2">
        <f>Cleaned_Data!I1191</f>
        <v/>
      </c>
      <c r="E1191" s="2">
        <f>Cleaned_Data!H1191</f>
        <v/>
      </c>
      <c r="F1191" s="2">
        <f>Cleaned_Data!F1191</f>
        <v/>
      </c>
      <c r="G1191" s="9">
        <f>SUMPRODUCT(($B$2:$B$1196=B1191)*($F$2:$F$1196&lt;=F1191))/SUMPRODUCT(($B$2:$B$1196=B1191)*1)</f>
        <v/>
      </c>
      <c r="H1191" s="2">
        <f>Cleaned_Data!J1191</f>
        <v/>
      </c>
      <c r="I1191" s="2">
        <f>Cleaned_Data!E1191</f>
        <v/>
      </c>
      <c r="J1191" s="2">
        <f>IF(C1191="Yes",1,0)</f>
        <v/>
      </c>
      <c r="K1191" s="2">
        <f>MIN(MAX(1-(D1191-1)/4,0),1)</f>
        <v/>
      </c>
      <c r="L1191" s="2">
        <f>MIN(E1191/60,1)</f>
        <v/>
      </c>
      <c r="M1191" s="2">
        <f>MIN(MAX(1-G1191,0),1)</f>
        <v/>
      </c>
      <c r="N1191" s="2">
        <f>MIN(MAX(1-(H1191-1)/4,0),1)</f>
        <v/>
      </c>
      <c r="O1191" s="2">
        <f>1-MIN(I1191/8,1)</f>
        <v/>
      </c>
      <c r="P1191" s="10">
        <f>ROUND(100*(J1191*Assumptions!$B$6+K1191*Assumptions!$B$7+L1191*Assumptions!$B$8+M1191*Assumptions!$B$9+N1191*Assumptions!$B$10+O1191*Assumptions!$B$11),1)</f>
        <v/>
      </c>
      <c r="Q1191" s="2">
        <f>IF(P1191&gt;=Assumptions!$B$14,"High",IF(P1191&gt;=Assumptions!$B$15,"Medium","Low"))</f>
        <v/>
      </c>
      <c r="R1191" s="2">
        <f>Cleaned_Data!L1191</f>
        <v/>
      </c>
    </row>
    <row r="1192">
      <c r="A1192" s="2">
        <f>Cleaned_Data!A1192</f>
        <v/>
      </c>
      <c r="B1192" s="2">
        <f>Cleaned_Data!B1192</f>
        <v/>
      </c>
      <c r="C1192" s="2">
        <f>Cleaned_Data!G1192</f>
        <v/>
      </c>
      <c r="D1192" s="2">
        <f>Cleaned_Data!I1192</f>
        <v/>
      </c>
      <c r="E1192" s="2">
        <f>Cleaned_Data!H1192</f>
        <v/>
      </c>
      <c r="F1192" s="2">
        <f>Cleaned_Data!F1192</f>
        <v/>
      </c>
      <c r="G1192" s="9">
        <f>SUMPRODUCT(($B$2:$B$1196=B1192)*($F$2:$F$1196&lt;=F1192))/SUMPRODUCT(($B$2:$B$1196=B1192)*1)</f>
        <v/>
      </c>
      <c r="H1192" s="2">
        <f>Cleaned_Data!J1192</f>
        <v/>
      </c>
      <c r="I1192" s="2">
        <f>Cleaned_Data!E1192</f>
        <v/>
      </c>
      <c r="J1192" s="2">
        <f>IF(C1192="Yes",1,0)</f>
        <v/>
      </c>
      <c r="K1192" s="2">
        <f>MIN(MAX(1-(D1192-1)/4,0),1)</f>
        <v/>
      </c>
      <c r="L1192" s="2">
        <f>MIN(E1192/60,1)</f>
        <v/>
      </c>
      <c r="M1192" s="2">
        <f>MIN(MAX(1-G1192,0),1)</f>
        <v/>
      </c>
      <c r="N1192" s="2">
        <f>MIN(MAX(1-(H1192-1)/4,0),1)</f>
        <v/>
      </c>
      <c r="O1192" s="2">
        <f>1-MIN(I1192/8,1)</f>
        <v/>
      </c>
      <c r="P1192" s="10">
        <f>ROUND(100*(J1192*Assumptions!$B$6+K1192*Assumptions!$B$7+L1192*Assumptions!$B$8+M1192*Assumptions!$B$9+N1192*Assumptions!$B$10+O1192*Assumptions!$B$11),1)</f>
        <v/>
      </c>
      <c r="Q1192" s="2">
        <f>IF(P1192&gt;=Assumptions!$B$14,"High",IF(P1192&gt;=Assumptions!$B$15,"Medium","Low"))</f>
        <v/>
      </c>
      <c r="R1192" s="2">
        <f>Cleaned_Data!L1192</f>
        <v/>
      </c>
    </row>
    <row r="1193">
      <c r="A1193" s="2">
        <f>Cleaned_Data!A1193</f>
        <v/>
      </c>
      <c r="B1193" s="2">
        <f>Cleaned_Data!B1193</f>
        <v/>
      </c>
      <c r="C1193" s="2">
        <f>Cleaned_Data!G1193</f>
        <v/>
      </c>
      <c r="D1193" s="2">
        <f>Cleaned_Data!I1193</f>
        <v/>
      </c>
      <c r="E1193" s="2">
        <f>Cleaned_Data!H1193</f>
        <v/>
      </c>
      <c r="F1193" s="2">
        <f>Cleaned_Data!F1193</f>
        <v/>
      </c>
      <c r="G1193" s="9">
        <f>SUMPRODUCT(($B$2:$B$1196=B1193)*($F$2:$F$1196&lt;=F1193))/SUMPRODUCT(($B$2:$B$1196=B1193)*1)</f>
        <v/>
      </c>
      <c r="H1193" s="2">
        <f>Cleaned_Data!J1193</f>
        <v/>
      </c>
      <c r="I1193" s="2">
        <f>Cleaned_Data!E1193</f>
        <v/>
      </c>
      <c r="J1193" s="2">
        <f>IF(C1193="Yes",1,0)</f>
        <v/>
      </c>
      <c r="K1193" s="2">
        <f>MIN(MAX(1-(D1193-1)/4,0),1)</f>
        <v/>
      </c>
      <c r="L1193" s="2">
        <f>MIN(E1193/60,1)</f>
        <v/>
      </c>
      <c r="M1193" s="2">
        <f>MIN(MAX(1-G1193,0),1)</f>
        <v/>
      </c>
      <c r="N1193" s="2">
        <f>MIN(MAX(1-(H1193-1)/4,0),1)</f>
        <v/>
      </c>
      <c r="O1193" s="2">
        <f>1-MIN(I1193/8,1)</f>
        <v/>
      </c>
      <c r="P1193" s="10">
        <f>ROUND(100*(J1193*Assumptions!$B$6+K1193*Assumptions!$B$7+L1193*Assumptions!$B$8+M1193*Assumptions!$B$9+N1193*Assumptions!$B$10+O1193*Assumptions!$B$11),1)</f>
        <v/>
      </c>
      <c r="Q1193" s="2">
        <f>IF(P1193&gt;=Assumptions!$B$14,"High",IF(P1193&gt;=Assumptions!$B$15,"Medium","Low"))</f>
        <v/>
      </c>
      <c r="R1193" s="2">
        <f>Cleaned_Data!L1193</f>
        <v/>
      </c>
    </row>
    <row r="1194">
      <c r="A1194" s="2">
        <f>Cleaned_Data!A1194</f>
        <v/>
      </c>
      <c r="B1194" s="2">
        <f>Cleaned_Data!B1194</f>
        <v/>
      </c>
      <c r="C1194" s="2">
        <f>Cleaned_Data!G1194</f>
        <v/>
      </c>
      <c r="D1194" s="2">
        <f>Cleaned_Data!I1194</f>
        <v/>
      </c>
      <c r="E1194" s="2">
        <f>Cleaned_Data!H1194</f>
        <v/>
      </c>
      <c r="F1194" s="2">
        <f>Cleaned_Data!F1194</f>
        <v/>
      </c>
      <c r="G1194" s="9">
        <f>SUMPRODUCT(($B$2:$B$1196=B1194)*($F$2:$F$1196&lt;=F1194))/SUMPRODUCT(($B$2:$B$1196=B1194)*1)</f>
        <v/>
      </c>
      <c r="H1194" s="2">
        <f>Cleaned_Data!J1194</f>
        <v/>
      </c>
      <c r="I1194" s="2">
        <f>Cleaned_Data!E1194</f>
        <v/>
      </c>
      <c r="J1194" s="2">
        <f>IF(C1194="Yes",1,0)</f>
        <v/>
      </c>
      <c r="K1194" s="2">
        <f>MIN(MAX(1-(D1194-1)/4,0),1)</f>
        <v/>
      </c>
      <c r="L1194" s="2">
        <f>MIN(E1194/60,1)</f>
        <v/>
      </c>
      <c r="M1194" s="2">
        <f>MIN(MAX(1-G1194,0),1)</f>
        <v/>
      </c>
      <c r="N1194" s="2">
        <f>MIN(MAX(1-(H1194-1)/4,0),1)</f>
        <v/>
      </c>
      <c r="O1194" s="2">
        <f>1-MIN(I1194/8,1)</f>
        <v/>
      </c>
      <c r="P1194" s="10">
        <f>ROUND(100*(J1194*Assumptions!$B$6+K1194*Assumptions!$B$7+L1194*Assumptions!$B$8+M1194*Assumptions!$B$9+N1194*Assumptions!$B$10+O1194*Assumptions!$B$11),1)</f>
        <v/>
      </c>
      <c r="Q1194" s="2">
        <f>IF(P1194&gt;=Assumptions!$B$14,"High",IF(P1194&gt;=Assumptions!$B$15,"Medium","Low"))</f>
        <v/>
      </c>
      <c r="R1194" s="2">
        <f>Cleaned_Data!L1194</f>
        <v/>
      </c>
    </row>
    <row r="1195">
      <c r="A1195" s="2">
        <f>Cleaned_Data!A1195</f>
        <v/>
      </c>
      <c r="B1195" s="2">
        <f>Cleaned_Data!B1195</f>
        <v/>
      </c>
      <c r="C1195" s="2">
        <f>Cleaned_Data!G1195</f>
        <v/>
      </c>
      <c r="D1195" s="2">
        <f>Cleaned_Data!I1195</f>
        <v/>
      </c>
      <c r="E1195" s="2">
        <f>Cleaned_Data!H1195</f>
        <v/>
      </c>
      <c r="F1195" s="2">
        <f>Cleaned_Data!F1195</f>
        <v/>
      </c>
      <c r="G1195" s="9">
        <f>SUMPRODUCT(($B$2:$B$1196=B1195)*($F$2:$F$1196&lt;=F1195))/SUMPRODUCT(($B$2:$B$1196=B1195)*1)</f>
        <v/>
      </c>
      <c r="H1195" s="2">
        <f>Cleaned_Data!J1195</f>
        <v/>
      </c>
      <c r="I1195" s="2">
        <f>Cleaned_Data!E1195</f>
        <v/>
      </c>
      <c r="J1195" s="2">
        <f>IF(C1195="Yes",1,0)</f>
        <v/>
      </c>
      <c r="K1195" s="2">
        <f>MIN(MAX(1-(D1195-1)/4,0),1)</f>
        <v/>
      </c>
      <c r="L1195" s="2">
        <f>MIN(E1195/60,1)</f>
        <v/>
      </c>
      <c r="M1195" s="2">
        <f>MIN(MAX(1-G1195,0),1)</f>
        <v/>
      </c>
      <c r="N1195" s="2">
        <f>MIN(MAX(1-(H1195-1)/4,0),1)</f>
        <v/>
      </c>
      <c r="O1195" s="2">
        <f>1-MIN(I1195/8,1)</f>
        <v/>
      </c>
      <c r="P1195" s="10">
        <f>ROUND(100*(J1195*Assumptions!$B$6+K1195*Assumptions!$B$7+L1195*Assumptions!$B$8+M1195*Assumptions!$B$9+N1195*Assumptions!$B$10+O1195*Assumptions!$B$11),1)</f>
        <v/>
      </c>
      <c r="Q1195" s="2">
        <f>IF(P1195&gt;=Assumptions!$B$14,"High",IF(P1195&gt;=Assumptions!$B$15,"Medium","Low"))</f>
        <v/>
      </c>
      <c r="R1195" s="2">
        <f>Cleaned_Data!L1195</f>
        <v/>
      </c>
    </row>
    <row r="1196">
      <c r="A1196" s="2">
        <f>Cleaned_Data!A1196</f>
        <v/>
      </c>
      <c r="B1196" s="2">
        <f>Cleaned_Data!B1196</f>
        <v/>
      </c>
      <c r="C1196" s="2">
        <f>Cleaned_Data!G1196</f>
        <v/>
      </c>
      <c r="D1196" s="2">
        <f>Cleaned_Data!I1196</f>
        <v/>
      </c>
      <c r="E1196" s="2">
        <f>Cleaned_Data!H1196</f>
        <v/>
      </c>
      <c r="F1196" s="2">
        <f>Cleaned_Data!F1196</f>
        <v/>
      </c>
      <c r="G1196" s="9">
        <f>SUMPRODUCT(($B$2:$B$1196=B1196)*($F$2:$F$1196&lt;=F1196))/SUMPRODUCT(($B$2:$B$1196=B1196)*1)</f>
        <v/>
      </c>
      <c r="H1196" s="2">
        <f>Cleaned_Data!J1196</f>
        <v/>
      </c>
      <c r="I1196" s="2">
        <f>Cleaned_Data!E1196</f>
        <v/>
      </c>
      <c r="J1196" s="2">
        <f>IF(C1196="Yes",1,0)</f>
        <v/>
      </c>
      <c r="K1196" s="2">
        <f>MIN(MAX(1-(D1196-1)/4,0),1)</f>
        <v/>
      </c>
      <c r="L1196" s="2">
        <f>MIN(E1196/60,1)</f>
        <v/>
      </c>
      <c r="M1196" s="2">
        <f>MIN(MAX(1-G1196,0),1)</f>
        <v/>
      </c>
      <c r="N1196" s="2">
        <f>MIN(MAX(1-(H1196-1)/4,0),1)</f>
        <v/>
      </c>
      <c r="O1196" s="2">
        <f>1-MIN(I1196/8,1)</f>
        <v/>
      </c>
      <c r="P1196" s="10">
        <f>ROUND(100*(J1196*Assumptions!$B$6+K1196*Assumptions!$B$7+L1196*Assumptions!$B$8+M1196*Assumptions!$B$9+N1196*Assumptions!$B$10+O1196*Assumptions!$B$11),1)</f>
        <v/>
      </c>
      <c r="Q1196" s="2">
        <f>IF(P1196&gt;=Assumptions!$B$14,"High",IF(P1196&gt;=Assumptions!$B$15,"Medium","Low"))</f>
        <v/>
      </c>
      <c r="R1196" s="2">
        <f>Cleaned_Data!L1196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</cols>
  <sheetData>
    <row r="1">
      <c r="A1" s="1" t="inlineStr">
        <is>
          <t>HR Retention Risk — Live Dashboard</t>
        </is>
      </c>
    </row>
    <row r="2">
      <c r="A2" s="11" t="inlineStr">
        <is>
          <t>All figures below are formulas over Risk_Model — they update if the weights or data change.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2" t="inlineStr">
        <is>
          <t>Total Employees (cleaned dataset)</t>
        </is>
      </c>
      <c r="B5" s="6">
        <f>COUNTA(Risk_Model!A2:A1196)</f>
        <v/>
      </c>
    </row>
    <row r="6">
      <c r="A6" s="2" t="inlineStr">
        <is>
          <t>Active</t>
        </is>
      </c>
      <c r="B6" s="6">
        <f>COUNTIF(Risk_Model!R2:R1196,"Active")</f>
        <v/>
      </c>
    </row>
    <row r="7">
      <c r="A7" s="2" t="inlineStr">
        <is>
          <t>Resigned</t>
        </is>
      </c>
      <c r="B7" s="6">
        <f>COUNTIF(Risk_Model!R2:R1196,"Resigned")</f>
        <v/>
      </c>
    </row>
    <row r="8">
      <c r="A8" s="2" t="inlineStr">
        <is>
          <t>Overall Attrition Rate</t>
        </is>
      </c>
      <c r="B8" s="12">
        <f>COUNTIF(Risk_Model!R2:R1196,"Resigned")/COUNTA(Risk_Model!A2:A1196)</f>
        <v/>
      </c>
    </row>
    <row r="9">
      <c r="A9" s="2" t="inlineStr">
        <is>
          <t>Attrition Rate — Overtime Employees</t>
        </is>
      </c>
      <c r="B9" s="12">
        <f>SUMPRODUCT((Risk_Model!C2:C1196="Yes")*(Risk_Model!R2:R1196="Resigned"))/SUMPRODUCT((Risk_Model!C2:C1196="Yes")*1)</f>
        <v/>
      </c>
    </row>
    <row r="10">
      <c r="A10" s="2" t="inlineStr">
        <is>
          <t>Attrition Rate — Non-Overtime Employees</t>
        </is>
      </c>
      <c r="B10" s="12">
        <f>SUMPRODUCT((Risk_Model!C2:C1196="No")*(Risk_Model!R2:R1196="Resigned"))/SUMPRODUCT((Risk_Model!C2:C1196="No")*1)</f>
        <v/>
      </c>
    </row>
    <row r="11">
      <c r="A11" s="2" t="inlineStr">
        <is>
          <t>High-Risk Employees (Active)</t>
        </is>
      </c>
      <c r="B11" s="6">
        <f>SUMPRODUCT((Risk_Model!Q2:Q1196="High")*(Risk_Model!R2:R1196="Active"))</f>
        <v/>
      </c>
    </row>
    <row r="12">
      <c r="A12" s="2" t="inlineStr">
        <is>
          <t>Resignation Rate — High Risk Band</t>
        </is>
      </c>
      <c r="B12" s="12">
        <f>SUMPRODUCT((Risk_Model!Q2:Q1196="High")*(Risk_Model!R2:R1196="Resigned"))/SUMPRODUCT((Risk_Model!Q2:Q1196="High")*1)</f>
        <v/>
      </c>
    </row>
    <row r="13">
      <c r="A13" s="2" t="inlineStr">
        <is>
          <t>Resignation Rate — Low Risk Band</t>
        </is>
      </c>
      <c r="B13" s="12">
        <f>SUMPRODUCT((Risk_Model!Q2:Q1196="Low")*(Risk_Model!R2:R1196="Resigned"))/SUMPRODUCT((Risk_Model!Q2:Q1196="Low")*1)</f>
        <v/>
      </c>
    </row>
    <row r="14"/>
    <row r="15">
      <c r="A15" s="13" t="inlineStr">
        <is>
          <t>Attrition Rate by Department</t>
        </is>
      </c>
    </row>
    <row r="16">
      <c r="A16" s="14" t="inlineStr">
        <is>
          <t>Department</t>
        </is>
      </c>
      <c r="B16" s="14" t="inlineStr">
        <is>
          <t>Attrition Rate</t>
        </is>
      </c>
    </row>
    <row r="17">
      <c r="A17" s="2" t="inlineStr">
        <is>
          <t>Customer Support</t>
        </is>
      </c>
      <c r="B17" s="9">
        <f>SUMPRODUCT((Risk_Model!B2:B1196="Customer Support")*(Risk_Model!R2:R1196="Resigned"))/SUMPRODUCT((Risk_Model!B2:B1196="Customer Support")*1)</f>
        <v/>
      </c>
    </row>
    <row r="18">
      <c r="A18" s="2" t="inlineStr">
        <is>
          <t>Engineering</t>
        </is>
      </c>
      <c r="B18" s="9">
        <f>SUMPRODUCT((Risk_Model!B2:B1196="Engineering")*(Risk_Model!R2:R1196="Resigned"))/SUMPRODUCT((Risk_Model!B2:B1196="Engineering")*1)</f>
        <v/>
      </c>
    </row>
    <row r="19">
      <c r="A19" s="2" t="inlineStr">
        <is>
          <t>Finance</t>
        </is>
      </c>
      <c r="B19" s="9">
        <f>SUMPRODUCT((Risk_Model!B2:B1196="Finance")*(Risk_Model!R2:R1196="Resigned"))/SUMPRODUCT((Risk_Model!B2:B1196="Finance")*1)</f>
        <v/>
      </c>
    </row>
    <row r="20">
      <c r="A20" s="2" t="inlineStr">
        <is>
          <t>HR</t>
        </is>
      </c>
      <c r="B20" s="9">
        <f>SUMPRODUCT((Risk_Model!B2:B1196="HR")*(Risk_Model!R2:R1196="Resigned"))/SUMPRODUCT((Risk_Model!B2:B1196="HR")*1)</f>
        <v/>
      </c>
    </row>
    <row r="21">
      <c r="A21" s="2" t="inlineStr">
        <is>
          <t>Operations</t>
        </is>
      </c>
      <c r="B21" s="9">
        <f>SUMPRODUCT((Risk_Model!B2:B1196="Operations")*(Risk_Model!R2:R1196="Resigned"))/SUMPRODUCT((Risk_Model!B2:B1196="Operations")*1)</f>
        <v/>
      </c>
    </row>
    <row r="22">
      <c r="A22" s="2" t="inlineStr">
        <is>
          <t>Sales</t>
        </is>
      </c>
      <c r="B22" s="9">
        <f>SUMPRODUCT((Risk_Model!B2:B1196="Sales")*(Risk_Model!R2:R1196="Resigned"))/SUMPRODUCT((Risk_Model!B2:B1196="Sales")*1)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3" customWidth="1" min="3" max="3"/>
  </cols>
  <sheetData>
    <row r="1">
      <c r="A1" s="15" t="inlineStr">
        <is>
          <t>ETL Validation Report — from a real pipeline run (etl_validate.py)</t>
        </is>
      </c>
    </row>
    <row r="2"/>
    <row r="3">
      <c r="A3" s="2" t="inlineStr">
        <is>
          <t>Raw rows in: 1224    Clean rows out: 1195    Runtime: 0.0145s</t>
        </is>
      </c>
    </row>
    <row r="4"/>
    <row r="5">
      <c r="A5" s="3" t="inlineStr">
        <is>
          <t>Issue Type</t>
        </is>
      </c>
      <c r="B5" s="3" t="inlineStr">
        <is>
          <t>Detected &amp; Fixed</t>
        </is>
      </c>
      <c r="C5" s="3" t="inlineStr">
        <is>
          <t>Ground-Truth Injected</t>
        </is>
      </c>
    </row>
    <row r="6">
      <c r="A6" s="4" t="inlineStr">
        <is>
          <t>duplicate_row</t>
        </is>
      </c>
      <c r="B6" s="4" t="n">
        <v>15</v>
      </c>
      <c r="C6" s="4" t="n">
        <v>24</v>
      </c>
    </row>
    <row r="7">
      <c r="A7" s="4" t="inlineStr">
        <is>
          <t>missing_value</t>
        </is>
      </c>
      <c r="B7" s="4" t="n">
        <v>49</v>
      </c>
      <c r="C7" s="4" t="n">
        <v>42</v>
      </c>
    </row>
    <row r="8">
      <c r="A8" s="4" t="inlineStr">
        <is>
          <t>inconsistent_category</t>
        </is>
      </c>
      <c r="B8" s="4" t="n">
        <v>73</v>
      </c>
      <c r="C8" s="4" t="n">
        <v>84</v>
      </c>
    </row>
    <row r="9">
      <c r="A9" s="4" t="inlineStr">
        <is>
          <t>out_of_range_value</t>
        </is>
      </c>
      <c r="B9" s="4" t="n">
        <v>12</v>
      </c>
      <c r="C9" s="4" t="n">
        <v>12</v>
      </c>
    </row>
    <row r="10">
      <c r="A10" s="4" t="inlineStr">
        <is>
          <t>wrong_dtype</t>
        </is>
      </c>
      <c r="B10" s="4" t="n">
        <v>42</v>
      </c>
      <c r="C10" s="4" t="n">
        <v>42</v>
      </c>
    </row>
    <row r="11">
      <c r="A11" s="6" t="inlineStr">
        <is>
          <t>Detection rate vs. known ground truth</t>
        </is>
      </c>
      <c r="B11" s="6" t="inlineStr">
        <is>
          <t>93.6%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2026-10-05T10:22:20Z</dcterms:created>
  <dcterms:modified xmlns:dcterms="http://purl.org/dc/terms/" xmlns:xsi="http://www.w3.org/2001/XMLSchema-instance" xsi:type="dcterms:W3CDTF">2026-10-05T10:22:20Z</dcterms:modified>
</cp:coreProperties>
</file>